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inec\Downloads\"/>
    </mc:Choice>
  </mc:AlternateContent>
  <xr:revisionPtr revIDLastSave="0" documentId="8_{82E67E90-8327-41C7-BE30-628D03AC42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alysis" sheetId="1" r:id="rId1"/>
    <sheet name="Raw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D1100" i="1"/>
  <c r="C1100" i="1"/>
  <c r="D1099" i="1"/>
  <c r="C1099" i="1"/>
  <c r="D1098" i="1"/>
  <c r="C1098" i="1"/>
  <c r="D1097" i="1"/>
  <c r="F220" i="1" s="1"/>
  <c r="C1097" i="1"/>
  <c r="D1096" i="1"/>
  <c r="C1096" i="1"/>
  <c r="D1095" i="1"/>
  <c r="C1095" i="1"/>
  <c r="D1094" i="1"/>
  <c r="C1094" i="1"/>
  <c r="D1093" i="1"/>
  <c r="C1093" i="1"/>
  <c r="D1092" i="1"/>
  <c r="C1092" i="1"/>
  <c r="D1091" i="1"/>
  <c r="C1091" i="1"/>
  <c r="D1090" i="1"/>
  <c r="C1090" i="1"/>
  <c r="D1089" i="1"/>
  <c r="C1089" i="1"/>
  <c r="D1088" i="1"/>
  <c r="F104" i="1" s="1"/>
  <c r="C1088" i="1"/>
  <c r="M1088" i="1" s="1"/>
  <c r="D1087" i="1"/>
  <c r="C1087" i="1"/>
  <c r="D1086" i="1"/>
  <c r="C1086" i="1"/>
  <c r="D1085" i="1"/>
  <c r="C1085" i="1"/>
  <c r="D1084" i="1"/>
  <c r="C1084" i="1"/>
  <c r="D1083" i="1"/>
  <c r="C1083" i="1"/>
  <c r="D1082" i="1"/>
  <c r="C1082" i="1"/>
  <c r="D1081" i="1"/>
  <c r="C1081" i="1"/>
  <c r="D1080" i="1"/>
  <c r="C1080" i="1"/>
  <c r="D1079" i="1"/>
  <c r="C1079" i="1"/>
  <c r="D1078" i="1"/>
  <c r="C1078" i="1"/>
  <c r="D1077" i="1"/>
  <c r="C1077" i="1"/>
  <c r="D1076" i="1"/>
  <c r="C1076" i="1"/>
  <c r="D1075" i="1"/>
  <c r="C1075" i="1"/>
  <c r="M1075" i="1" s="1"/>
  <c r="D1074" i="1"/>
  <c r="C1074" i="1"/>
  <c r="D1073" i="1"/>
  <c r="C1073" i="1"/>
  <c r="D1072" i="1"/>
  <c r="C1072" i="1"/>
  <c r="D1071" i="1"/>
  <c r="C1071" i="1"/>
  <c r="D1070" i="1"/>
  <c r="C1070" i="1"/>
  <c r="D1069" i="1"/>
  <c r="C1069" i="1"/>
  <c r="D1068" i="1"/>
  <c r="C1068" i="1"/>
  <c r="D1067" i="1"/>
  <c r="C1067" i="1"/>
  <c r="D1066" i="1"/>
  <c r="C1066" i="1"/>
  <c r="D1065" i="1"/>
  <c r="C1065" i="1"/>
  <c r="D1064" i="1"/>
  <c r="C1064" i="1"/>
  <c r="D1063" i="1"/>
  <c r="C1063" i="1"/>
  <c r="D1062" i="1"/>
  <c r="C1062" i="1"/>
  <c r="D1061" i="1"/>
  <c r="C1061" i="1"/>
  <c r="D1060" i="1"/>
  <c r="C1060" i="1"/>
  <c r="D1059" i="1"/>
  <c r="C1059" i="1"/>
  <c r="D1058" i="1"/>
  <c r="C1058" i="1"/>
  <c r="D1057" i="1"/>
  <c r="C1057" i="1"/>
  <c r="D1056" i="1"/>
  <c r="C1056" i="1"/>
  <c r="D1055" i="1"/>
  <c r="C1055" i="1"/>
  <c r="D1054" i="1"/>
  <c r="C1054" i="1"/>
  <c r="D1053" i="1"/>
  <c r="C1053" i="1"/>
  <c r="D1052" i="1"/>
  <c r="C1052" i="1"/>
  <c r="D1051" i="1"/>
  <c r="C1051" i="1"/>
  <c r="D1050" i="1"/>
  <c r="C1050" i="1"/>
  <c r="D1049" i="1"/>
  <c r="C1049" i="1"/>
  <c r="D1048" i="1"/>
  <c r="C1048" i="1"/>
  <c r="D1047" i="1"/>
  <c r="C1047" i="1"/>
  <c r="D1046" i="1"/>
  <c r="C1046" i="1"/>
  <c r="D1045" i="1"/>
  <c r="C1045" i="1"/>
  <c r="D1044" i="1"/>
  <c r="C1044" i="1"/>
  <c r="D1043" i="1"/>
  <c r="C1043" i="1"/>
  <c r="D1042" i="1"/>
  <c r="C1042" i="1"/>
  <c r="D1041" i="1"/>
  <c r="C1041" i="1"/>
  <c r="D1040" i="1"/>
  <c r="C1040" i="1"/>
  <c r="D1039" i="1"/>
  <c r="C1039" i="1"/>
  <c r="D1038" i="1"/>
  <c r="C1038" i="1"/>
  <c r="D1037" i="1"/>
  <c r="C1037" i="1"/>
  <c r="D1036" i="1"/>
  <c r="C1036" i="1"/>
  <c r="D1035" i="1"/>
  <c r="C1035" i="1"/>
  <c r="D1034" i="1"/>
  <c r="C1034" i="1"/>
  <c r="D1033" i="1"/>
  <c r="C1033" i="1"/>
  <c r="D1032" i="1"/>
  <c r="C1032" i="1"/>
  <c r="D1031" i="1"/>
  <c r="C1031" i="1"/>
  <c r="D1030" i="1"/>
  <c r="C1030" i="1"/>
  <c r="D1029" i="1"/>
  <c r="C1029" i="1"/>
  <c r="D1028" i="1"/>
  <c r="C1028" i="1"/>
  <c r="D1027" i="1"/>
  <c r="C1027" i="1"/>
  <c r="D1026" i="1"/>
  <c r="C1026" i="1"/>
  <c r="D1025" i="1"/>
  <c r="C1025" i="1"/>
  <c r="D1024" i="1"/>
  <c r="C1024" i="1"/>
  <c r="D1023" i="1"/>
  <c r="C1023" i="1"/>
  <c r="D1022" i="1"/>
  <c r="C1022" i="1"/>
  <c r="D1021" i="1"/>
  <c r="C1021" i="1"/>
  <c r="D1020" i="1"/>
  <c r="C1020" i="1"/>
  <c r="D1019" i="1"/>
  <c r="C1019" i="1"/>
  <c r="D1018" i="1"/>
  <c r="C1018" i="1"/>
  <c r="D1017" i="1"/>
  <c r="C1017" i="1"/>
  <c r="D1016" i="1"/>
  <c r="C1016" i="1"/>
  <c r="D1015" i="1"/>
  <c r="C1015" i="1"/>
  <c r="D1014" i="1"/>
  <c r="C1014" i="1"/>
  <c r="D1013" i="1"/>
  <c r="C1013" i="1"/>
  <c r="D1012" i="1"/>
  <c r="C1012" i="1"/>
  <c r="D1011" i="1"/>
  <c r="C1011" i="1"/>
  <c r="D1010" i="1"/>
  <c r="C1010" i="1"/>
  <c r="D1009" i="1"/>
  <c r="C1009" i="1"/>
  <c r="D1008" i="1"/>
  <c r="C1008" i="1"/>
  <c r="D1007" i="1"/>
  <c r="C1007" i="1"/>
  <c r="D1006" i="1"/>
  <c r="C1006" i="1"/>
  <c r="D1005" i="1"/>
  <c r="C1005" i="1"/>
  <c r="D1004" i="1"/>
  <c r="C1004" i="1"/>
  <c r="D1003" i="1"/>
  <c r="C1003" i="1"/>
  <c r="D1002" i="1"/>
  <c r="C1002" i="1"/>
  <c r="D1001" i="1"/>
  <c r="C1001" i="1"/>
  <c r="D1000" i="1"/>
  <c r="C1000" i="1"/>
  <c r="D999" i="1"/>
  <c r="C999" i="1"/>
  <c r="D998" i="1"/>
  <c r="C998" i="1"/>
  <c r="D997" i="1"/>
  <c r="C997" i="1"/>
  <c r="D996" i="1"/>
  <c r="C996" i="1"/>
  <c r="D995" i="1"/>
  <c r="C995" i="1"/>
  <c r="D994" i="1"/>
  <c r="C994" i="1"/>
  <c r="D993" i="1"/>
  <c r="C993" i="1"/>
  <c r="D992" i="1"/>
  <c r="C992" i="1"/>
  <c r="D991" i="1"/>
  <c r="C991" i="1"/>
  <c r="D990" i="1"/>
  <c r="C990" i="1"/>
  <c r="D989" i="1"/>
  <c r="C989" i="1"/>
  <c r="D988" i="1"/>
  <c r="C988" i="1"/>
  <c r="D987" i="1"/>
  <c r="C987" i="1"/>
  <c r="D986" i="1"/>
  <c r="C986" i="1"/>
  <c r="D985" i="1"/>
  <c r="C985" i="1"/>
  <c r="D984" i="1"/>
  <c r="C984" i="1"/>
  <c r="D983" i="1"/>
  <c r="C983" i="1"/>
  <c r="D982" i="1"/>
  <c r="C982" i="1"/>
  <c r="D981" i="1"/>
  <c r="C981" i="1"/>
  <c r="D980" i="1"/>
  <c r="C980" i="1"/>
  <c r="D979" i="1"/>
  <c r="C979" i="1"/>
  <c r="D978" i="1"/>
  <c r="C978" i="1"/>
  <c r="D977" i="1"/>
  <c r="C977" i="1"/>
  <c r="D976" i="1"/>
  <c r="C976" i="1"/>
  <c r="D975" i="1"/>
  <c r="C975" i="1"/>
  <c r="D974" i="1"/>
  <c r="C974" i="1"/>
  <c r="D973" i="1"/>
  <c r="C973" i="1"/>
  <c r="D972" i="1"/>
  <c r="C972" i="1"/>
  <c r="D971" i="1"/>
  <c r="C971" i="1"/>
  <c r="D970" i="1"/>
  <c r="C970" i="1"/>
  <c r="D969" i="1"/>
  <c r="C969" i="1"/>
  <c r="D968" i="1"/>
  <c r="C968" i="1"/>
  <c r="D967" i="1"/>
  <c r="C967" i="1"/>
  <c r="D966" i="1"/>
  <c r="C966" i="1"/>
  <c r="D965" i="1"/>
  <c r="C965" i="1"/>
  <c r="D964" i="1"/>
  <c r="C964" i="1"/>
  <c r="D963" i="1"/>
  <c r="C963" i="1"/>
  <c r="D962" i="1"/>
  <c r="C962" i="1"/>
  <c r="D961" i="1"/>
  <c r="C961" i="1"/>
  <c r="D960" i="1"/>
  <c r="C960" i="1"/>
  <c r="D959" i="1"/>
  <c r="C959" i="1"/>
  <c r="D958" i="1"/>
  <c r="C958" i="1"/>
  <c r="D957" i="1"/>
  <c r="C957" i="1"/>
  <c r="D956" i="1"/>
  <c r="C956" i="1"/>
  <c r="D955" i="1"/>
  <c r="C955" i="1"/>
  <c r="D954" i="1"/>
  <c r="C954" i="1"/>
  <c r="D953" i="1"/>
  <c r="C953" i="1"/>
  <c r="D952" i="1"/>
  <c r="C952" i="1"/>
  <c r="D951" i="1"/>
  <c r="C951" i="1"/>
  <c r="D950" i="1"/>
  <c r="D220" i="1" s="1"/>
  <c r="C950" i="1"/>
  <c r="D949" i="1"/>
  <c r="D219" i="1" s="1"/>
  <c r="C949" i="1"/>
  <c r="D948" i="1"/>
  <c r="D218" i="1" s="1"/>
  <c r="C948" i="1"/>
  <c r="D947" i="1"/>
  <c r="D217" i="1" s="1"/>
  <c r="C947" i="1"/>
  <c r="D946" i="1"/>
  <c r="D216" i="1" s="1"/>
  <c r="C946" i="1"/>
  <c r="D945" i="1"/>
  <c r="D215" i="1" s="1"/>
  <c r="C945" i="1"/>
  <c r="D944" i="1"/>
  <c r="D214" i="1" s="1"/>
  <c r="C944" i="1"/>
  <c r="D943" i="1"/>
  <c r="D213" i="1" s="1"/>
  <c r="C943" i="1"/>
  <c r="D942" i="1"/>
  <c r="D212" i="1" s="1"/>
  <c r="C942" i="1"/>
  <c r="D941" i="1"/>
  <c r="D211" i="1" s="1"/>
  <c r="C941" i="1"/>
  <c r="D940" i="1"/>
  <c r="D210" i="1" s="1"/>
  <c r="C940" i="1"/>
  <c r="D939" i="1"/>
  <c r="D209" i="1" s="1"/>
  <c r="C939" i="1"/>
  <c r="D938" i="1"/>
  <c r="C938" i="1"/>
  <c r="D937" i="1"/>
  <c r="D207" i="1" s="1"/>
  <c r="C937" i="1"/>
  <c r="D936" i="1"/>
  <c r="D206" i="1" s="1"/>
  <c r="C936" i="1"/>
  <c r="D935" i="1"/>
  <c r="D205" i="1" s="1"/>
  <c r="C935" i="1"/>
  <c r="D934" i="1"/>
  <c r="D204" i="1" s="1"/>
  <c r="C934" i="1"/>
  <c r="D933" i="1"/>
  <c r="D203" i="1" s="1"/>
  <c r="C933" i="1"/>
  <c r="D932" i="1"/>
  <c r="D202" i="1" s="1"/>
  <c r="C932" i="1"/>
  <c r="D931" i="1"/>
  <c r="D201" i="1" s="1"/>
  <c r="C931" i="1"/>
  <c r="D930" i="1"/>
  <c r="D200" i="1" s="1"/>
  <c r="C930" i="1"/>
  <c r="D929" i="1"/>
  <c r="D199" i="1" s="1"/>
  <c r="C929" i="1"/>
  <c r="D928" i="1"/>
  <c r="D198" i="1" s="1"/>
  <c r="C928" i="1"/>
  <c r="D927" i="1"/>
  <c r="D197" i="1" s="1"/>
  <c r="C927" i="1"/>
  <c r="D926" i="1"/>
  <c r="D196" i="1" s="1"/>
  <c r="C926" i="1"/>
  <c r="D925" i="1"/>
  <c r="D194" i="1" s="1"/>
  <c r="C925" i="1"/>
  <c r="D924" i="1"/>
  <c r="C924" i="1"/>
  <c r="D923" i="1"/>
  <c r="C923" i="1"/>
  <c r="D922" i="1"/>
  <c r="C922" i="1"/>
  <c r="D921" i="1"/>
  <c r="C921" i="1"/>
  <c r="D920" i="1"/>
  <c r="C920" i="1"/>
  <c r="D919" i="1"/>
  <c r="C919" i="1"/>
  <c r="D918" i="1"/>
  <c r="C918" i="1"/>
  <c r="D917" i="1"/>
  <c r="C917" i="1"/>
  <c r="D916" i="1"/>
  <c r="C916" i="1"/>
  <c r="D915" i="1"/>
  <c r="C915" i="1"/>
  <c r="D914" i="1"/>
  <c r="C914" i="1"/>
  <c r="D913" i="1"/>
  <c r="C913" i="1"/>
  <c r="D912" i="1"/>
  <c r="C912" i="1"/>
  <c r="D911" i="1"/>
  <c r="C911" i="1"/>
  <c r="D910" i="1"/>
  <c r="C910" i="1"/>
  <c r="D909" i="1"/>
  <c r="C909" i="1"/>
  <c r="D908" i="1"/>
  <c r="C908" i="1"/>
  <c r="D907" i="1"/>
  <c r="C907" i="1"/>
  <c r="D906" i="1"/>
  <c r="C906" i="1"/>
  <c r="D905" i="1"/>
  <c r="C905" i="1"/>
  <c r="D904" i="1"/>
  <c r="C904" i="1"/>
  <c r="D903" i="1"/>
  <c r="C903" i="1"/>
  <c r="D902" i="1"/>
  <c r="C902" i="1"/>
  <c r="D901" i="1"/>
  <c r="C901" i="1"/>
  <c r="D900" i="1"/>
  <c r="C900" i="1"/>
  <c r="D899" i="1"/>
  <c r="C899" i="1"/>
  <c r="D898" i="1"/>
  <c r="C898" i="1"/>
  <c r="D897" i="1"/>
  <c r="C897" i="1"/>
  <c r="D896" i="1"/>
  <c r="C896" i="1"/>
  <c r="D895" i="1"/>
  <c r="C895" i="1"/>
  <c r="D894" i="1"/>
  <c r="C894" i="1"/>
  <c r="D893" i="1"/>
  <c r="C893" i="1"/>
  <c r="D892" i="1"/>
  <c r="D162" i="1" s="1"/>
  <c r="C892" i="1"/>
  <c r="D891" i="1"/>
  <c r="D161" i="1" s="1"/>
  <c r="C891" i="1"/>
  <c r="D890" i="1"/>
  <c r="D160" i="1" s="1"/>
  <c r="C890" i="1"/>
  <c r="D889" i="1"/>
  <c r="D159" i="1" s="1"/>
  <c r="C889" i="1"/>
  <c r="D888" i="1"/>
  <c r="D158" i="1" s="1"/>
  <c r="C888" i="1"/>
  <c r="D887" i="1"/>
  <c r="D157" i="1" s="1"/>
  <c r="C887" i="1"/>
  <c r="D886" i="1"/>
  <c r="D156" i="1" s="1"/>
  <c r="C886" i="1"/>
  <c r="D885" i="1"/>
  <c r="D155" i="1" s="1"/>
  <c r="C885" i="1"/>
  <c r="D884" i="1"/>
  <c r="D154" i="1" s="1"/>
  <c r="C884" i="1"/>
  <c r="D883" i="1"/>
  <c r="D153" i="1" s="1"/>
  <c r="C883" i="1"/>
  <c r="D882" i="1"/>
  <c r="D152" i="1" s="1"/>
  <c r="C882" i="1"/>
  <c r="D881" i="1"/>
  <c r="D151" i="1" s="1"/>
  <c r="C881" i="1"/>
  <c r="D880" i="1"/>
  <c r="D150" i="1" s="1"/>
  <c r="C880" i="1"/>
  <c r="D879" i="1"/>
  <c r="D149" i="1" s="1"/>
  <c r="C879" i="1"/>
  <c r="D878" i="1"/>
  <c r="D148" i="1" s="1"/>
  <c r="C878" i="1"/>
  <c r="D877" i="1"/>
  <c r="D147" i="1" s="1"/>
  <c r="C877" i="1"/>
  <c r="D876" i="1"/>
  <c r="D146" i="1" s="1"/>
  <c r="C876" i="1"/>
  <c r="D875" i="1"/>
  <c r="D145" i="1" s="1"/>
  <c r="C875" i="1"/>
  <c r="D874" i="1"/>
  <c r="D144" i="1" s="1"/>
  <c r="C874" i="1"/>
  <c r="D873" i="1"/>
  <c r="C873" i="1"/>
  <c r="D872" i="1"/>
  <c r="D142" i="1" s="1"/>
  <c r="C872" i="1"/>
  <c r="D871" i="1"/>
  <c r="D141" i="1" s="1"/>
  <c r="C871" i="1"/>
  <c r="D870" i="1"/>
  <c r="C870" i="1"/>
  <c r="D869" i="1"/>
  <c r="C869" i="1"/>
  <c r="D868" i="1"/>
  <c r="D138" i="1" s="1"/>
  <c r="C868" i="1"/>
  <c r="D867" i="1"/>
  <c r="D137" i="1" s="1"/>
  <c r="C867" i="1"/>
  <c r="D866" i="1"/>
  <c r="D136" i="1" s="1"/>
  <c r="C866" i="1"/>
  <c r="D865" i="1"/>
  <c r="C865" i="1"/>
  <c r="D864" i="1"/>
  <c r="C864" i="1"/>
  <c r="D863" i="1"/>
  <c r="C863" i="1"/>
  <c r="D862" i="1"/>
  <c r="C862" i="1"/>
  <c r="D861" i="1"/>
  <c r="C861" i="1"/>
  <c r="D860" i="1"/>
  <c r="C860" i="1"/>
  <c r="D859" i="1"/>
  <c r="C859" i="1"/>
  <c r="O859" i="1" s="1"/>
  <c r="D858" i="1"/>
  <c r="C858" i="1"/>
  <c r="D857" i="1"/>
  <c r="C857" i="1"/>
  <c r="D856" i="1"/>
  <c r="C856" i="1"/>
  <c r="D855" i="1"/>
  <c r="C855" i="1"/>
  <c r="D854" i="1"/>
  <c r="C854" i="1"/>
  <c r="D853" i="1"/>
  <c r="C853" i="1"/>
  <c r="D852" i="1"/>
  <c r="C852" i="1"/>
  <c r="D851" i="1"/>
  <c r="C851" i="1"/>
  <c r="D850" i="1"/>
  <c r="C850" i="1"/>
  <c r="D849" i="1"/>
  <c r="C849" i="1"/>
  <c r="D848" i="1"/>
  <c r="C848" i="1"/>
  <c r="D847" i="1"/>
  <c r="C847" i="1"/>
  <c r="D846" i="1"/>
  <c r="C846" i="1"/>
  <c r="D845" i="1"/>
  <c r="C845" i="1"/>
  <c r="D844" i="1"/>
  <c r="C844" i="1"/>
  <c r="D843" i="1"/>
  <c r="C843" i="1"/>
  <c r="D842" i="1"/>
  <c r="C842" i="1"/>
  <c r="D841" i="1"/>
  <c r="C841" i="1"/>
  <c r="D840" i="1"/>
  <c r="C840" i="1"/>
  <c r="D839" i="1"/>
  <c r="C839" i="1"/>
  <c r="D838" i="1"/>
  <c r="C838" i="1"/>
  <c r="D837" i="1"/>
  <c r="C837" i="1"/>
  <c r="D836" i="1"/>
  <c r="C836" i="1"/>
  <c r="D835" i="1"/>
  <c r="C835" i="1"/>
  <c r="D834" i="1"/>
  <c r="D104" i="1" s="1"/>
  <c r="C834" i="1"/>
  <c r="D833" i="1"/>
  <c r="D103" i="1" s="1"/>
  <c r="C833" i="1"/>
  <c r="D832" i="1"/>
  <c r="D6" i="1" s="1"/>
  <c r="C832" i="1"/>
  <c r="D831" i="1"/>
  <c r="C7" i="1" s="1"/>
  <c r="C831" i="1"/>
  <c r="D830" i="1"/>
  <c r="C830" i="1"/>
  <c r="D829" i="1"/>
  <c r="C342" i="1" s="1"/>
  <c r="C829" i="1"/>
  <c r="D828" i="1"/>
  <c r="C341" i="1" s="1"/>
  <c r="C828" i="1"/>
  <c r="D827" i="1"/>
  <c r="C340" i="1" s="1"/>
  <c r="C827" i="1"/>
  <c r="D826" i="1"/>
  <c r="C339" i="1" s="1"/>
  <c r="C826" i="1"/>
  <c r="D825" i="1"/>
  <c r="C338" i="1" s="1"/>
  <c r="C825" i="1"/>
  <c r="D824" i="1"/>
  <c r="C824" i="1"/>
  <c r="D823" i="1"/>
  <c r="C823" i="1"/>
  <c r="D822" i="1"/>
  <c r="C822" i="1"/>
  <c r="D821" i="1"/>
  <c r="C334" i="1" s="1"/>
  <c r="C821" i="1"/>
  <c r="D820" i="1"/>
  <c r="C820" i="1"/>
  <c r="D819" i="1"/>
  <c r="C332" i="1" s="1"/>
  <c r="C819" i="1"/>
  <c r="D818" i="1"/>
  <c r="C331" i="1" s="1"/>
  <c r="C818" i="1"/>
  <c r="D817" i="1"/>
  <c r="C330" i="1" s="1"/>
  <c r="C817" i="1"/>
  <c r="D816" i="1"/>
  <c r="C816" i="1"/>
  <c r="D815" i="1"/>
  <c r="C815" i="1"/>
  <c r="D814" i="1"/>
  <c r="C814" i="1"/>
  <c r="D813" i="1"/>
  <c r="C813" i="1"/>
  <c r="D812" i="1"/>
  <c r="C812" i="1"/>
  <c r="D811" i="1"/>
  <c r="C324" i="1" s="1"/>
  <c r="C811" i="1"/>
  <c r="D810" i="1"/>
  <c r="C810" i="1"/>
  <c r="D809" i="1"/>
  <c r="C322" i="1" s="1"/>
  <c r="C809" i="1"/>
  <c r="D808" i="1"/>
  <c r="C321" i="1" s="1"/>
  <c r="C808" i="1"/>
  <c r="D807" i="1"/>
  <c r="C807" i="1"/>
  <c r="D806" i="1"/>
  <c r="C319" i="1" s="1"/>
  <c r="C806" i="1"/>
  <c r="D805" i="1"/>
  <c r="C318" i="1" s="1"/>
  <c r="C805" i="1"/>
  <c r="D804" i="1"/>
  <c r="C317" i="1" s="1"/>
  <c r="C804" i="1"/>
  <c r="D803" i="1"/>
  <c r="C316" i="1" s="1"/>
  <c r="C803" i="1"/>
  <c r="D802" i="1"/>
  <c r="C315" i="1" s="1"/>
  <c r="C802" i="1"/>
  <c r="D801" i="1"/>
  <c r="C314" i="1" s="1"/>
  <c r="C801" i="1"/>
  <c r="D800" i="1"/>
  <c r="C313" i="1" s="1"/>
  <c r="C800" i="1"/>
  <c r="D799" i="1"/>
  <c r="C312" i="1" s="1"/>
  <c r="C799" i="1"/>
  <c r="D798" i="1"/>
  <c r="C311" i="1" s="1"/>
  <c r="C798" i="1"/>
  <c r="D797" i="1"/>
  <c r="C310" i="1" s="1"/>
  <c r="C797" i="1"/>
  <c r="D796" i="1"/>
  <c r="C309" i="1" s="1"/>
  <c r="C796" i="1"/>
  <c r="D795" i="1"/>
  <c r="C308" i="1" s="1"/>
  <c r="C795" i="1"/>
  <c r="D794" i="1"/>
  <c r="C307" i="1" s="1"/>
  <c r="C794" i="1"/>
  <c r="D793" i="1"/>
  <c r="C793" i="1"/>
  <c r="D792" i="1"/>
  <c r="C792" i="1"/>
  <c r="D791" i="1"/>
  <c r="C304" i="1" s="1"/>
  <c r="C791" i="1"/>
  <c r="D790" i="1"/>
  <c r="C303" i="1" s="1"/>
  <c r="C790" i="1"/>
  <c r="D789" i="1"/>
  <c r="C789" i="1"/>
  <c r="D788" i="1"/>
  <c r="C788" i="1"/>
  <c r="D787" i="1"/>
  <c r="C787" i="1"/>
  <c r="D786" i="1"/>
  <c r="C786" i="1"/>
  <c r="D785" i="1"/>
  <c r="C785" i="1"/>
  <c r="D784" i="1"/>
  <c r="C784" i="1"/>
  <c r="D783" i="1"/>
  <c r="C296" i="1" s="1"/>
  <c r="C783" i="1"/>
  <c r="D782" i="1"/>
  <c r="C295" i="1" s="1"/>
  <c r="C782" i="1"/>
  <c r="D781" i="1"/>
  <c r="C781" i="1"/>
  <c r="D780" i="1"/>
  <c r="C293" i="1" s="1"/>
  <c r="C780" i="1"/>
  <c r="D779" i="1"/>
  <c r="C779" i="1"/>
  <c r="D778" i="1"/>
  <c r="C778" i="1"/>
  <c r="D777" i="1"/>
  <c r="C290" i="1" s="1"/>
  <c r="C777" i="1"/>
  <c r="D776" i="1"/>
  <c r="C289" i="1" s="1"/>
  <c r="C776" i="1"/>
  <c r="D775" i="1"/>
  <c r="C775" i="1"/>
  <c r="D774" i="1"/>
  <c r="C287" i="1" s="1"/>
  <c r="C774" i="1"/>
  <c r="D773" i="1"/>
  <c r="C773" i="1"/>
  <c r="D772" i="1"/>
  <c r="C772" i="1"/>
  <c r="D771" i="1"/>
  <c r="C771" i="1"/>
  <c r="D770" i="1"/>
  <c r="C770" i="1"/>
  <c r="D769" i="1"/>
  <c r="C769" i="1"/>
  <c r="D768" i="1"/>
  <c r="C768" i="1"/>
  <c r="D767" i="1"/>
  <c r="C767" i="1"/>
  <c r="D766" i="1"/>
  <c r="C766" i="1"/>
  <c r="D765" i="1"/>
  <c r="C765" i="1"/>
  <c r="D764" i="1"/>
  <c r="C764" i="1"/>
  <c r="D763" i="1"/>
  <c r="C763" i="1"/>
  <c r="D762" i="1"/>
  <c r="C762" i="1"/>
  <c r="D761" i="1"/>
  <c r="C761" i="1"/>
  <c r="D760" i="1"/>
  <c r="C760" i="1"/>
  <c r="D759" i="1"/>
  <c r="C759" i="1"/>
  <c r="D758" i="1"/>
  <c r="C758" i="1"/>
  <c r="D757" i="1"/>
  <c r="C757" i="1"/>
  <c r="D756" i="1"/>
  <c r="C756" i="1"/>
  <c r="D755" i="1"/>
  <c r="C755" i="1"/>
  <c r="D754" i="1"/>
  <c r="C754" i="1"/>
  <c r="D753" i="1"/>
  <c r="C753" i="1"/>
  <c r="D752" i="1"/>
  <c r="C752" i="1"/>
  <c r="D751" i="1"/>
  <c r="C751" i="1"/>
  <c r="D750" i="1"/>
  <c r="C750" i="1"/>
  <c r="D749" i="1"/>
  <c r="C749" i="1"/>
  <c r="D748" i="1"/>
  <c r="C748" i="1"/>
  <c r="D747" i="1"/>
  <c r="C747" i="1"/>
  <c r="D746" i="1"/>
  <c r="C746" i="1"/>
  <c r="D745" i="1"/>
  <c r="C745" i="1"/>
  <c r="D744" i="1"/>
  <c r="C744" i="1"/>
  <c r="D743" i="1"/>
  <c r="C743" i="1"/>
  <c r="D742" i="1"/>
  <c r="C742" i="1"/>
  <c r="D741" i="1"/>
  <c r="C741" i="1"/>
  <c r="D740" i="1"/>
  <c r="C740" i="1"/>
  <c r="D739" i="1"/>
  <c r="C739" i="1"/>
  <c r="D738" i="1"/>
  <c r="C738" i="1"/>
  <c r="D737" i="1"/>
  <c r="C737" i="1"/>
  <c r="D736" i="1"/>
  <c r="C736" i="1"/>
  <c r="D735" i="1"/>
  <c r="C735" i="1"/>
  <c r="D734" i="1"/>
  <c r="C734" i="1"/>
  <c r="D733" i="1"/>
  <c r="C733" i="1"/>
  <c r="D732" i="1"/>
  <c r="C732" i="1"/>
  <c r="D731" i="1"/>
  <c r="C731" i="1"/>
  <c r="D730" i="1"/>
  <c r="C730" i="1"/>
  <c r="D729" i="1"/>
  <c r="C729" i="1"/>
  <c r="D728" i="1"/>
  <c r="C728" i="1"/>
  <c r="D727" i="1"/>
  <c r="C727" i="1"/>
  <c r="D726" i="1"/>
  <c r="C726" i="1"/>
  <c r="D725" i="1"/>
  <c r="C725" i="1"/>
  <c r="D724" i="1"/>
  <c r="C724" i="1"/>
  <c r="D723" i="1"/>
  <c r="C723" i="1"/>
  <c r="D722" i="1"/>
  <c r="C722" i="1"/>
  <c r="D721" i="1"/>
  <c r="C721" i="1"/>
  <c r="D720" i="1"/>
  <c r="C720" i="1"/>
  <c r="D719" i="1"/>
  <c r="C719" i="1"/>
  <c r="D718" i="1"/>
  <c r="C718" i="1"/>
  <c r="D717" i="1"/>
  <c r="C717" i="1"/>
  <c r="D716" i="1"/>
  <c r="C716" i="1"/>
  <c r="D715" i="1"/>
  <c r="C715" i="1"/>
  <c r="D714" i="1"/>
  <c r="C714" i="1"/>
  <c r="D713" i="1"/>
  <c r="C713" i="1"/>
  <c r="D712" i="1"/>
  <c r="C712" i="1"/>
  <c r="D711" i="1"/>
  <c r="C711" i="1"/>
  <c r="D710" i="1"/>
  <c r="C710" i="1"/>
  <c r="D709" i="1"/>
  <c r="C709" i="1"/>
  <c r="D708" i="1"/>
  <c r="C708" i="1"/>
  <c r="D707" i="1"/>
  <c r="C707" i="1"/>
  <c r="D706" i="1"/>
  <c r="C706" i="1"/>
  <c r="D705" i="1"/>
  <c r="C705" i="1"/>
  <c r="D704" i="1"/>
  <c r="C704" i="1"/>
  <c r="D703" i="1"/>
  <c r="C703" i="1"/>
  <c r="D702" i="1"/>
  <c r="C702" i="1"/>
  <c r="D701" i="1"/>
  <c r="C701" i="1"/>
  <c r="D700" i="1"/>
  <c r="C700" i="1"/>
  <c r="D699" i="1"/>
  <c r="C699" i="1"/>
  <c r="D698" i="1"/>
  <c r="C698" i="1"/>
  <c r="D697" i="1"/>
  <c r="C697" i="1"/>
  <c r="D696" i="1"/>
  <c r="C209" i="1" s="1"/>
  <c r="C696" i="1"/>
  <c r="D695" i="1"/>
  <c r="C208" i="1" s="1"/>
  <c r="C695" i="1"/>
  <c r="D694" i="1"/>
  <c r="C207" i="1" s="1"/>
  <c r="C694" i="1"/>
  <c r="D693" i="1"/>
  <c r="C206" i="1" s="1"/>
  <c r="C693" i="1"/>
  <c r="D692" i="1"/>
  <c r="C205" i="1" s="1"/>
  <c r="C692" i="1"/>
  <c r="D691" i="1"/>
  <c r="C204" i="1" s="1"/>
  <c r="C691" i="1"/>
  <c r="D690" i="1"/>
  <c r="C203" i="1" s="1"/>
  <c r="C690" i="1"/>
  <c r="D689" i="1"/>
  <c r="C202" i="1" s="1"/>
  <c r="C689" i="1"/>
  <c r="D688" i="1"/>
  <c r="C201" i="1" s="1"/>
  <c r="C688" i="1"/>
  <c r="D687" i="1"/>
  <c r="C200" i="1" s="1"/>
  <c r="C687" i="1"/>
  <c r="D686" i="1"/>
  <c r="C199" i="1" s="1"/>
  <c r="C686" i="1"/>
  <c r="D685" i="1"/>
  <c r="C198" i="1" s="1"/>
  <c r="C685" i="1"/>
  <c r="D684" i="1"/>
  <c r="C197" i="1" s="1"/>
  <c r="C684" i="1"/>
  <c r="D683" i="1"/>
  <c r="C683" i="1"/>
  <c r="D682" i="1"/>
  <c r="C682" i="1"/>
  <c r="D681" i="1"/>
  <c r="C681" i="1"/>
  <c r="D680" i="1"/>
  <c r="C680" i="1"/>
  <c r="D679" i="1"/>
  <c r="C679" i="1"/>
  <c r="D678" i="1"/>
  <c r="C678" i="1"/>
  <c r="D677" i="1"/>
  <c r="C677" i="1"/>
  <c r="D676" i="1"/>
  <c r="C676" i="1"/>
  <c r="D675" i="1"/>
  <c r="C675" i="1"/>
  <c r="D674" i="1"/>
  <c r="C674" i="1"/>
  <c r="D673" i="1"/>
  <c r="C673" i="1"/>
  <c r="D672" i="1"/>
  <c r="C672" i="1"/>
  <c r="D671" i="1"/>
  <c r="C671" i="1"/>
  <c r="D670" i="1"/>
  <c r="C670" i="1"/>
  <c r="D669" i="1"/>
  <c r="C669" i="1"/>
  <c r="D668" i="1"/>
  <c r="C668" i="1"/>
  <c r="D667" i="1"/>
  <c r="C667" i="1"/>
  <c r="D666" i="1"/>
  <c r="C666" i="1"/>
  <c r="D665" i="1"/>
  <c r="C665" i="1"/>
  <c r="D664" i="1"/>
  <c r="C664" i="1"/>
  <c r="D663" i="1"/>
  <c r="C663" i="1"/>
  <c r="D662" i="1"/>
  <c r="C662" i="1"/>
  <c r="D661" i="1"/>
  <c r="C661" i="1"/>
  <c r="D660" i="1"/>
  <c r="C660" i="1"/>
  <c r="D659" i="1"/>
  <c r="C659" i="1"/>
  <c r="D658" i="1"/>
  <c r="C658" i="1"/>
  <c r="D657" i="1"/>
  <c r="C657" i="1"/>
  <c r="D656" i="1"/>
  <c r="C656" i="1"/>
  <c r="D655" i="1"/>
  <c r="C655" i="1"/>
  <c r="D654" i="1"/>
  <c r="C654" i="1"/>
  <c r="D653" i="1"/>
  <c r="C653" i="1"/>
  <c r="D652" i="1"/>
  <c r="C652" i="1"/>
  <c r="D651" i="1"/>
  <c r="C651" i="1"/>
  <c r="D650" i="1"/>
  <c r="C650" i="1"/>
  <c r="D649" i="1"/>
  <c r="C649" i="1"/>
  <c r="D648" i="1"/>
  <c r="C648" i="1"/>
  <c r="D647" i="1"/>
  <c r="C647" i="1"/>
  <c r="D646" i="1"/>
  <c r="C646" i="1"/>
  <c r="D645" i="1"/>
  <c r="C645" i="1"/>
  <c r="D644" i="1"/>
  <c r="C644" i="1"/>
  <c r="D643" i="1"/>
  <c r="C643" i="1"/>
  <c r="D642" i="1"/>
  <c r="C155" i="1" s="1"/>
  <c r="C642" i="1"/>
  <c r="D641" i="1"/>
  <c r="C154" i="1" s="1"/>
  <c r="C641" i="1"/>
  <c r="D640" i="1"/>
  <c r="C153" i="1" s="1"/>
  <c r="C640" i="1"/>
  <c r="D639" i="1"/>
  <c r="C152" i="1" s="1"/>
  <c r="C639" i="1"/>
  <c r="D638" i="1"/>
  <c r="C151" i="1" s="1"/>
  <c r="C638" i="1"/>
  <c r="D637" i="1"/>
  <c r="C637" i="1"/>
  <c r="D636" i="1"/>
  <c r="C636" i="1"/>
  <c r="D635" i="1"/>
  <c r="C635" i="1"/>
  <c r="D634" i="1"/>
  <c r="C634" i="1"/>
  <c r="D633" i="1"/>
  <c r="C633" i="1"/>
  <c r="D632" i="1"/>
  <c r="C632" i="1"/>
  <c r="D631" i="1"/>
  <c r="C631" i="1"/>
  <c r="D630" i="1"/>
  <c r="C630" i="1"/>
  <c r="D629" i="1"/>
  <c r="C629" i="1"/>
  <c r="D628" i="1"/>
  <c r="C4" i="1" s="1"/>
  <c r="C628" i="1"/>
  <c r="C5" i="1" s="1"/>
  <c r="D627" i="1"/>
  <c r="C627" i="1"/>
  <c r="D626" i="1"/>
  <c r="C626" i="1"/>
  <c r="D625" i="1"/>
  <c r="C625" i="1"/>
  <c r="D624" i="1"/>
  <c r="C624" i="1"/>
  <c r="D623" i="1"/>
  <c r="C623" i="1"/>
  <c r="D622" i="1"/>
  <c r="C622" i="1"/>
  <c r="D621" i="1"/>
  <c r="C621" i="1"/>
  <c r="D620" i="1"/>
  <c r="C620" i="1"/>
  <c r="D619" i="1"/>
  <c r="C619" i="1"/>
  <c r="D618" i="1"/>
  <c r="C618" i="1"/>
  <c r="D617" i="1"/>
  <c r="C617" i="1"/>
  <c r="D616" i="1"/>
  <c r="C616" i="1"/>
  <c r="D615" i="1"/>
  <c r="C615" i="1"/>
  <c r="D614" i="1"/>
  <c r="C614" i="1"/>
  <c r="D613" i="1"/>
  <c r="C613" i="1"/>
  <c r="D612" i="1"/>
  <c r="C612" i="1"/>
  <c r="D611" i="1"/>
  <c r="C611" i="1"/>
  <c r="D610" i="1"/>
  <c r="C610" i="1"/>
  <c r="D609" i="1"/>
  <c r="C609" i="1"/>
  <c r="D608" i="1"/>
  <c r="C608" i="1"/>
  <c r="D607" i="1"/>
  <c r="C607" i="1"/>
  <c r="D606" i="1"/>
  <c r="C606" i="1"/>
  <c r="D605" i="1"/>
  <c r="C605" i="1"/>
  <c r="D604" i="1"/>
  <c r="C604" i="1"/>
  <c r="D603" i="1"/>
  <c r="C603" i="1"/>
  <c r="D602" i="1"/>
  <c r="C602" i="1"/>
  <c r="D601" i="1"/>
  <c r="C601" i="1"/>
  <c r="D600" i="1"/>
  <c r="C600" i="1"/>
  <c r="D599" i="1"/>
  <c r="C599" i="1"/>
  <c r="D598" i="1"/>
  <c r="C598" i="1"/>
  <c r="D597" i="1"/>
  <c r="C597" i="1"/>
  <c r="D596" i="1"/>
  <c r="C596" i="1"/>
  <c r="D595" i="1"/>
  <c r="C595" i="1"/>
  <c r="D594" i="1"/>
  <c r="C594" i="1"/>
  <c r="D593" i="1"/>
  <c r="C593" i="1"/>
  <c r="D592" i="1"/>
  <c r="C592" i="1"/>
  <c r="D591" i="1"/>
  <c r="C591" i="1"/>
  <c r="D590" i="1"/>
  <c r="C590" i="1"/>
  <c r="D589" i="1"/>
  <c r="C16" i="1" s="1"/>
  <c r="C589" i="1"/>
  <c r="D588" i="1"/>
  <c r="C588" i="1"/>
  <c r="D587" i="1"/>
  <c r="C587" i="1"/>
  <c r="D586" i="1"/>
  <c r="C586" i="1"/>
  <c r="D585" i="1"/>
  <c r="C585" i="1"/>
  <c r="D584" i="1"/>
  <c r="C584" i="1"/>
  <c r="D583" i="1"/>
  <c r="C583" i="1"/>
  <c r="D582" i="1"/>
  <c r="C582" i="1"/>
  <c r="D581" i="1"/>
  <c r="C581" i="1"/>
  <c r="D580" i="1"/>
  <c r="C580" i="1"/>
  <c r="D579" i="1"/>
  <c r="C579" i="1"/>
  <c r="D578" i="1"/>
  <c r="C578" i="1"/>
  <c r="D577" i="1"/>
  <c r="C577" i="1"/>
  <c r="D576" i="1"/>
  <c r="C576" i="1"/>
  <c r="D575" i="1"/>
  <c r="C575" i="1"/>
  <c r="D574" i="1"/>
  <c r="C574" i="1"/>
  <c r="D573" i="1"/>
  <c r="C573" i="1"/>
  <c r="D572" i="1"/>
  <c r="C572" i="1"/>
  <c r="D571" i="1"/>
  <c r="C571" i="1"/>
  <c r="D570" i="1"/>
  <c r="C570" i="1"/>
  <c r="D569" i="1"/>
  <c r="B324" i="1" s="1"/>
  <c r="C569" i="1"/>
  <c r="D568" i="1"/>
  <c r="B323" i="1" s="1"/>
  <c r="C568" i="1"/>
  <c r="D567" i="1"/>
  <c r="B322" i="1" s="1"/>
  <c r="C567" i="1"/>
  <c r="D566" i="1"/>
  <c r="B321" i="1" s="1"/>
  <c r="C566" i="1"/>
  <c r="D565" i="1"/>
  <c r="B320" i="1" s="1"/>
  <c r="C565" i="1"/>
  <c r="D564" i="1"/>
  <c r="B319" i="1" s="1"/>
  <c r="C564" i="1"/>
  <c r="D563" i="1"/>
  <c r="B318" i="1" s="1"/>
  <c r="C563" i="1"/>
  <c r="D562" i="1"/>
  <c r="B317" i="1" s="1"/>
  <c r="C562" i="1"/>
  <c r="D561" i="1"/>
  <c r="B316" i="1" s="1"/>
  <c r="C561" i="1"/>
  <c r="D560" i="1"/>
  <c r="B315" i="1" s="1"/>
  <c r="C560" i="1"/>
  <c r="D559" i="1"/>
  <c r="B314" i="1" s="1"/>
  <c r="C559" i="1"/>
  <c r="D558" i="1"/>
  <c r="B313" i="1" s="1"/>
  <c r="C558" i="1"/>
  <c r="D557" i="1"/>
  <c r="B312" i="1" s="1"/>
  <c r="C557" i="1"/>
  <c r="D556" i="1"/>
  <c r="B311" i="1" s="1"/>
  <c r="C556" i="1"/>
  <c r="D555" i="1"/>
  <c r="B310" i="1" s="1"/>
  <c r="C555" i="1"/>
  <c r="D554" i="1"/>
  <c r="B309" i="1" s="1"/>
  <c r="C554" i="1"/>
  <c r="D553" i="1"/>
  <c r="B308" i="1" s="1"/>
  <c r="C553" i="1"/>
  <c r="D552" i="1"/>
  <c r="B307" i="1" s="1"/>
  <c r="C552" i="1"/>
  <c r="D551" i="1"/>
  <c r="B306" i="1" s="1"/>
  <c r="C551" i="1"/>
  <c r="D550" i="1"/>
  <c r="B305" i="1" s="1"/>
  <c r="C550" i="1"/>
  <c r="D549" i="1"/>
  <c r="B304" i="1" s="1"/>
  <c r="C549" i="1"/>
  <c r="D548" i="1"/>
  <c r="C548" i="1"/>
  <c r="D547" i="1"/>
  <c r="C547" i="1"/>
  <c r="D546" i="1"/>
  <c r="B301" i="1" s="1"/>
  <c r="C546" i="1"/>
  <c r="D545" i="1"/>
  <c r="C545" i="1"/>
  <c r="D544" i="1"/>
  <c r="B299" i="1" s="1"/>
  <c r="C544" i="1"/>
  <c r="D543" i="1"/>
  <c r="C543" i="1"/>
  <c r="D542" i="1"/>
  <c r="C542" i="1"/>
  <c r="D541" i="1"/>
  <c r="B296" i="1" s="1"/>
  <c r="C541" i="1"/>
  <c r="D540" i="1"/>
  <c r="B295" i="1" s="1"/>
  <c r="C540" i="1"/>
  <c r="D539" i="1"/>
  <c r="B294" i="1" s="1"/>
  <c r="C539" i="1"/>
  <c r="D538" i="1"/>
  <c r="B293" i="1" s="1"/>
  <c r="C538" i="1"/>
  <c r="D537" i="1"/>
  <c r="B292" i="1" s="1"/>
  <c r="C537" i="1"/>
  <c r="D536" i="1"/>
  <c r="B291" i="1" s="1"/>
  <c r="C536" i="1"/>
  <c r="D535" i="1"/>
  <c r="C535" i="1"/>
  <c r="D534" i="1"/>
  <c r="C534" i="1"/>
  <c r="D533" i="1"/>
  <c r="C533" i="1"/>
  <c r="D532" i="1"/>
  <c r="B287" i="1" s="1"/>
  <c r="C532" i="1"/>
  <c r="D531" i="1"/>
  <c r="B286" i="1" s="1"/>
  <c r="C531" i="1"/>
  <c r="D530" i="1"/>
  <c r="C530" i="1"/>
  <c r="D529" i="1"/>
  <c r="B284" i="1" s="1"/>
  <c r="C529" i="1"/>
  <c r="D528" i="1"/>
  <c r="C528" i="1"/>
  <c r="D527" i="1"/>
  <c r="C527" i="1"/>
  <c r="D526" i="1"/>
  <c r="B281" i="1" s="1"/>
  <c r="C526" i="1"/>
  <c r="D525" i="1"/>
  <c r="B280" i="1" s="1"/>
  <c r="C525" i="1"/>
  <c r="D524" i="1"/>
  <c r="B279" i="1" s="1"/>
  <c r="C524" i="1"/>
  <c r="D523" i="1"/>
  <c r="B278" i="1" s="1"/>
  <c r="C523" i="1"/>
  <c r="D522" i="1"/>
  <c r="B277" i="1" s="1"/>
  <c r="C522" i="1"/>
  <c r="D521" i="1"/>
  <c r="B276" i="1" s="1"/>
  <c r="C521" i="1"/>
  <c r="D520" i="1"/>
  <c r="B275" i="1" s="1"/>
  <c r="C520" i="1"/>
  <c r="D519" i="1"/>
  <c r="B274" i="1" s="1"/>
  <c r="C519" i="1"/>
  <c r="D518" i="1"/>
  <c r="B273" i="1" s="1"/>
  <c r="C518" i="1"/>
  <c r="D517" i="1"/>
  <c r="B272" i="1" s="1"/>
  <c r="C517" i="1"/>
  <c r="D516" i="1"/>
  <c r="B271" i="1" s="1"/>
  <c r="C516" i="1"/>
  <c r="D515" i="1"/>
  <c r="B270" i="1" s="1"/>
  <c r="C515" i="1"/>
  <c r="D514" i="1"/>
  <c r="B269" i="1" s="1"/>
  <c r="C514" i="1"/>
  <c r="D513" i="1"/>
  <c r="B268" i="1" s="1"/>
  <c r="C513" i="1"/>
  <c r="D512" i="1"/>
  <c r="B267" i="1" s="1"/>
  <c r="C512" i="1"/>
  <c r="D511" i="1"/>
  <c r="B266" i="1" s="1"/>
  <c r="C511" i="1"/>
  <c r="D510" i="1"/>
  <c r="B265" i="1" s="1"/>
  <c r="C510" i="1"/>
  <c r="D509" i="1"/>
  <c r="B264" i="1" s="1"/>
  <c r="C509" i="1"/>
  <c r="D508" i="1"/>
  <c r="B263" i="1" s="1"/>
  <c r="C508" i="1"/>
  <c r="D507" i="1"/>
  <c r="B262" i="1" s="1"/>
  <c r="C507" i="1"/>
  <c r="D506" i="1"/>
  <c r="B261" i="1" s="1"/>
  <c r="C506" i="1"/>
  <c r="D505" i="1"/>
  <c r="B260" i="1" s="1"/>
  <c r="C505" i="1"/>
  <c r="D504" i="1"/>
  <c r="B259" i="1" s="1"/>
  <c r="C504" i="1"/>
  <c r="D503" i="1"/>
  <c r="C503" i="1"/>
  <c r="D502" i="1"/>
  <c r="C502" i="1"/>
  <c r="D501" i="1"/>
  <c r="C501" i="1"/>
  <c r="D500" i="1"/>
  <c r="E500" i="1" s="1"/>
  <c r="C500" i="1"/>
  <c r="D499" i="1"/>
  <c r="C499" i="1"/>
  <c r="D498" i="1"/>
  <c r="C498" i="1"/>
  <c r="D497" i="1"/>
  <c r="C497" i="1"/>
  <c r="D496" i="1"/>
  <c r="C496" i="1"/>
  <c r="D495" i="1"/>
  <c r="C495" i="1"/>
  <c r="D494" i="1"/>
  <c r="C494" i="1"/>
  <c r="D493" i="1"/>
  <c r="C493" i="1"/>
  <c r="D492" i="1"/>
  <c r="C492" i="1"/>
  <c r="D491" i="1"/>
  <c r="C491" i="1"/>
  <c r="D490" i="1"/>
  <c r="C490" i="1"/>
  <c r="D489" i="1"/>
  <c r="C489" i="1"/>
  <c r="D488" i="1"/>
  <c r="C488" i="1"/>
  <c r="D487" i="1"/>
  <c r="C487" i="1"/>
  <c r="D486" i="1"/>
  <c r="C486" i="1"/>
  <c r="D485" i="1"/>
  <c r="C485" i="1"/>
  <c r="D484" i="1"/>
  <c r="C484" i="1"/>
  <c r="D483" i="1"/>
  <c r="C483" i="1"/>
  <c r="D482" i="1"/>
  <c r="C482" i="1"/>
  <c r="D481" i="1"/>
  <c r="C481" i="1"/>
  <c r="D480" i="1"/>
  <c r="C480" i="1"/>
  <c r="D479" i="1"/>
  <c r="C479" i="1"/>
  <c r="D478" i="1"/>
  <c r="C478" i="1"/>
  <c r="D477" i="1"/>
  <c r="C477" i="1"/>
  <c r="D476" i="1"/>
  <c r="C476" i="1"/>
  <c r="D475" i="1"/>
  <c r="C475" i="1"/>
  <c r="D474" i="1"/>
  <c r="R475" i="1" s="1"/>
  <c r="C474" i="1"/>
  <c r="D473" i="1"/>
  <c r="C473" i="1"/>
  <c r="M473" i="1" s="1"/>
  <c r="D472" i="1"/>
  <c r="C472" i="1"/>
  <c r="D471" i="1"/>
  <c r="C471" i="1"/>
  <c r="D470" i="1"/>
  <c r="C470" i="1"/>
  <c r="D469" i="1"/>
  <c r="Q470" i="1" s="1"/>
  <c r="C469" i="1"/>
  <c r="D468" i="1"/>
  <c r="C468" i="1"/>
  <c r="D467" i="1"/>
  <c r="C467" i="1"/>
  <c r="D466" i="1"/>
  <c r="C466" i="1"/>
  <c r="D465" i="1"/>
  <c r="C465" i="1"/>
  <c r="D464" i="1"/>
  <c r="C464" i="1"/>
  <c r="D463" i="1"/>
  <c r="C463" i="1"/>
  <c r="D462" i="1"/>
  <c r="C462" i="1"/>
  <c r="D461" i="1"/>
  <c r="C461" i="1"/>
  <c r="D460" i="1"/>
  <c r="C460" i="1"/>
  <c r="D459" i="1"/>
  <c r="C459" i="1"/>
  <c r="D458" i="1"/>
  <c r="C458" i="1"/>
  <c r="D457" i="1"/>
  <c r="C457" i="1"/>
  <c r="D456" i="1"/>
  <c r="C456" i="1"/>
  <c r="D455" i="1"/>
  <c r="C455" i="1"/>
  <c r="D454" i="1"/>
  <c r="C454" i="1"/>
  <c r="D453" i="1"/>
  <c r="C453" i="1"/>
  <c r="D452" i="1"/>
  <c r="C452" i="1"/>
  <c r="D451" i="1"/>
  <c r="C451" i="1"/>
  <c r="D450" i="1"/>
  <c r="C450" i="1"/>
  <c r="D449" i="1"/>
  <c r="C449" i="1"/>
  <c r="D448" i="1"/>
  <c r="C448" i="1"/>
  <c r="D447" i="1"/>
  <c r="C447" i="1"/>
  <c r="D446" i="1"/>
  <c r="C446" i="1"/>
  <c r="D445" i="1"/>
  <c r="C445" i="1"/>
  <c r="D444" i="1"/>
  <c r="C444" i="1"/>
  <c r="D443" i="1"/>
  <c r="C443" i="1"/>
  <c r="D442" i="1"/>
  <c r="C442" i="1"/>
  <c r="D441" i="1"/>
  <c r="C441" i="1"/>
  <c r="D440" i="1"/>
  <c r="C440" i="1"/>
  <c r="D439" i="1"/>
  <c r="C439" i="1"/>
  <c r="D438" i="1"/>
  <c r="C438" i="1"/>
  <c r="D437" i="1"/>
  <c r="C437" i="1"/>
  <c r="D436" i="1"/>
  <c r="C436" i="1"/>
  <c r="D435" i="1"/>
  <c r="C435" i="1"/>
  <c r="D434" i="1"/>
  <c r="C434" i="1"/>
  <c r="D433" i="1"/>
  <c r="C433" i="1"/>
  <c r="D432" i="1"/>
  <c r="C432" i="1"/>
  <c r="D431" i="1"/>
  <c r="C431" i="1"/>
  <c r="D430" i="1"/>
  <c r="C430" i="1"/>
  <c r="D429" i="1"/>
  <c r="C429" i="1"/>
  <c r="D428" i="1"/>
  <c r="C428" i="1"/>
  <c r="D427" i="1"/>
  <c r="C427" i="1"/>
  <c r="D426" i="1"/>
  <c r="C426" i="1"/>
  <c r="D425" i="1"/>
  <c r="C425" i="1"/>
  <c r="D424" i="1"/>
  <c r="C424" i="1"/>
  <c r="D423" i="1"/>
  <c r="C423" i="1"/>
  <c r="D422" i="1"/>
  <c r="C422" i="1"/>
  <c r="D421" i="1"/>
  <c r="C421" i="1"/>
  <c r="D420" i="1"/>
  <c r="C420" i="1"/>
  <c r="D419" i="1"/>
  <c r="C419" i="1"/>
  <c r="D418" i="1"/>
  <c r="C418" i="1"/>
  <c r="D417" i="1"/>
  <c r="C417" i="1"/>
  <c r="D416" i="1"/>
  <c r="C416" i="1"/>
  <c r="D415" i="1"/>
  <c r="C415" i="1"/>
  <c r="D414" i="1"/>
  <c r="C414" i="1"/>
  <c r="D413" i="1"/>
  <c r="C413" i="1"/>
  <c r="D412" i="1"/>
  <c r="C412" i="1"/>
  <c r="D411" i="1"/>
  <c r="C411" i="1"/>
  <c r="D410" i="1"/>
  <c r="C410" i="1"/>
  <c r="D409" i="1"/>
  <c r="C409" i="1"/>
  <c r="D408" i="1"/>
  <c r="C408" i="1"/>
  <c r="D407" i="1"/>
  <c r="C407" i="1"/>
  <c r="D406" i="1"/>
  <c r="C406" i="1"/>
  <c r="D405" i="1"/>
  <c r="C405" i="1"/>
  <c r="D404" i="1"/>
  <c r="C404" i="1"/>
  <c r="D403" i="1"/>
  <c r="C403" i="1"/>
  <c r="D402" i="1"/>
  <c r="C402" i="1"/>
  <c r="D401" i="1"/>
  <c r="C401" i="1"/>
  <c r="D400" i="1"/>
  <c r="C400" i="1"/>
  <c r="D399" i="1"/>
  <c r="C399" i="1"/>
  <c r="D398" i="1"/>
  <c r="C398" i="1"/>
  <c r="D397" i="1"/>
  <c r="C397" i="1"/>
  <c r="D396" i="1"/>
  <c r="C396" i="1"/>
  <c r="D395" i="1"/>
  <c r="C395" i="1"/>
  <c r="D394" i="1"/>
  <c r="C394" i="1"/>
  <c r="D393" i="1"/>
  <c r="C393" i="1"/>
  <c r="D392" i="1"/>
  <c r="C392" i="1"/>
  <c r="D391" i="1"/>
  <c r="C391" i="1"/>
  <c r="D390" i="1"/>
  <c r="C390" i="1"/>
  <c r="D389" i="1"/>
  <c r="C389" i="1"/>
  <c r="D388" i="1"/>
  <c r="C388" i="1"/>
  <c r="D387" i="1"/>
  <c r="B142" i="1" s="1"/>
  <c r="C387" i="1"/>
  <c r="D386" i="1"/>
  <c r="C386" i="1"/>
  <c r="D385" i="1"/>
  <c r="C385" i="1"/>
  <c r="D384" i="1"/>
  <c r="C384" i="1"/>
  <c r="D383" i="1"/>
  <c r="C383" i="1"/>
  <c r="D382" i="1"/>
  <c r="C382" i="1"/>
  <c r="D381" i="1"/>
  <c r="C381" i="1"/>
  <c r="D380" i="1"/>
  <c r="C380" i="1"/>
  <c r="D379" i="1"/>
  <c r="C379" i="1"/>
  <c r="D378" i="1"/>
  <c r="C378" i="1"/>
  <c r="D377" i="1"/>
  <c r="C377" i="1"/>
  <c r="D376" i="1"/>
  <c r="C376" i="1"/>
  <c r="D375" i="1"/>
  <c r="C375" i="1"/>
  <c r="D374" i="1"/>
  <c r="C374" i="1"/>
  <c r="D373" i="1"/>
  <c r="C373" i="1"/>
  <c r="D372" i="1"/>
  <c r="C372" i="1"/>
  <c r="D371" i="1"/>
  <c r="C371" i="1"/>
  <c r="D370" i="1"/>
  <c r="C370" i="1"/>
  <c r="D369" i="1"/>
  <c r="C369" i="1"/>
  <c r="D368" i="1"/>
  <c r="C368" i="1"/>
  <c r="D367" i="1"/>
  <c r="C367" i="1"/>
  <c r="D366" i="1"/>
  <c r="C366" i="1"/>
  <c r="D365" i="1"/>
  <c r="C365" i="1"/>
  <c r="D364" i="1"/>
  <c r="C364" i="1"/>
  <c r="D363" i="1"/>
  <c r="C363" i="1"/>
  <c r="D362" i="1"/>
  <c r="C362" i="1"/>
  <c r="D361" i="1"/>
  <c r="C361" i="1"/>
  <c r="D360" i="1"/>
  <c r="C360" i="1"/>
  <c r="D359" i="1"/>
  <c r="C359" i="1"/>
  <c r="D358" i="1"/>
  <c r="C358" i="1"/>
  <c r="D357" i="1"/>
  <c r="C357" i="1"/>
  <c r="D356" i="1"/>
  <c r="C356" i="1"/>
  <c r="D355" i="1"/>
  <c r="C355" i="1"/>
  <c r="D354" i="1"/>
  <c r="C354" i="1"/>
  <c r="D353" i="1"/>
  <c r="C353" i="1"/>
  <c r="D352" i="1"/>
  <c r="C352" i="1"/>
  <c r="D351" i="1"/>
  <c r="C351" i="1"/>
  <c r="D350" i="1"/>
  <c r="C350" i="1"/>
  <c r="D349" i="1"/>
  <c r="B104" i="1" s="1"/>
  <c r="C349" i="1"/>
  <c r="D348" i="1"/>
  <c r="C348" i="1"/>
  <c r="D347" i="1"/>
  <c r="C347" i="1"/>
  <c r="I342" i="1"/>
  <c r="H342" i="1"/>
  <c r="G342" i="1"/>
  <c r="F342" i="1"/>
  <c r="E342" i="1"/>
  <c r="D342" i="1"/>
  <c r="I341" i="1"/>
  <c r="H341" i="1"/>
  <c r="G341" i="1"/>
  <c r="F341" i="1"/>
  <c r="E341" i="1"/>
  <c r="D341" i="1"/>
  <c r="I340" i="1"/>
  <c r="H340" i="1"/>
  <c r="G340" i="1"/>
  <c r="F340" i="1"/>
  <c r="E340" i="1"/>
  <c r="D340" i="1"/>
  <c r="I339" i="1"/>
  <c r="H339" i="1"/>
  <c r="G339" i="1"/>
  <c r="F339" i="1"/>
  <c r="E339" i="1"/>
  <c r="D339" i="1"/>
  <c r="I338" i="1"/>
  <c r="H338" i="1"/>
  <c r="G338" i="1"/>
  <c r="F338" i="1"/>
  <c r="E338" i="1"/>
  <c r="D338" i="1"/>
  <c r="I337" i="1"/>
  <c r="H337" i="1"/>
  <c r="G337" i="1"/>
  <c r="F337" i="1"/>
  <c r="E337" i="1"/>
  <c r="D337" i="1"/>
  <c r="I336" i="1"/>
  <c r="H336" i="1"/>
  <c r="G336" i="1"/>
  <c r="F336" i="1"/>
  <c r="E336" i="1"/>
  <c r="D336" i="1"/>
  <c r="I335" i="1"/>
  <c r="H335" i="1"/>
  <c r="G335" i="1"/>
  <c r="F335" i="1"/>
  <c r="E335" i="1"/>
  <c r="D335" i="1"/>
  <c r="I334" i="1"/>
  <c r="H334" i="1"/>
  <c r="G334" i="1"/>
  <c r="F334" i="1"/>
  <c r="E334" i="1"/>
  <c r="D334" i="1"/>
  <c r="I333" i="1"/>
  <c r="H333" i="1"/>
  <c r="G333" i="1"/>
  <c r="F333" i="1"/>
  <c r="E333" i="1"/>
  <c r="D333" i="1"/>
  <c r="I332" i="1"/>
  <c r="H332" i="1"/>
  <c r="G332" i="1"/>
  <c r="F332" i="1"/>
  <c r="E332" i="1"/>
  <c r="D332" i="1"/>
  <c r="I331" i="1"/>
  <c r="H331" i="1"/>
  <c r="G331" i="1"/>
  <c r="F331" i="1"/>
  <c r="E331" i="1"/>
  <c r="D331" i="1"/>
  <c r="I330" i="1"/>
  <c r="H330" i="1"/>
  <c r="G330" i="1"/>
  <c r="F330" i="1"/>
  <c r="E330" i="1"/>
  <c r="D330" i="1"/>
  <c r="I329" i="1"/>
  <c r="H329" i="1"/>
  <c r="G329" i="1"/>
  <c r="F329" i="1"/>
  <c r="E329" i="1"/>
  <c r="D329" i="1"/>
  <c r="I328" i="1"/>
  <c r="H328" i="1"/>
  <c r="G328" i="1"/>
  <c r="F328" i="1"/>
  <c r="E328" i="1"/>
  <c r="D328" i="1"/>
  <c r="I327" i="1"/>
  <c r="H327" i="1"/>
  <c r="G327" i="1"/>
  <c r="F327" i="1"/>
  <c r="E327" i="1"/>
  <c r="D327" i="1"/>
  <c r="I326" i="1"/>
  <c r="H326" i="1"/>
  <c r="G326" i="1"/>
  <c r="F326" i="1"/>
  <c r="E326" i="1"/>
  <c r="D326" i="1"/>
  <c r="I325" i="1"/>
  <c r="H325" i="1"/>
  <c r="G325" i="1"/>
  <c r="F325" i="1"/>
  <c r="E325" i="1"/>
  <c r="D325" i="1"/>
  <c r="I324" i="1"/>
  <c r="H324" i="1"/>
  <c r="G324" i="1"/>
  <c r="F324" i="1"/>
  <c r="E324" i="1"/>
  <c r="D324" i="1"/>
  <c r="I323" i="1"/>
  <c r="H323" i="1"/>
  <c r="G323" i="1"/>
  <c r="F323" i="1"/>
  <c r="E323" i="1"/>
  <c r="D323" i="1"/>
  <c r="I322" i="1"/>
  <c r="H322" i="1"/>
  <c r="G322" i="1"/>
  <c r="F322" i="1"/>
  <c r="E322" i="1"/>
  <c r="D322" i="1"/>
  <c r="I321" i="1"/>
  <c r="H321" i="1"/>
  <c r="G321" i="1"/>
  <c r="F321" i="1"/>
  <c r="E321" i="1"/>
  <c r="D321" i="1"/>
  <c r="I320" i="1"/>
  <c r="H320" i="1"/>
  <c r="G320" i="1"/>
  <c r="F320" i="1"/>
  <c r="E320" i="1"/>
  <c r="D320" i="1"/>
  <c r="I319" i="1"/>
  <c r="H319" i="1"/>
  <c r="G319" i="1"/>
  <c r="F319" i="1"/>
  <c r="E319" i="1"/>
  <c r="D319" i="1"/>
  <c r="I318" i="1"/>
  <c r="H318" i="1"/>
  <c r="G318" i="1"/>
  <c r="F318" i="1"/>
  <c r="E318" i="1"/>
  <c r="D318" i="1"/>
  <c r="I317" i="1"/>
  <c r="H317" i="1"/>
  <c r="G317" i="1"/>
  <c r="F317" i="1"/>
  <c r="E317" i="1"/>
  <c r="D317" i="1"/>
  <c r="I316" i="1"/>
  <c r="H316" i="1"/>
  <c r="G316" i="1"/>
  <c r="F316" i="1"/>
  <c r="E316" i="1"/>
  <c r="D316" i="1"/>
  <c r="I315" i="1"/>
  <c r="H315" i="1"/>
  <c r="G315" i="1"/>
  <c r="F315" i="1"/>
  <c r="E315" i="1"/>
  <c r="I314" i="1"/>
  <c r="H314" i="1"/>
  <c r="G314" i="1"/>
  <c r="F314" i="1"/>
  <c r="E314" i="1"/>
  <c r="I313" i="1"/>
  <c r="H313" i="1"/>
  <c r="G313" i="1"/>
  <c r="F313" i="1"/>
  <c r="E313" i="1"/>
  <c r="I312" i="1"/>
  <c r="H312" i="1"/>
  <c r="G312" i="1"/>
  <c r="F312" i="1"/>
  <c r="E312" i="1"/>
  <c r="I311" i="1"/>
  <c r="H311" i="1"/>
  <c r="G311" i="1"/>
  <c r="F311" i="1"/>
  <c r="E311" i="1"/>
  <c r="I310" i="1"/>
  <c r="H310" i="1"/>
  <c r="G310" i="1"/>
  <c r="F310" i="1"/>
  <c r="E310" i="1"/>
  <c r="I309" i="1"/>
  <c r="H309" i="1"/>
  <c r="G309" i="1"/>
  <c r="F309" i="1"/>
  <c r="E309" i="1"/>
  <c r="I308" i="1"/>
  <c r="H308" i="1"/>
  <c r="G308" i="1"/>
  <c r="F308" i="1"/>
  <c r="E308" i="1"/>
  <c r="I307" i="1"/>
  <c r="H307" i="1"/>
  <c r="G307" i="1"/>
  <c r="F307" i="1"/>
  <c r="E307" i="1"/>
  <c r="I306" i="1"/>
  <c r="H306" i="1"/>
  <c r="G306" i="1"/>
  <c r="F306" i="1"/>
  <c r="E306" i="1"/>
  <c r="I305" i="1"/>
  <c r="H305" i="1"/>
  <c r="G305" i="1"/>
  <c r="F305" i="1"/>
  <c r="E305" i="1"/>
  <c r="I304" i="1"/>
  <c r="H304" i="1"/>
  <c r="G304" i="1"/>
  <c r="F304" i="1"/>
  <c r="E304" i="1"/>
  <c r="I303" i="1"/>
  <c r="H303" i="1"/>
  <c r="G303" i="1"/>
  <c r="F303" i="1"/>
  <c r="E303" i="1"/>
  <c r="I302" i="1"/>
  <c r="H302" i="1"/>
  <c r="G302" i="1"/>
  <c r="F302" i="1"/>
  <c r="E302" i="1"/>
  <c r="I301" i="1"/>
  <c r="H301" i="1"/>
  <c r="G301" i="1"/>
  <c r="F301" i="1"/>
  <c r="E301" i="1"/>
  <c r="I300" i="1"/>
  <c r="H300" i="1"/>
  <c r="G300" i="1"/>
  <c r="F300" i="1"/>
  <c r="E300" i="1"/>
  <c r="I299" i="1"/>
  <c r="H299" i="1"/>
  <c r="G299" i="1"/>
  <c r="F299" i="1"/>
  <c r="E299" i="1"/>
  <c r="I298" i="1"/>
  <c r="H298" i="1"/>
  <c r="G298" i="1"/>
  <c r="F298" i="1"/>
  <c r="E298" i="1"/>
  <c r="I297" i="1"/>
  <c r="H297" i="1"/>
  <c r="G297" i="1"/>
  <c r="F297" i="1"/>
  <c r="E297" i="1"/>
  <c r="I296" i="1"/>
  <c r="H296" i="1"/>
  <c r="G296" i="1"/>
  <c r="F296" i="1"/>
  <c r="E296" i="1"/>
  <c r="I295" i="1"/>
  <c r="H295" i="1"/>
  <c r="G295" i="1"/>
  <c r="F295" i="1"/>
  <c r="E295" i="1"/>
  <c r="I294" i="1"/>
  <c r="H294" i="1"/>
  <c r="G294" i="1"/>
  <c r="F294" i="1"/>
  <c r="E294" i="1"/>
  <c r="I293" i="1"/>
  <c r="H293" i="1"/>
  <c r="G293" i="1"/>
  <c r="F293" i="1"/>
  <c r="E293" i="1"/>
  <c r="I292" i="1"/>
  <c r="H292" i="1"/>
  <c r="G292" i="1"/>
  <c r="F292" i="1"/>
  <c r="E292" i="1"/>
  <c r="I291" i="1"/>
  <c r="H291" i="1"/>
  <c r="G291" i="1"/>
  <c r="F291" i="1"/>
  <c r="E291" i="1"/>
  <c r="I290" i="1"/>
  <c r="H290" i="1"/>
  <c r="G290" i="1"/>
  <c r="F290" i="1"/>
  <c r="E290" i="1"/>
  <c r="I289" i="1"/>
  <c r="H289" i="1"/>
  <c r="G289" i="1"/>
  <c r="F289" i="1"/>
  <c r="E289" i="1"/>
  <c r="D289" i="1"/>
  <c r="I288" i="1"/>
  <c r="H288" i="1"/>
  <c r="G288" i="1"/>
  <c r="F288" i="1"/>
  <c r="E288" i="1"/>
  <c r="D288" i="1"/>
  <c r="I287" i="1"/>
  <c r="H287" i="1"/>
  <c r="G287" i="1"/>
  <c r="F287" i="1"/>
  <c r="E287" i="1"/>
  <c r="D287" i="1"/>
  <c r="I286" i="1"/>
  <c r="H286" i="1"/>
  <c r="G286" i="1"/>
  <c r="F286" i="1"/>
  <c r="E286" i="1"/>
  <c r="D286" i="1"/>
  <c r="I285" i="1"/>
  <c r="H285" i="1"/>
  <c r="G285" i="1"/>
  <c r="F285" i="1"/>
  <c r="E285" i="1"/>
  <c r="D285" i="1"/>
  <c r="I284" i="1"/>
  <c r="H284" i="1"/>
  <c r="G284" i="1"/>
  <c r="F284" i="1"/>
  <c r="E284" i="1"/>
  <c r="D284" i="1"/>
  <c r="I283" i="1"/>
  <c r="H283" i="1"/>
  <c r="G283" i="1"/>
  <c r="F283" i="1"/>
  <c r="E283" i="1"/>
  <c r="D283" i="1"/>
  <c r="B283" i="1"/>
  <c r="I282" i="1"/>
  <c r="H282" i="1"/>
  <c r="G282" i="1"/>
  <c r="F282" i="1"/>
  <c r="E282" i="1"/>
  <c r="D282" i="1"/>
  <c r="B282" i="1"/>
  <c r="I281" i="1"/>
  <c r="H281" i="1"/>
  <c r="G281" i="1"/>
  <c r="F281" i="1"/>
  <c r="E281" i="1"/>
  <c r="D281" i="1"/>
  <c r="I280" i="1"/>
  <c r="H280" i="1"/>
  <c r="G280" i="1"/>
  <c r="F280" i="1"/>
  <c r="E280" i="1"/>
  <c r="D280" i="1"/>
  <c r="I279" i="1"/>
  <c r="H279" i="1"/>
  <c r="G279" i="1"/>
  <c r="F279" i="1"/>
  <c r="E279" i="1"/>
  <c r="D279" i="1"/>
  <c r="I278" i="1"/>
  <c r="H278" i="1"/>
  <c r="G278" i="1"/>
  <c r="F278" i="1"/>
  <c r="E278" i="1"/>
  <c r="D278" i="1"/>
  <c r="I277" i="1"/>
  <c r="H277" i="1"/>
  <c r="G277" i="1"/>
  <c r="F277" i="1"/>
  <c r="E277" i="1"/>
  <c r="D277" i="1"/>
  <c r="I276" i="1"/>
  <c r="H276" i="1"/>
  <c r="G276" i="1"/>
  <c r="F276" i="1"/>
  <c r="E276" i="1"/>
  <c r="D276" i="1"/>
  <c r="I275" i="1"/>
  <c r="H275" i="1"/>
  <c r="G275" i="1"/>
  <c r="F275" i="1"/>
  <c r="E275" i="1"/>
  <c r="D275" i="1"/>
  <c r="I274" i="1"/>
  <c r="H274" i="1"/>
  <c r="G274" i="1"/>
  <c r="F274" i="1"/>
  <c r="E274" i="1"/>
  <c r="D274" i="1"/>
  <c r="I273" i="1"/>
  <c r="H273" i="1"/>
  <c r="G273" i="1"/>
  <c r="F273" i="1"/>
  <c r="E273" i="1"/>
  <c r="D273" i="1"/>
  <c r="I272" i="1"/>
  <c r="H272" i="1"/>
  <c r="G272" i="1"/>
  <c r="F272" i="1"/>
  <c r="E272" i="1"/>
  <c r="D272" i="1"/>
  <c r="I271" i="1"/>
  <c r="H271" i="1"/>
  <c r="G271" i="1"/>
  <c r="F271" i="1"/>
  <c r="E271" i="1"/>
  <c r="D271" i="1"/>
  <c r="I270" i="1"/>
  <c r="H270" i="1"/>
  <c r="G270" i="1"/>
  <c r="F270" i="1"/>
  <c r="E270" i="1"/>
  <c r="D270" i="1"/>
  <c r="I269" i="1"/>
  <c r="H269" i="1"/>
  <c r="G269" i="1"/>
  <c r="F269" i="1"/>
  <c r="E269" i="1"/>
  <c r="D269" i="1"/>
  <c r="I268" i="1"/>
  <c r="H268" i="1"/>
  <c r="G268" i="1"/>
  <c r="F268" i="1"/>
  <c r="E268" i="1"/>
  <c r="D268" i="1"/>
  <c r="C268" i="1"/>
  <c r="I267" i="1"/>
  <c r="H267" i="1"/>
  <c r="G267" i="1"/>
  <c r="F267" i="1"/>
  <c r="E267" i="1"/>
  <c r="D267" i="1"/>
  <c r="C267" i="1"/>
  <c r="I266" i="1"/>
  <c r="H266" i="1"/>
  <c r="G266" i="1"/>
  <c r="F266" i="1"/>
  <c r="E266" i="1"/>
  <c r="D266" i="1"/>
  <c r="C266" i="1"/>
  <c r="I265" i="1"/>
  <c r="H265" i="1"/>
  <c r="G265" i="1"/>
  <c r="F265" i="1"/>
  <c r="E265" i="1"/>
  <c r="D265" i="1"/>
  <c r="C265" i="1"/>
  <c r="I264" i="1"/>
  <c r="H264" i="1"/>
  <c r="G264" i="1"/>
  <c r="F264" i="1"/>
  <c r="E264" i="1"/>
  <c r="D264" i="1"/>
  <c r="C264" i="1"/>
  <c r="I263" i="1"/>
  <c r="H263" i="1"/>
  <c r="G263" i="1"/>
  <c r="F263" i="1"/>
  <c r="E263" i="1"/>
  <c r="D263" i="1"/>
  <c r="C263" i="1"/>
  <c r="I262" i="1"/>
  <c r="H262" i="1"/>
  <c r="G262" i="1"/>
  <c r="F262" i="1"/>
  <c r="E262" i="1"/>
  <c r="D262" i="1"/>
  <c r="C262" i="1"/>
  <c r="I261" i="1"/>
  <c r="H261" i="1"/>
  <c r="G261" i="1"/>
  <c r="F261" i="1"/>
  <c r="E261" i="1"/>
  <c r="D261" i="1"/>
  <c r="C261" i="1"/>
  <c r="I260" i="1"/>
  <c r="H260" i="1"/>
  <c r="G260" i="1"/>
  <c r="F260" i="1"/>
  <c r="E260" i="1"/>
  <c r="D260" i="1"/>
  <c r="C260" i="1"/>
  <c r="I259" i="1"/>
  <c r="H259" i="1"/>
  <c r="G259" i="1"/>
  <c r="F259" i="1"/>
  <c r="E259" i="1"/>
  <c r="D259" i="1"/>
  <c r="C259" i="1"/>
  <c r="I258" i="1"/>
  <c r="H258" i="1"/>
  <c r="G258" i="1"/>
  <c r="F258" i="1"/>
  <c r="E258" i="1"/>
  <c r="I257" i="1"/>
  <c r="H257" i="1"/>
  <c r="G257" i="1"/>
  <c r="F257" i="1"/>
  <c r="E257" i="1"/>
  <c r="I256" i="1"/>
  <c r="H256" i="1"/>
  <c r="G256" i="1"/>
  <c r="F256" i="1"/>
  <c r="E256" i="1"/>
  <c r="I255" i="1"/>
  <c r="H255" i="1"/>
  <c r="G255" i="1"/>
  <c r="F255" i="1"/>
  <c r="E255" i="1"/>
  <c r="I254" i="1"/>
  <c r="H254" i="1"/>
  <c r="G254" i="1"/>
  <c r="F254" i="1"/>
  <c r="E254" i="1"/>
  <c r="I253" i="1"/>
  <c r="H253" i="1"/>
  <c r="G253" i="1"/>
  <c r="F253" i="1"/>
  <c r="E253" i="1"/>
  <c r="I252" i="1"/>
  <c r="H252" i="1"/>
  <c r="G252" i="1"/>
  <c r="F252" i="1"/>
  <c r="E252" i="1"/>
  <c r="I251" i="1"/>
  <c r="H251" i="1"/>
  <c r="G251" i="1"/>
  <c r="F251" i="1"/>
  <c r="E251" i="1"/>
  <c r="I250" i="1"/>
  <c r="H250" i="1"/>
  <c r="G250" i="1"/>
  <c r="F250" i="1"/>
  <c r="E250" i="1"/>
  <c r="I249" i="1"/>
  <c r="H249" i="1"/>
  <c r="G249" i="1"/>
  <c r="F249" i="1"/>
  <c r="E249" i="1"/>
  <c r="I248" i="1"/>
  <c r="H248" i="1"/>
  <c r="G248" i="1"/>
  <c r="F248" i="1"/>
  <c r="E248" i="1"/>
  <c r="I247" i="1"/>
  <c r="H247" i="1"/>
  <c r="G247" i="1"/>
  <c r="F247" i="1"/>
  <c r="E247" i="1"/>
  <c r="I246" i="1"/>
  <c r="H246" i="1"/>
  <c r="G246" i="1"/>
  <c r="F246" i="1"/>
  <c r="E246" i="1"/>
  <c r="I245" i="1"/>
  <c r="H245" i="1"/>
  <c r="G245" i="1"/>
  <c r="F245" i="1"/>
  <c r="E245" i="1"/>
  <c r="I244" i="1"/>
  <c r="H244" i="1"/>
  <c r="G244" i="1"/>
  <c r="F244" i="1"/>
  <c r="E244" i="1"/>
  <c r="I243" i="1"/>
  <c r="H243" i="1"/>
  <c r="G243" i="1"/>
  <c r="F243" i="1"/>
  <c r="E243" i="1"/>
  <c r="I242" i="1"/>
  <c r="H242" i="1"/>
  <c r="G242" i="1"/>
  <c r="F242" i="1"/>
  <c r="E242" i="1"/>
  <c r="I241" i="1"/>
  <c r="H241" i="1"/>
  <c r="G241" i="1"/>
  <c r="F241" i="1"/>
  <c r="E241" i="1"/>
  <c r="I240" i="1"/>
  <c r="H240" i="1"/>
  <c r="G240" i="1"/>
  <c r="F240" i="1"/>
  <c r="E240" i="1"/>
  <c r="I239" i="1"/>
  <c r="H239" i="1"/>
  <c r="G239" i="1"/>
  <c r="F239" i="1"/>
  <c r="E239" i="1"/>
  <c r="I238" i="1"/>
  <c r="H238" i="1"/>
  <c r="G238" i="1"/>
  <c r="F238" i="1"/>
  <c r="E238" i="1"/>
  <c r="I237" i="1"/>
  <c r="H237" i="1"/>
  <c r="G237" i="1"/>
  <c r="F237" i="1"/>
  <c r="E237" i="1"/>
  <c r="I236" i="1"/>
  <c r="H236" i="1"/>
  <c r="G236" i="1"/>
  <c r="F236" i="1"/>
  <c r="E236" i="1"/>
  <c r="I235" i="1"/>
  <c r="H235" i="1"/>
  <c r="G235" i="1"/>
  <c r="F235" i="1"/>
  <c r="E235" i="1"/>
  <c r="I234" i="1"/>
  <c r="H234" i="1"/>
  <c r="G234" i="1"/>
  <c r="F234" i="1"/>
  <c r="E234" i="1"/>
  <c r="I233" i="1"/>
  <c r="H233" i="1"/>
  <c r="G233" i="1"/>
  <c r="F233" i="1"/>
  <c r="E233" i="1"/>
  <c r="I232" i="1"/>
  <c r="H232" i="1"/>
  <c r="G232" i="1"/>
  <c r="F232" i="1"/>
  <c r="E232" i="1"/>
  <c r="I231" i="1"/>
  <c r="H231" i="1"/>
  <c r="G231" i="1"/>
  <c r="F231" i="1"/>
  <c r="E231" i="1"/>
  <c r="I230" i="1"/>
  <c r="H230" i="1"/>
  <c r="G230" i="1"/>
  <c r="F230" i="1"/>
  <c r="E230" i="1"/>
  <c r="I229" i="1"/>
  <c r="H229" i="1"/>
  <c r="G229" i="1"/>
  <c r="F229" i="1"/>
  <c r="E229" i="1"/>
  <c r="I228" i="1"/>
  <c r="H228" i="1"/>
  <c r="G228" i="1"/>
  <c r="F228" i="1"/>
  <c r="E228" i="1"/>
  <c r="I227" i="1"/>
  <c r="H227" i="1"/>
  <c r="G227" i="1"/>
  <c r="F227" i="1"/>
  <c r="E227" i="1"/>
  <c r="I226" i="1"/>
  <c r="H226" i="1"/>
  <c r="G226" i="1"/>
  <c r="F226" i="1"/>
  <c r="E226" i="1"/>
  <c r="I225" i="1"/>
  <c r="H225" i="1"/>
  <c r="G225" i="1"/>
  <c r="F225" i="1"/>
  <c r="E225" i="1"/>
  <c r="I224" i="1"/>
  <c r="H224" i="1"/>
  <c r="G224" i="1"/>
  <c r="F224" i="1"/>
  <c r="E224" i="1"/>
  <c r="I223" i="1"/>
  <c r="H223" i="1"/>
  <c r="G223" i="1"/>
  <c r="F223" i="1"/>
  <c r="E223" i="1"/>
  <c r="I222" i="1"/>
  <c r="H222" i="1"/>
  <c r="G222" i="1"/>
  <c r="F222" i="1"/>
  <c r="E222" i="1"/>
  <c r="D222" i="1"/>
  <c r="I221" i="1"/>
  <c r="H221" i="1"/>
  <c r="G221" i="1"/>
  <c r="F221" i="1"/>
  <c r="E221" i="1"/>
  <c r="D221" i="1"/>
  <c r="I220" i="1"/>
  <c r="H220" i="1"/>
  <c r="G220" i="1"/>
  <c r="I219" i="1"/>
  <c r="H219" i="1"/>
  <c r="G219" i="1"/>
  <c r="F219" i="1"/>
  <c r="I218" i="1"/>
  <c r="H218" i="1"/>
  <c r="G218" i="1"/>
  <c r="F218" i="1"/>
  <c r="I217" i="1"/>
  <c r="H217" i="1"/>
  <c r="G217" i="1"/>
  <c r="F217" i="1"/>
  <c r="E217" i="1"/>
  <c r="I216" i="1"/>
  <c r="H216" i="1"/>
  <c r="G216" i="1"/>
  <c r="F216" i="1"/>
  <c r="E216" i="1"/>
  <c r="I215" i="1"/>
  <c r="H215" i="1"/>
  <c r="G215" i="1"/>
  <c r="F215" i="1"/>
  <c r="E215" i="1"/>
  <c r="I214" i="1"/>
  <c r="H214" i="1"/>
  <c r="G214" i="1"/>
  <c r="F214" i="1"/>
  <c r="E214" i="1"/>
  <c r="I213" i="1"/>
  <c r="H213" i="1"/>
  <c r="G213" i="1"/>
  <c r="F213" i="1"/>
  <c r="E213" i="1"/>
  <c r="I212" i="1"/>
  <c r="H212" i="1"/>
  <c r="G212" i="1"/>
  <c r="F212" i="1"/>
  <c r="E212" i="1"/>
  <c r="I211" i="1"/>
  <c r="H211" i="1"/>
  <c r="G211" i="1"/>
  <c r="F211" i="1"/>
  <c r="E211" i="1"/>
  <c r="I210" i="1"/>
  <c r="H210" i="1"/>
  <c r="G210" i="1"/>
  <c r="F210" i="1"/>
  <c r="E210" i="1"/>
  <c r="I209" i="1"/>
  <c r="H209" i="1"/>
  <c r="G209" i="1"/>
  <c r="F209" i="1"/>
  <c r="E209" i="1"/>
  <c r="I208" i="1"/>
  <c r="H208" i="1"/>
  <c r="G208" i="1"/>
  <c r="F208" i="1"/>
  <c r="E208" i="1"/>
  <c r="I207" i="1"/>
  <c r="H207" i="1"/>
  <c r="G207" i="1"/>
  <c r="F207" i="1"/>
  <c r="E207" i="1"/>
  <c r="I206" i="1"/>
  <c r="H206" i="1"/>
  <c r="G206" i="1"/>
  <c r="F206" i="1"/>
  <c r="E206" i="1"/>
  <c r="I205" i="1"/>
  <c r="H205" i="1"/>
  <c r="G205" i="1"/>
  <c r="F205" i="1"/>
  <c r="E205" i="1"/>
  <c r="I204" i="1"/>
  <c r="H204" i="1"/>
  <c r="G204" i="1"/>
  <c r="F204" i="1"/>
  <c r="E204" i="1"/>
  <c r="I203" i="1"/>
  <c r="H203" i="1"/>
  <c r="G203" i="1"/>
  <c r="F203" i="1"/>
  <c r="E203" i="1"/>
  <c r="I202" i="1"/>
  <c r="H202" i="1"/>
  <c r="G202" i="1"/>
  <c r="F202" i="1"/>
  <c r="E202" i="1"/>
  <c r="I201" i="1"/>
  <c r="H201" i="1"/>
  <c r="G201" i="1"/>
  <c r="F201" i="1"/>
  <c r="E201" i="1"/>
  <c r="I200" i="1"/>
  <c r="H200" i="1"/>
  <c r="G200" i="1"/>
  <c r="F200" i="1"/>
  <c r="E200" i="1"/>
  <c r="I199" i="1"/>
  <c r="H199" i="1"/>
  <c r="G199" i="1"/>
  <c r="F199" i="1"/>
  <c r="E199" i="1"/>
  <c r="I198" i="1"/>
  <c r="H198" i="1"/>
  <c r="G198" i="1"/>
  <c r="F198" i="1"/>
  <c r="E198" i="1"/>
  <c r="B198" i="1"/>
  <c r="I197" i="1"/>
  <c r="H197" i="1"/>
  <c r="G197" i="1"/>
  <c r="F197" i="1"/>
  <c r="E197" i="1"/>
  <c r="B197" i="1"/>
  <c r="I196" i="1"/>
  <c r="H196" i="1"/>
  <c r="G196" i="1"/>
  <c r="F196" i="1"/>
  <c r="I195" i="1"/>
  <c r="H195" i="1"/>
  <c r="G195" i="1"/>
  <c r="F195" i="1"/>
  <c r="E195" i="1"/>
  <c r="I194" i="1"/>
  <c r="H194" i="1"/>
  <c r="G194" i="1"/>
  <c r="F194" i="1"/>
  <c r="E194" i="1"/>
  <c r="I193" i="1"/>
  <c r="H193" i="1"/>
  <c r="G193" i="1"/>
  <c r="F193" i="1"/>
  <c r="E193" i="1"/>
  <c r="D193" i="1"/>
  <c r="I192" i="1"/>
  <c r="H192" i="1"/>
  <c r="G192" i="1"/>
  <c r="F192" i="1"/>
  <c r="E192" i="1"/>
  <c r="D192" i="1"/>
  <c r="I191" i="1"/>
  <c r="H191" i="1"/>
  <c r="G191" i="1"/>
  <c r="F191" i="1"/>
  <c r="E191" i="1"/>
  <c r="D191" i="1"/>
  <c r="I190" i="1"/>
  <c r="H190" i="1"/>
  <c r="G190" i="1"/>
  <c r="F190" i="1"/>
  <c r="E190" i="1"/>
  <c r="D190" i="1"/>
  <c r="I189" i="1"/>
  <c r="H189" i="1"/>
  <c r="G189" i="1"/>
  <c r="F189" i="1"/>
  <c r="E189" i="1"/>
  <c r="D189" i="1"/>
  <c r="I188" i="1"/>
  <c r="H188" i="1"/>
  <c r="G188" i="1"/>
  <c r="F188" i="1"/>
  <c r="E188" i="1"/>
  <c r="D188" i="1"/>
  <c r="I187" i="1"/>
  <c r="H187" i="1"/>
  <c r="G187" i="1"/>
  <c r="F187" i="1"/>
  <c r="E187" i="1"/>
  <c r="D187" i="1"/>
  <c r="I186" i="1"/>
  <c r="H186" i="1"/>
  <c r="G186" i="1"/>
  <c r="F186" i="1"/>
  <c r="E186" i="1"/>
  <c r="D186" i="1"/>
  <c r="I185" i="1"/>
  <c r="H185" i="1"/>
  <c r="G185" i="1"/>
  <c r="F185" i="1"/>
  <c r="E185" i="1"/>
  <c r="D185" i="1"/>
  <c r="I184" i="1"/>
  <c r="H184" i="1"/>
  <c r="G184" i="1"/>
  <c r="F184" i="1"/>
  <c r="E184" i="1"/>
  <c r="D184" i="1"/>
  <c r="I183" i="1"/>
  <c r="H183" i="1"/>
  <c r="G183" i="1"/>
  <c r="F183" i="1"/>
  <c r="E183" i="1"/>
  <c r="D183" i="1"/>
  <c r="I182" i="1"/>
  <c r="H182" i="1"/>
  <c r="G182" i="1"/>
  <c r="F182" i="1"/>
  <c r="E182" i="1"/>
  <c r="D182" i="1"/>
  <c r="I181" i="1"/>
  <c r="H181" i="1"/>
  <c r="G181" i="1"/>
  <c r="F181" i="1"/>
  <c r="E181" i="1"/>
  <c r="D181" i="1"/>
  <c r="I180" i="1"/>
  <c r="H180" i="1"/>
  <c r="G180" i="1"/>
  <c r="F180" i="1"/>
  <c r="E180" i="1"/>
  <c r="D180" i="1"/>
  <c r="I179" i="1"/>
  <c r="H179" i="1"/>
  <c r="G179" i="1"/>
  <c r="F179" i="1"/>
  <c r="E179" i="1"/>
  <c r="D179" i="1"/>
  <c r="I178" i="1"/>
  <c r="H178" i="1"/>
  <c r="G178" i="1"/>
  <c r="F178" i="1"/>
  <c r="E178" i="1"/>
  <c r="D178" i="1"/>
  <c r="I177" i="1"/>
  <c r="H177" i="1"/>
  <c r="G177" i="1"/>
  <c r="F177" i="1"/>
  <c r="E177" i="1"/>
  <c r="D177" i="1"/>
  <c r="I176" i="1"/>
  <c r="H176" i="1"/>
  <c r="G176" i="1"/>
  <c r="F176" i="1"/>
  <c r="E176" i="1"/>
  <c r="D176" i="1"/>
  <c r="I175" i="1"/>
  <c r="H175" i="1"/>
  <c r="G175" i="1"/>
  <c r="F175" i="1"/>
  <c r="E175" i="1"/>
  <c r="D175" i="1"/>
  <c r="I174" i="1"/>
  <c r="H174" i="1"/>
  <c r="G174" i="1"/>
  <c r="F174" i="1"/>
  <c r="E174" i="1"/>
  <c r="D174" i="1"/>
  <c r="I173" i="1"/>
  <c r="H173" i="1"/>
  <c r="G173" i="1"/>
  <c r="F173" i="1"/>
  <c r="E173" i="1"/>
  <c r="D173" i="1"/>
  <c r="I172" i="1"/>
  <c r="H172" i="1"/>
  <c r="G172" i="1"/>
  <c r="F172" i="1"/>
  <c r="E172" i="1"/>
  <c r="D172" i="1"/>
  <c r="I171" i="1"/>
  <c r="H171" i="1"/>
  <c r="G171" i="1"/>
  <c r="F171" i="1"/>
  <c r="E171" i="1"/>
  <c r="D171" i="1"/>
  <c r="I170" i="1"/>
  <c r="H170" i="1"/>
  <c r="G170" i="1"/>
  <c r="F170" i="1"/>
  <c r="E170" i="1"/>
  <c r="D170" i="1"/>
  <c r="I169" i="1"/>
  <c r="H169" i="1"/>
  <c r="G169" i="1"/>
  <c r="F169" i="1"/>
  <c r="E169" i="1"/>
  <c r="D169" i="1"/>
  <c r="I168" i="1"/>
  <c r="H168" i="1"/>
  <c r="G168" i="1"/>
  <c r="F168" i="1"/>
  <c r="E168" i="1"/>
  <c r="D168" i="1"/>
  <c r="I167" i="1"/>
  <c r="H167" i="1"/>
  <c r="G167" i="1"/>
  <c r="F167" i="1"/>
  <c r="E167" i="1"/>
  <c r="D167" i="1"/>
  <c r="I166" i="1"/>
  <c r="H166" i="1"/>
  <c r="G166" i="1"/>
  <c r="F166" i="1"/>
  <c r="E166" i="1"/>
  <c r="D166" i="1"/>
  <c r="I165" i="1"/>
  <c r="H165" i="1"/>
  <c r="G165" i="1"/>
  <c r="F165" i="1"/>
  <c r="E165" i="1"/>
  <c r="D165" i="1"/>
  <c r="I164" i="1"/>
  <c r="H164" i="1"/>
  <c r="G164" i="1"/>
  <c r="F164" i="1"/>
  <c r="E164" i="1"/>
  <c r="D164" i="1"/>
  <c r="I163" i="1"/>
  <c r="H163" i="1"/>
  <c r="G163" i="1"/>
  <c r="F163" i="1"/>
  <c r="E163" i="1"/>
  <c r="D163" i="1"/>
  <c r="I162" i="1"/>
  <c r="H162" i="1"/>
  <c r="G162" i="1"/>
  <c r="F162" i="1"/>
  <c r="E162" i="1"/>
  <c r="I161" i="1"/>
  <c r="H161" i="1"/>
  <c r="G161" i="1"/>
  <c r="F161" i="1"/>
  <c r="E161" i="1"/>
  <c r="I160" i="1"/>
  <c r="H160" i="1"/>
  <c r="G160" i="1"/>
  <c r="F160" i="1"/>
  <c r="E160" i="1"/>
  <c r="I159" i="1"/>
  <c r="H159" i="1"/>
  <c r="G159" i="1"/>
  <c r="F159" i="1"/>
  <c r="E159" i="1"/>
  <c r="I158" i="1"/>
  <c r="H158" i="1"/>
  <c r="G158" i="1"/>
  <c r="F158" i="1"/>
  <c r="E158" i="1"/>
  <c r="I157" i="1"/>
  <c r="H157" i="1"/>
  <c r="G157" i="1"/>
  <c r="F157" i="1"/>
  <c r="E157" i="1"/>
  <c r="I156" i="1"/>
  <c r="H156" i="1"/>
  <c r="G156" i="1"/>
  <c r="F156" i="1"/>
  <c r="E156" i="1"/>
  <c r="I155" i="1"/>
  <c r="H155" i="1"/>
  <c r="G155" i="1"/>
  <c r="F155" i="1"/>
  <c r="E155" i="1"/>
  <c r="I154" i="1"/>
  <c r="H154" i="1"/>
  <c r="G154" i="1"/>
  <c r="F154" i="1"/>
  <c r="E154" i="1"/>
  <c r="I153" i="1"/>
  <c r="H153" i="1"/>
  <c r="G153" i="1"/>
  <c r="F153" i="1"/>
  <c r="E153" i="1"/>
  <c r="I152" i="1"/>
  <c r="H152" i="1"/>
  <c r="G152" i="1"/>
  <c r="F152" i="1"/>
  <c r="E152" i="1"/>
  <c r="I151" i="1"/>
  <c r="H151" i="1"/>
  <c r="G151" i="1"/>
  <c r="F151" i="1"/>
  <c r="E151" i="1"/>
  <c r="I150" i="1"/>
  <c r="H150" i="1"/>
  <c r="G150" i="1"/>
  <c r="F150" i="1"/>
  <c r="I149" i="1"/>
  <c r="H149" i="1"/>
  <c r="G149" i="1"/>
  <c r="F149" i="1"/>
  <c r="E149" i="1"/>
  <c r="I148" i="1"/>
  <c r="H148" i="1"/>
  <c r="G148" i="1"/>
  <c r="F148" i="1"/>
  <c r="E148" i="1"/>
  <c r="I147" i="1"/>
  <c r="H147" i="1"/>
  <c r="G147" i="1"/>
  <c r="F147" i="1"/>
  <c r="E147" i="1"/>
  <c r="I146" i="1"/>
  <c r="H146" i="1"/>
  <c r="G146" i="1"/>
  <c r="F146" i="1"/>
  <c r="E146" i="1"/>
  <c r="I145" i="1"/>
  <c r="H145" i="1"/>
  <c r="G145" i="1"/>
  <c r="F145" i="1"/>
  <c r="E145" i="1"/>
  <c r="I144" i="1"/>
  <c r="H144" i="1"/>
  <c r="G144" i="1"/>
  <c r="F144" i="1"/>
  <c r="E144" i="1"/>
  <c r="I143" i="1"/>
  <c r="H143" i="1"/>
  <c r="G143" i="1"/>
  <c r="F143" i="1"/>
  <c r="E143" i="1"/>
  <c r="I142" i="1"/>
  <c r="H142" i="1"/>
  <c r="G142" i="1"/>
  <c r="F142" i="1"/>
  <c r="E142" i="1"/>
  <c r="I141" i="1"/>
  <c r="H141" i="1"/>
  <c r="G141" i="1"/>
  <c r="F141" i="1"/>
  <c r="E141" i="1"/>
  <c r="B141" i="1"/>
  <c r="I140" i="1"/>
  <c r="H140" i="1"/>
  <c r="G140" i="1"/>
  <c r="F140" i="1"/>
  <c r="E140" i="1"/>
  <c r="B140" i="1"/>
  <c r="I139" i="1"/>
  <c r="H139" i="1"/>
  <c r="G139" i="1"/>
  <c r="F139" i="1"/>
  <c r="E139" i="1"/>
  <c r="B139" i="1"/>
  <c r="I138" i="1"/>
  <c r="H138" i="1"/>
  <c r="G138" i="1"/>
  <c r="F138" i="1"/>
  <c r="E138" i="1"/>
  <c r="B138" i="1"/>
  <c r="I137" i="1"/>
  <c r="H137" i="1"/>
  <c r="G137" i="1"/>
  <c r="F137" i="1"/>
  <c r="E137" i="1"/>
  <c r="B137" i="1"/>
  <c r="I136" i="1"/>
  <c r="H136" i="1"/>
  <c r="G136" i="1"/>
  <c r="F136" i="1"/>
  <c r="E136" i="1"/>
  <c r="B136" i="1"/>
  <c r="I135" i="1"/>
  <c r="H135" i="1"/>
  <c r="G135" i="1"/>
  <c r="F135" i="1"/>
  <c r="E135" i="1"/>
  <c r="B135" i="1"/>
  <c r="I134" i="1"/>
  <c r="H134" i="1"/>
  <c r="G134" i="1"/>
  <c r="F134" i="1"/>
  <c r="E134" i="1"/>
  <c r="B134" i="1"/>
  <c r="I133" i="1"/>
  <c r="H133" i="1"/>
  <c r="G133" i="1"/>
  <c r="F133" i="1"/>
  <c r="E133" i="1"/>
  <c r="B133" i="1"/>
  <c r="I132" i="1"/>
  <c r="H132" i="1"/>
  <c r="G132" i="1"/>
  <c r="F132" i="1"/>
  <c r="E132" i="1"/>
  <c r="D132" i="1"/>
  <c r="B132" i="1"/>
  <c r="I131" i="1"/>
  <c r="H131" i="1"/>
  <c r="G131" i="1"/>
  <c r="F131" i="1"/>
  <c r="E131" i="1"/>
  <c r="D131" i="1"/>
  <c r="B131" i="1"/>
  <c r="I130" i="1"/>
  <c r="H130" i="1"/>
  <c r="G130" i="1"/>
  <c r="F130" i="1"/>
  <c r="E130" i="1"/>
  <c r="D130" i="1"/>
  <c r="B130" i="1"/>
  <c r="I129" i="1"/>
  <c r="H129" i="1"/>
  <c r="G129" i="1"/>
  <c r="F129" i="1"/>
  <c r="E129" i="1"/>
  <c r="D129" i="1"/>
  <c r="B129" i="1"/>
  <c r="I128" i="1"/>
  <c r="H128" i="1"/>
  <c r="G128" i="1"/>
  <c r="F128" i="1"/>
  <c r="E128" i="1"/>
  <c r="D128" i="1"/>
  <c r="B128" i="1"/>
  <c r="I127" i="1"/>
  <c r="H127" i="1"/>
  <c r="G127" i="1"/>
  <c r="F127" i="1"/>
  <c r="E127" i="1"/>
  <c r="D127" i="1"/>
  <c r="B127" i="1"/>
  <c r="I126" i="1"/>
  <c r="H126" i="1"/>
  <c r="G126" i="1"/>
  <c r="F126" i="1"/>
  <c r="E126" i="1"/>
  <c r="D126" i="1"/>
  <c r="B126" i="1"/>
  <c r="I125" i="1"/>
  <c r="H125" i="1"/>
  <c r="G125" i="1"/>
  <c r="F125" i="1"/>
  <c r="E125" i="1"/>
  <c r="D125" i="1"/>
  <c r="B125" i="1"/>
  <c r="I124" i="1"/>
  <c r="H124" i="1"/>
  <c r="G124" i="1"/>
  <c r="F124" i="1"/>
  <c r="E124" i="1"/>
  <c r="D124" i="1"/>
  <c r="B124" i="1"/>
  <c r="I123" i="1"/>
  <c r="H123" i="1"/>
  <c r="G123" i="1"/>
  <c r="F123" i="1"/>
  <c r="E123" i="1"/>
  <c r="D123" i="1"/>
  <c r="B123" i="1"/>
  <c r="I122" i="1"/>
  <c r="H122" i="1"/>
  <c r="G122" i="1"/>
  <c r="F122" i="1"/>
  <c r="E122" i="1"/>
  <c r="D122" i="1"/>
  <c r="I121" i="1"/>
  <c r="H121" i="1"/>
  <c r="G121" i="1"/>
  <c r="F121" i="1"/>
  <c r="D121" i="1"/>
  <c r="B121" i="1"/>
  <c r="I120" i="1"/>
  <c r="H120" i="1"/>
  <c r="G120" i="1"/>
  <c r="F120" i="1"/>
  <c r="D120" i="1"/>
  <c r="B120" i="1"/>
  <c r="I119" i="1"/>
  <c r="H119" i="1"/>
  <c r="G119" i="1"/>
  <c r="F119" i="1"/>
  <c r="D119" i="1"/>
  <c r="B119" i="1"/>
  <c r="I118" i="1"/>
  <c r="H118" i="1"/>
  <c r="G118" i="1"/>
  <c r="F118" i="1"/>
  <c r="D118" i="1"/>
  <c r="B118" i="1"/>
  <c r="I117" i="1"/>
  <c r="H117" i="1"/>
  <c r="G117" i="1"/>
  <c r="F117" i="1"/>
  <c r="D117" i="1"/>
  <c r="B117" i="1"/>
  <c r="I116" i="1"/>
  <c r="H116" i="1"/>
  <c r="G116" i="1"/>
  <c r="F116" i="1"/>
  <c r="D116" i="1"/>
  <c r="B116" i="1"/>
  <c r="I115" i="1"/>
  <c r="H115" i="1"/>
  <c r="G115" i="1"/>
  <c r="F115" i="1"/>
  <c r="D115" i="1"/>
  <c r="B115" i="1"/>
  <c r="I114" i="1"/>
  <c r="H114" i="1"/>
  <c r="G114" i="1"/>
  <c r="F114" i="1"/>
  <c r="D114" i="1"/>
  <c r="B114" i="1"/>
  <c r="I113" i="1"/>
  <c r="H113" i="1"/>
  <c r="G113" i="1"/>
  <c r="F113" i="1"/>
  <c r="E113" i="1"/>
  <c r="D113" i="1"/>
  <c r="B113" i="1"/>
  <c r="I112" i="1"/>
  <c r="H112" i="1"/>
  <c r="G112" i="1"/>
  <c r="F112" i="1"/>
  <c r="E112" i="1"/>
  <c r="D112" i="1"/>
  <c r="B112" i="1"/>
  <c r="I111" i="1"/>
  <c r="H111" i="1"/>
  <c r="G111" i="1"/>
  <c r="F111" i="1"/>
  <c r="E111" i="1"/>
  <c r="D111" i="1"/>
  <c r="B111" i="1"/>
  <c r="I110" i="1"/>
  <c r="H110" i="1"/>
  <c r="G110" i="1"/>
  <c r="F110" i="1"/>
  <c r="E110" i="1"/>
  <c r="D110" i="1"/>
  <c r="B110" i="1"/>
  <c r="I109" i="1"/>
  <c r="H109" i="1"/>
  <c r="G109" i="1"/>
  <c r="F109" i="1"/>
  <c r="E109" i="1"/>
  <c r="D109" i="1"/>
  <c r="B109" i="1"/>
  <c r="I108" i="1"/>
  <c r="H108" i="1"/>
  <c r="G108" i="1"/>
  <c r="F108" i="1"/>
  <c r="E108" i="1"/>
  <c r="D108" i="1"/>
  <c r="B108" i="1"/>
  <c r="I107" i="1"/>
  <c r="H107" i="1"/>
  <c r="G107" i="1"/>
  <c r="F107" i="1"/>
  <c r="E107" i="1"/>
  <c r="D107" i="1"/>
  <c r="B107" i="1"/>
  <c r="I106" i="1"/>
  <c r="H106" i="1"/>
  <c r="G106" i="1"/>
  <c r="F106" i="1"/>
  <c r="E106" i="1"/>
  <c r="D106" i="1"/>
  <c r="B106" i="1"/>
  <c r="I105" i="1"/>
  <c r="H105" i="1"/>
  <c r="G105" i="1"/>
  <c r="F105" i="1"/>
  <c r="E105" i="1"/>
  <c r="D105" i="1"/>
  <c r="B105" i="1"/>
  <c r="I104" i="1"/>
  <c r="H104" i="1"/>
  <c r="G104" i="1"/>
  <c r="I103" i="1"/>
  <c r="H103" i="1"/>
  <c r="G103" i="1"/>
  <c r="I102" i="1"/>
  <c r="H102" i="1"/>
  <c r="G102" i="1"/>
  <c r="F102" i="1"/>
  <c r="B56" i="1"/>
  <c r="B55" i="1"/>
  <c r="B54" i="1"/>
  <c r="D31" i="1"/>
  <c r="C31" i="1"/>
  <c r="B31" i="1"/>
  <c r="D20" i="1"/>
  <c r="D12" i="1"/>
  <c r="C12" i="1"/>
  <c r="B12" i="1"/>
  <c r="D7" i="1"/>
  <c r="B7" i="1"/>
  <c r="C6" i="1"/>
  <c r="D140" i="1" l="1"/>
  <c r="D134" i="1"/>
  <c r="C337" i="1"/>
  <c r="C336" i="1"/>
  <c r="C335" i="1"/>
  <c r="C333" i="1"/>
  <c r="C328" i="1"/>
  <c r="C326" i="1"/>
  <c r="C305" i="1"/>
  <c r="C302" i="1"/>
  <c r="C301" i="1"/>
  <c r="C298" i="1"/>
  <c r="C297" i="1"/>
  <c r="B290" i="1"/>
  <c r="D143" i="1"/>
  <c r="D135" i="1"/>
  <c r="D133" i="1"/>
  <c r="C329" i="1"/>
  <c r="C325" i="1"/>
  <c r="C323" i="1"/>
  <c r="C299" i="1"/>
  <c r="B303" i="1"/>
  <c r="B285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0" i="1"/>
  <c r="C149" i="1"/>
  <c r="C148" i="1"/>
  <c r="C147" i="1"/>
  <c r="C146" i="1"/>
  <c r="C145" i="1"/>
  <c r="C144" i="1"/>
  <c r="C143" i="1"/>
  <c r="C142" i="1"/>
  <c r="C141" i="1"/>
  <c r="B288" i="1"/>
  <c r="C140" i="1"/>
  <c r="C139" i="1"/>
  <c r="C138" i="1"/>
  <c r="C137" i="1"/>
  <c r="C136" i="1"/>
  <c r="C135" i="1"/>
  <c r="C134" i="1"/>
  <c r="C133" i="1"/>
  <c r="C132" i="1"/>
  <c r="C131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0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5" i="1"/>
  <c r="C300" i="1"/>
  <c r="C294" i="1"/>
  <c r="C288" i="1"/>
  <c r="B298" i="1"/>
  <c r="F103" i="1"/>
  <c r="E196" i="1"/>
  <c r="E150" i="1"/>
  <c r="E103" i="1"/>
  <c r="D195" i="1"/>
  <c r="D139" i="1"/>
  <c r="C327" i="1"/>
  <c r="C306" i="1"/>
  <c r="B300" i="1"/>
  <c r="B297" i="1"/>
  <c r="B289" i="1"/>
  <c r="E218" i="1"/>
  <c r="E220" i="1"/>
  <c r="E219" i="1"/>
  <c r="E102" i="1"/>
  <c r="E104" i="1"/>
  <c r="S939" i="1"/>
  <c r="D208" i="1"/>
  <c r="C20" i="1"/>
  <c r="C320" i="1"/>
  <c r="S698" i="1"/>
  <c r="C210" i="1"/>
  <c r="B19" i="1"/>
  <c r="B6" i="1"/>
  <c r="G1020" i="1"/>
  <c r="F1020" i="1"/>
  <c r="M1020" i="1"/>
  <c r="N1020" i="1" s="1"/>
  <c r="H1020" i="1"/>
  <c r="I1020" i="1" s="1"/>
  <c r="J1020" i="1" s="1"/>
  <c r="O1020" i="1"/>
  <c r="P1020" i="1"/>
  <c r="R1020" i="1"/>
  <c r="Q1020" i="1"/>
  <c r="S1020" i="1"/>
  <c r="P859" i="1"/>
  <c r="Q859" i="1"/>
  <c r="R859" i="1"/>
  <c r="S859" i="1"/>
  <c r="E1020" i="1"/>
  <c r="D102" i="1"/>
  <c r="D25" i="1" s="1"/>
  <c r="D19" i="1"/>
  <c r="F779" i="1"/>
  <c r="C292" i="1"/>
  <c r="G779" i="1"/>
  <c r="H779" i="1"/>
  <c r="I779" i="1" s="1"/>
  <c r="J779" i="1" s="1"/>
  <c r="M779" i="1"/>
  <c r="N779" i="1" s="1"/>
  <c r="O779" i="1"/>
  <c r="P779" i="1"/>
  <c r="S779" i="1"/>
  <c r="R779" i="1"/>
  <c r="Q779" i="1"/>
  <c r="C291" i="1"/>
  <c r="C130" i="1"/>
  <c r="S618" i="1"/>
  <c r="R618" i="1"/>
  <c r="P618" i="1"/>
  <c r="Q618" i="1"/>
  <c r="C19" i="1"/>
  <c r="C18" i="1"/>
  <c r="C17" i="1"/>
  <c r="C102" i="1"/>
  <c r="C25" i="1" s="1"/>
  <c r="B325" i="1"/>
  <c r="B20" i="1"/>
  <c r="B326" i="1"/>
  <c r="B16" i="1"/>
  <c r="B144" i="1"/>
  <c r="B143" i="1"/>
  <c r="B4" i="1"/>
  <c r="B17" i="1"/>
  <c r="S377" i="1"/>
  <c r="R377" i="1"/>
  <c r="Q377" i="1"/>
  <c r="B103" i="1"/>
  <c r="B102" i="1"/>
  <c r="G1100" i="1"/>
  <c r="F1100" i="1"/>
  <c r="O1100" i="1"/>
  <c r="M1100" i="1"/>
  <c r="N1100" i="1" s="1"/>
  <c r="S1100" i="1"/>
  <c r="R1100" i="1"/>
  <c r="Q1100" i="1"/>
  <c r="P1100" i="1"/>
  <c r="F1099" i="1"/>
  <c r="G1099" i="1"/>
  <c r="M1099" i="1"/>
  <c r="N1099" i="1" s="1"/>
  <c r="O1099" i="1"/>
  <c r="F1098" i="1"/>
  <c r="S1099" i="1"/>
  <c r="P1099" i="1"/>
  <c r="Q1099" i="1"/>
  <c r="R1099" i="1"/>
  <c r="G1098" i="1"/>
  <c r="O1098" i="1"/>
  <c r="M1098" i="1"/>
  <c r="N1098" i="1" s="1"/>
  <c r="F1097" i="1"/>
  <c r="G1097" i="1"/>
  <c r="S1098" i="1"/>
  <c r="R1098" i="1"/>
  <c r="Q1098" i="1"/>
  <c r="P1098" i="1"/>
  <c r="M1097" i="1"/>
  <c r="N1097" i="1" s="1"/>
  <c r="O1097" i="1"/>
  <c r="R1097" i="1"/>
  <c r="Q1097" i="1"/>
  <c r="P1097" i="1"/>
  <c r="G1096" i="1"/>
  <c r="F1096" i="1"/>
  <c r="S1097" i="1"/>
  <c r="O1096" i="1"/>
  <c r="M1096" i="1"/>
  <c r="N1096" i="1" s="1"/>
  <c r="R1096" i="1"/>
  <c r="Q1096" i="1"/>
  <c r="P1096" i="1"/>
  <c r="G1095" i="1"/>
  <c r="S1096" i="1"/>
  <c r="F1095" i="1"/>
  <c r="O1095" i="1"/>
  <c r="M1095" i="1"/>
  <c r="N1095" i="1" s="1"/>
  <c r="Q1095" i="1"/>
  <c r="P1095" i="1"/>
  <c r="G1094" i="1"/>
  <c r="S1095" i="1"/>
  <c r="R1095" i="1"/>
  <c r="F1094" i="1"/>
  <c r="M1094" i="1"/>
  <c r="N1094" i="1" s="1"/>
  <c r="O1094" i="1"/>
  <c r="G1093" i="1"/>
  <c r="S1094" i="1"/>
  <c r="R1094" i="1"/>
  <c r="Q1094" i="1"/>
  <c r="P1094" i="1"/>
  <c r="F1093" i="1"/>
  <c r="M1093" i="1"/>
  <c r="N1093" i="1" s="1"/>
  <c r="O1093" i="1"/>
  <c r="G1092" i="1"/>
  <c r="S1093" i="1"/>
  <c r="R1093" i="1"/>
  <c r="Q1093" i="1"/>
  <c r="P1093" i="1"/>
  <c r="F1092" i="1"/>
  <c r="M1092" i="1"/>
  <c r="N1092" i="1" s="1"/>
  <c r="O1092" i="1"/>
  <c r="Q1092" i="1"/>
  <c r="P1092" i="1"/>
  <c r="S1092" i="1"/>
  <c r="R1092" i="1"/>
  <c r="G1091" i="1"/>
  <c r="F1091" i="1"/>
  <c r="M1091" i="1"/>
  <c r="N1091" i="1" s="1"/>
  <c r="O1091" i="1"/>
  <c r="G1090" i="1"/>
  <c r="P1091" i="1"/>
  <c r="F1090" i="1"/>
  <c r="R1091" i="1"/>
  <c r="S1091" i="1"/>
  <c r="Q1091" i="1"/>
  <c r="O1090" i="1"/>
  <c r="M1090" i="1"/>
  <c r="N1090" i="1" s="1"/>
  <c r="G1089" i="1"/>
  <c r="F1089" i="1"/>
  <c r="S1090" i="1"/>
  <c r="R1090" i="1"/>
  <c r="Q1090" i="1"/>
  <c r="P1090" i="1"/>
  <c r="O1089" i="1"/>
  <c r="M1089" i="1"/>
  <c r="N1089" i="1" s="1"/>
  <c r="E1096" i="1"/>
  <c r="E1100" i="1"/>
  <c r="E1089" i="1"/>
  <c r="E1092" i="1"/>
  <c r="E1099" i="1"/>
  <c r="N1088" i="1"/>
  <c r="E1098" i="1"/>
  <c r="E1091" i="1"/>
  <c r="E1097" i="1"/>
  <c r="F1088" i="1"/>
  <c r="E1088" i="1"/>
  <c r="E1090" i="1"/>
  <c r="E1095" i="1"/>
  <c r="S1089" i="1"/>
  <c r="R1089" i="1"/>
  <c r="E1094" i="1"/>
  <c r="Q1089" i="1"/>
  <c r="P1089" i="1"/>
  <c r="E1093" i="1"/>
  <c r="F1087" i="1"/>
  <c r="G1087" i="1"/>
  <c r="M1087" i="1"/>
  <c r="N1087" i="1" s="1"/>
  <c r="O1087" i="1"/>
  <c r="S1087" i="1"/>
  <c r="R1087" i="1"/>
  <c r="F1086" i="1"/>
  <c r="G1086" i="1"/>
  <c r="Q1087" i="1"/>
  <c r="P1087" i="1"/>
  <c r="M1086" i="1"/>
  <c r="N1086" i="1" s="1"/>
  <c r="O1086" i="1"/>
  <c r="R1086" i="1"/>
  <c r="Q1086" i="1"/>
  <c r="G1085" i="1"/>
  <c r="F1085" i="1"/>
  <c r="P1086" i="1"/>
  <c r="S1086" i="1"/>
  <c r="O1085" i="1"/>
  <c r="M1085" i="1"/>
  <c r="N1085" i="1" s="1"/>
  <c r="R1085" i="1"/>
  <c r="P1085" i="1"/>
  <c r="Q1085" i="1"/>
  <c r="F1084" i="1"/>
  <c r="S1085" i="1"/>
  <c r="G1084" i="1"/>
  <c r="M1084" i="1"/>
  <c r="N1084" i="1" s="1"/>
  <c r="O1084" i="1"/>
  <c r="S1084" i="1"/>
  <c r="R1084" i="1"/>
  <c r="Q1084" i="1"/>
  <c r="P1084" i="1"/>
  <c r="G1083" i="1"/>
  <c r="F1083" i="1"/>
  <c r="O1083" i="1"/>
  <c r="M1083" i="1"/>
  <c r="N1083" i="1" s="1"/>
  <c r="P1083" i="1"/>
  <c r="Q1083" i="1"/>
  <c r="R1083" i="1"/>
  <c r="S1083" i="1"/>
  <c r="F1082" i="1"/>
  <c r="G1082" i="1"/>
  <c r="O1082" i="1"/>
  <c r="M1082" i="1"/>
  <c r="N1082" i="1" s="1"/>
  <c r="R1082" i="1"/>
  <c r="Q1082" i="1"/>
  <c r="P1082" i="1"/>
  <c r="F1081" i="1"/>
  <c r="G1081" i="1"/>
  <c r="S1082" i="1"/>
  <c r="O1081" i="1"/>
  <c r="M1081" i="1"/>
  <c r="N1081" i="1" s="1"/>
  <c r="P1081" i="1"/>
  <c r="G1080" i="1"/>
  <c r="R1081" i="1"/>
  <c r="F1080" i="1"/>
  <c r="S1081" i="1"/>
  <c r="Q1081" i="1"/>
  <c r="O1080" i="1"/>
  <c r="M1080" i="1"/>
  <c r="N1080" i="1" s="1"/>
  <c r="R1080" i="1"/>
  <c r="S1080" i="1"/>
  <c r="G1079" i="1"/>
  <c r="F1079" i="1"/>
  <c r="Q1080" i="1"/>
  <c r="P1080" i="1"/>
  <c r="M1079" i="1"/>
  <c r="N1079" i="1" s="1"/>
  <c r="O1079" i="1"/>
  <c r="S1079" i="1"/>
  <c r="R1079" i="1"/>
  <c r="Q1079" i="1"/>
  <c r="P1079" i="1"/>
  <c r="F1078" i="1"/>
  <c r="G1078" i="1"/>
  <c r="M1078" i="1"/>
  <c r="N1078" i="1" s="1"/>
  <c r="O1078" i="1"/>
  <c r="R1078" i="1"/>
  <c r="P1078" i="1"/>
  <c r="Q1078" i="1"/>
  <c r="S1078" i="1"/>
  <c r="G1077" i="1"/>
  <c r="F1077" i="1"/>
  <c r="O1077" i="1"/>
  <c r="M1077" i="1"/>
  <c r="N1077" i="1" s="1"/>
  <c r="E119" i="1"/>
  <c r="E115" i="1"/>
  <c r="E120" i="1"/>
  <c r="E117" i="1"/>
  <c r="E118" i="1"/>
  <c r="R1077" i="1"/>
  <c r="P1077" i="1"/>
  <c r="G1076" i="1"/>
  <c r="F1076" i="1"/>
  <c r="S1077" i="1"/>
  <c r="E121" i="1"/>
  <c r="E116" i="1"/>
  <c r="Q1077" i="1"/>
  <c r="O1076" i="1"/>
  <c r="M1076" i="1"/>
  <c r="N1076" i="1" s="1"/>
  <c r="E1085" i="1"/>
  <c r="E1086" i="1"/>
  <c r="E114" i="1"/>
  <c r="N1075" i="1"/>
  <c r="E1081" i="1"/>
  <c r="E1087" i="1"/>
  <c r="E1077" i="1"/>
  <c r="E1075" i="1"/>
  <c r="R1076" i="1"/>
  <c r="F1075" i="1"/>
  <c r="Q1076" i="1"/>
  <c r="E1079" i="1"/>
  <c r="E1076" i="1"/>
  <c r="E1080" i="1"/>
  <c r="P1076" i="1"/>
  <c r="E1083" i="1"/>
  <c r="E1082" i="1"/>
  <c r="E1078" i="1"/>
  <c r="S1076" i="1"/>
  <c r="E1084" i="1"/>
  <c r="G1074" i="1"/>
  <c r="F1074" i="1"/>
  <c r="E1074" i="1"/>
  <c r="M1074" i="1"/>
  <c r="N1074" i="1" s="1"/>
  <c r="H1074" i="1"/>
  <c r="I1074" i="1" s="1"/>
  <c r="J1074" i="1" s="1"/>
  <c r="O1074" i="1"/>
  <c r="Q1074" i="1"/>
  <c r="R1074" i="1"/>
  <c r="S1074" i="1"/>
  <c r="P1074" i="1"/>
  <c r="E1073" i="1"/>
  <c r="F1073" i="1"/>
  <c r="G1073" i="1"/>
  <c r="H1073" i="1"/>
  <c r="I1073" i="1" s="1"/>
  <c r="J1073" i="1" s="1"/>
  <c r="M1073" i="1"/>
  <c r="N1073" i="1" s="1"/>
  <c r="O1073" i="1"/>
  <c r="Q1073" i="1"/>
  <c r="P1073" i="1"/>
  <c r="E1072" i="1"/>
  <c r="F1072" i="1"/>
  <c r="G1072" i="1"/>
  <c r="S1073" i="1"/>
  <c r="R1073" i="1"/>
  <c r="O1072" i="1"/>
  <c r="M1072" i="1"/>
  <c r="N1072" i="1" s="1"/>
  <c r="H1072" i="1"/>
  <c r="I1072" i="1" s="1"/>
  <c r="J1072" i="1" s="1"/>
  <c r="F1071" i="1"/>
  <c r="G1071" i="1"/>
  <c r="S1072" i="1"/>
  <c r="R1072" i="1"/>
  <c r="Q1072" i="1"/>
  <c r="E1071" i="1"/>
  <c r="P1072" i="1"/>
  <c r="O1071" i="1"/>
  <c r="M1071" i="1"/>
  <c r="N1071" i="1" s="1"/>
  <c r="H1071" i="1"/>
  <c r="I1071" i="1" s="1"/>
  <c r="J1071" i="1" s="1"/>
  <c r="Q1071" i="1"/>
  <c r="R1071" i="1"/>
  <c r="E1070" i="1"/>
  <c r="F1070" i="1"/>
  <c r="G1070" i="1"/>
  <c r="P1071" i="1"/>
  <c r="S1071" i="1"/>
  <c r="H1070" i="1"/>
  <c r="I1070" i="1" s="1"/>
  <c r="J1070" i="1" s="1"/>
  <c r="O1070" i="1"/>
  <c r="M1070" i="1"/>
  <c r="N1070" i="1" s="1"/>
  <c r="P1070" i="1"/>
  <c r="Q1070" i="1"/>
  <c r="R1070" i="1"/>
  <c r="S1070" i="1"/>
  <c r="E1069" i="1"/>
  <c r="F1069" i="1"/>
  <c r="G1069" i="1"/>
  <c r="O1069" i="1"/>
  <c r="M1069" i="1"/>
  <c r="N1069" i="1" s="1"/>
  <c r="H1069" i="1"/>
  <c r="I1069" i="1" s="1"/>
  <c r="J1069" i="1" s="1"/>
  <c r="P1069" i="1"/>
  <c r="S1069" i="1"/>
  <c r="R1069" i="1"/>
  <c r="Q1069" i="1"/>
  <c r="G1068" i="1"/>
  <c r="F1068" i="1"/>
  <c r="E1068" i="1"/>
  <c r="O1068" i="1"/>
  <c r="M1068" i="1"/>
  <c r="N1068" i="1" s="1"/>
  <c r="H1068" i="1"/>
  <c r="I1068" i="1" s="1"/>
  <c r="J1068" i="1" s="1"/>
  <c r="S1068" i="1"/>
  <c r="R1068" i="1"/>
  <c r="Q1068" i="1"/>
  <c r="P1068" i="1"/>
  <c r="G1067" i="1"/>
  <c r="F1067" i="1"/>
  <c r="E1067" i="1"/>
  <c r="M1067" i="1"/>
  <c r="N1067" i="1" s="1"/>
  <c r="O1067" i="1"/>
  <c r="H1067" i="1"/>
  <c r="I1067" i="1" s="1"/>
  <c r="J1067" i="1" s="1"/>
  <c r="S1067" i="1"/>
  <c r="R1067" i="1"/>
  <c r="P1067" i="1"/>
  <c r="Q1067" i="1"/>
  <c r="G1066" i="1"/>
  <c r="F1066" i="1"/>
  <c r="E1066" i="1"/>
  <c r="O1066" i="1"/>
  <c r="M1066" i="1"/>
  <c r="N1066" i="1" s="1"/>
  <c r="H1066" i="1"/>
  <c r="I1066" i="1" s="1"/>
  <c r="J1066" i="1" s="1"/>
  <c r="P1066" i="1"/>
  <c r="E1065" i="1"/>
  <c r="S1066" i="1"/>
  <c r="R1066" i="1"/>
  <c r="Q1066" i="1"/>
  <c r="G1065" i="1"/>
  <c r="F1065" i="1"/>
  <c r="H1065" i="1"/>
  <c r="I1065" i="1" s="1"/>
  <c r="J1065" i="1" s="1"/>
  <c r="O1065" i="1"/>
  <c r="M1065" i="1"/>
  <c r="N1065" i="1" s="1"/>
  <c r="S1065" i="1"/>
  <c r="E1064" i="1"/>
  <c r="F1064" i="1"/>
  <c r="G1064" i="1"/>
  <c r="P1065" i="1"/>
  <c r="Q1065" i="1"/>
  <c r="R1065" i="1"/>
  <c r="O1064" i="1"/>
  <c r="M1064" i="1"/>
  <c r="N1064" i="1" s="1"/>
  <c r="H1064" i="1"/>
  <c r="I1064" i="1" s="1"/>
  <c r="J1064" i="1" s="1"/>
  <c r="G1063" i="1"/>
  <c r="F1063" i="1"/>
  <c r="S1064" i="1"/>
  <c r="E1063" i="1"/>
  <c r="P1064" i="1"/>
  <c r="Q1064" i="1"/>
  <c r="R1064" i="1"/>
  <c r="M1063" i="1"/>
  <c r="N1063" i="1" s="1"/>
  <c r="O1063" i="1"/>
  <c r="H1063" i="1"/>
  <c r="I1063" i="1" s="1"/>
  <c r="J1063" i="1" s="1"/>
  <c r="P1063" i="1"/>
  <c r="Q1063" i="1"/>
  <c r="G1062" i="1"/>
  <c r="S1063" i="1"/>
  <c r="R1063" i="1"/>
  <c r="F1062" i="1"/>
  <c r="E1062" i="1"/>
  <c r="O1062" i="1"/>
  <c r="H1062" i="1"/>
  <c r="I1062" i="1" s="1"/>
  <c r="J1062" i="1" s="1"/>
  <c r="M1062" i="1"/>
  <c r="N1062" i="1" s="1"/>
  <c r="G1061" i="1"/>
  <c r="F1061" i="1"/>
  <c r="E1061" i="1"/>
  <c r="S1062" i="1"/>
  <c r="R1062" i="1"/>
  <c r="Q1062" i="1"/>
  <c r="P1062" i="1"/>
  <c r="H1061" i="1"/>
  <c r="I1061" i="1" s="1"/>
  <c r="J1061" i="1" s="1"/>
  <c r="M1061" i="1"/>
  <c r="N1061" i="1" s="1"/>
  <c r="O1061" i="1"/>
  <c r="P1061" i="1"/>
  <c r="Q1061" i="1"/>
  <c r="E1060" i="1"/>
  <c r="S1061" i="1"/>
  <c r="G1060" i="1"/>
  <c r="R1061" i="1"/>
  <c r="F1060" i="1"/>
  <c r="H1060" i="1"/>
  <c r="I1060" i="1" s="1"/>
  <c r="J1060" i="1" s="1"/>
  <c r="M1060" i="1"/>
  <c r="N1060" i="1" s="1"/>
  <c r="O1060" i="1"/>
  <c r="E1059" i="1"/>
  <c r="G1059" i="1"/>
  <c r="F1059" i="1"/>
  <c r="S1060" i="1"/>
  <c r="R1060" i="1"/>
  <c r="Q1060" i="1"/>
  <c r="P1060" i="1"/>
  <c r="H1059" i="1"/>
  <c r="I1059" i="1" s="1"/>
  <c r="J1059" i="1" s="1"/>
  <c r="O1059" i="1"/>
  <c r="M1059" i="1"/>
  <c r="N1059" i="1" s="1"/>
  <c r="G1058" i="1"/>
  <c r="F1058" i="1"/>
  <c r="S1059" i="1"/>
  <c r="R1059" i="1"/>
  <c r="Q1059" i="1"/>
  <c r="P1059" i="1"/>
  <c r="E1058" i="1"/>
  <c r="H1058" i="1"/>
  <c r="I1058" i="1" s="1"/>
  <c r="J1058" i="1" s="1"/>
  <c r="M1058" i="1"/>
  <c r="N1058" i="1" s="1"/>
  <c r="O1058" i="1"/>
  <c r="R1058" i="1"/>
  <c r="S1058" i="1"/>
  <c r="E1057" i="1"/>
  <c r="F1057" i="1"/>
  <c r="G1057" i="1"/>
  <c r="P1058" i="1"/>
  <c r="Q1058" i="1"/>
  <c r="H1057" i="1"/>
  <c r="I1057" i="1" s="1"/>
  <c r="J1057" i="1" s="1"/>
  <c r="M1057" i="1"/>
  <c r="N1057" i="1" s="1"/>
  <c r="O1057" i="1"/>
  <c r="E1056" i="1"/>
  <c r="S1057" i="1"/>
  <c r="R1057" i="1"/>
  <c r="Q1057" i="1"/>
  <c r="G1056" i="1"/>
  <c r="F1056" i="1"/>
  <c r="P1057" i="1"/>
  <c r="O1056" i="1"/>
  <c r="M1056" i="1"/>
  <c r="N1056" i="1" s="1"/>
  <c r="H1056" i="1"/>
  <c r="I1056" i="1" s="1"/>
  <c r="J1056" i="1" s="1"/>
  <c r="Q1056" i="1"/>
  <c r="R1056" i="1"/>
  <c r="G1055" i="1"/>
  <c r="F1055" i="1"/>
  <c r="E1055" i="1"/>
  <c r="S1056" i="1"/>
  <c r="P1056" i="1"/>
  <c r="O1055" i="1"/>
  <c r="H1055" i="1"/>
  <c r="I1055" i="1" s="1"/>
  <c r="J1055" i="1" s="1"/>
  <c r="M1055" i="1"/>
  <c r="N1055" i="1" s="1"/>
  <c r="S1055" i="1"/>
  <c r="Q1055" i="1"/>
  <c r="P1055" i="1"/>
  <c r="R1055" i="1"/>
  <c r="G1054" i="1"/>
  <c r="E1054" i="1"/>
  <c r="F1054" i="1"/>
  <c r="M1054" i="1"/>
  <c r="N1054" i="1" s="1"/>
  <c r="O1054" i="1"/>
  <c r="H1054" i="1"/>
  <c r="I1054" i="1" s="1"/>
  <c r="J1054" i="1" s="1"/>
  <c r="G1053" i="1"/>
  <c r="Q1054" i="1"/>
  <c r="R1054" i="1"/>
  <c r="P1054" i="1"/>
  <c r="E1053" i="1"/>
  <c r="F1053" i="1"/>
  <c r="S1054" i="1"/>
  <c r="H1053" i="1"/>
  <c r="I1053" i="1" s="1"/>
  <c r="J1053" i="1" s="1"/>
  <c r="M1053" i="1"/>
  <c r="N1053" i="1" s="1"/>
  <c r="O1053" i="1"/>
  <c r="E1052" i="1"/>
  <c r="G1052" i="1"/>
  <c r="S1053" i="1"/>
  <c r="R1053" i="1"/>
  <c r="Q1053" i="1"/>
  <c r="P1053" i="1"/>
  <c r="F1052" i="1"/>
  <c r="H1052" i="1"/>
  <c r="I1052" i="1" s="1"/>
  <c r="J1052" i="1" s="1"/>
  <c r="O1052" i="1"/>
  <c r="M1052" i="1"/>
  <c r="N1052" i="1" s="1"/>
  <c r="E1051" i="1"/>
  <c r="F1051" i="1"/>
  <c r="S1052" i="1"/>
  <c r="Q1052" i="1"/>
  <c r="P1052" i="1"/>
  <c r="R1052" i="1"/>
  <c r="G1051" i="1"/>
  <c r="O1051" i="1"/>
  <c r="M1051" i="1"/>
  <c r="N1051" i="1" s="1"/>
  <c r="H1051" i="1"/>
  <c r="I1051" i="1" s="1"/>
  <c r="J1051" i="1" s="1"/>
  <c r="G1050" i="1"/>
  <c r="S1051" i="1"/>
  <c r="R1051" i="1"/>
  <c r="Q1051" i="1"/>
  <c r="P1051" i="1"/>
  <c r="F1050" i="1"/>
  <c r="E1050" i="1"/>
  <c r="H1050" i="1"/>
  <c r="I1050" i="1" s="1"/>
  <c r="J1050" i="1" s="1"/>
  <c r="M1050" i="1"/>
  <c r="N1050" i="1" s="1"/>
  <c r="O1050" i="1"/>
  <c r="E1049" i="1"/>
  <c r="G1049" i="1"/>
  <c r="P1050" i="1"/>
  <c r="Q1050" i="1"/>
  <c r="R1050" i="1"/>
  <c r="F1049" i="1"/>
  <c r="S1050" i="1"/>
  <c r="O1049" i="1"/>
  <c r="M1049" i="1"/>
  <c r="N1049" i="1" s="1"/>
  <c r="H1049" i="1"/>
  <c r="I1049" i="1" s="1"/>
  <c r="J1049" i="1" s="1"/>
  <c r="S1049" i="1"/>
  <c r="R1049" i="1"/>
  <c r="Q1049" i="1"/>
  <c r="P1049" i="1"/>
  <c r="F1048" i="1"/>
  <c r="G1048" i="1"/>
  <c r="E1048" i="1"/>
  <c r="H1048" i="1"/>
  <c r="I1048" i="1" s="1"/>
  <c r="J1048" i="1" s="1"/>
  <c r="O1048" i="1"/>
  <c r="M1048" i="1"/>
  <c r="N1048" i="1" s="1"/>
  <c r="E1047" i="1"/>
  <c r="G1047" i="1"/>
  <c r="F1047" i="1"/>
  <c r="S1048" i="1"/>
  <c r="R1048" i="1"/>
  <c r="Q1048" i="1"/>
  <c r="P1048" i="1"/>
  <c r="O1047" i="1"/>
  <c r="M1047" i="1"/>
  <c r="N1047" i="1" s="1"/>
  <c r="H1047" i="1"/>
  <c r="I1047" i="1" s="1"/>
  <c r="J1047" i="1" s="1"/>
  <c r="G1046" i="1"/>
  <c r="F1046" i="1"/>
  <c r="S1047" i="1"/>
  <c r="R1047" i="1"/>
  <c r="Q1047" i="1"/>
  <c r="P1047" i="1"/>
  <c r="E1046" i="1"/>
  <c r="H1046" i="1"/>
  <c r="I1046" i="1" s="1"/>
  <c r="J1046" i="1" s="1"/>
  <c r="M1046" i="1"/>
  <c r="N1046" i="1" s="1"/>
  <c r="O1046" i="1"/>
  <c r="Q1046" i="1"/>
  <c r="R1046" i="1"/>
  <c r="S1046" i="1"/>
  <c r="P1046" i="1"/>
  <c r="D315" i="1"/>
  <c r="E1045" i="1"/>
  <c r="G1045" i="1"/>
  <c r="F1045" i="1"/>
  <c r="M1045" i="1"/>
  <c r="N1045" i="1" s="1"/>
  <c r="H1045" i="1"/>
  <c r="I1045" i="1" s="1"/>
  <c r="J1045" i="1" s="1"/>
  <c r="O1045" i="1"/>
  <c r="D314" i="1"/>
  <c r="S1045" i="1"/>
  <c r="R1045" i="1"/>
  <c r="Q1045" i="1"/>
  <c r="P1045" i="1"/>
  <c r="G1044" i="1"/>
  <c r="F1044" i="1"/>
  <c r="E1044" i="1"/>
  <c r="O1044" i="1"/>
  <c r="M1044" i="1"/>
  <c r="N1044" i="1" s="1"/>
  <c r="H1044" i="1"/>
  <c r="I1044" i="1" s="1"/>
  <c r="J1044" i="1" s="1"/>
  <c r="D313" i="1"/>
  <c r="S1044" i="1"/>
  <c r="R1044" i="1"/>
  <c r="Q1044" i="1"/>
  <c r="P1044" i="1"/>
  <c r="E1043" i="1"/>
  <c r="G1043" i="1"/>
  <c r="F1043" i="1"/>
  <c r="M1043" i="1"/>
  <c r="N1043" i="1" s="1"/>
  <c r="H1043" i="1"/>
  <c r="I1043" i="1" s="1"/>
  <c r="J1043" i="1" s="1"/>
  <c r="O1043" i="1"/>
  <c r="F1042" i="1"/>
  <c r="S1043" i="1"/>
  <c r="R1043" i="1"/>
  <c r="Q1043" i="1"/>
  <c r="P1043" i="1"/>
  <c r="E1042" i="1"/>
  <c r="D312" i="1"/>
  <c r="G1042" i="1"/>
  <c r="O1042" i="1"/>
  <c r="M1042" i="1"/>
  <c r="N1042" i="1" s="1"/>
  <c r="H1042" i="1"/>
  <c r="I1042" i="1" s="1"/>
  <c r="J1042" i="1" s="1"/>
  <c r="F1041" i="1"/>
  <c r="G1041" i="1"/>
  <c r="E1041" i="1"/>
  <c r="D311" i="1"/>
  <c r="S1042" i="1"/>
  <c r="R1042" i="1"/>
  <c r="Q1042" i="1"/>
  <c r="P1042" i="1"/>
  <c r="H1041" i="1"/>
  <c r="I1041" i="1" s="1"/>
  <c r="J1041" i="1" s="1"/>
  <c r="O1041" i="1"/>
  <c r="M1041" i="1"/>
  <c r="N1041" i="1" s="1"/>
  <c r="D310" i="1"/>
  <c r="E1040" i="1"/>
  <c r="F1040" i="1"/>
  <c r="G1040" i="1"/>
  <c r="P1041" i="1"/>
  <c r="Q1041" i="1"/>
  <c r="R1041" i="1"/>
  <c r="S1041" i="1"/>
  <c r="H1040" i="1"/>
  <c r="I1040" i="1" s="1"/>
  <c r="J1040" i="1" s="1"/>
  <c r="M1040" i="1"/>
  <c r="N1040" i="1" s="1"/>
  <c r="O1040" i="1"/>
  <c r="R1040" i="1"/>
  <c r="P1040" i="1"/>
  <c r="Q1040" i="1"/>
  <c r="S1040" i="1"/>
  <c r="E1039" i="1"/>
  <c r="F1039" i="1"/>
  <c r="D309" i="1"/>
  <c r="G1039" i="1"/>
  <c r="H1039" i="1"/>
  <c r="I1039" i="1" s="1"/>
  <c r="J1039" i="1" s="1"/>
  <c r="O1039" i="1"/>
  <c r="M1039" i="1"/>
  <c r="N1039" i="1" s="1"/>
  <c r="R1039" i="1"/>
  <c r="Q1039" i="1"/>
  <c r="P1039" i="1"/>
  <c r="G1038" i="1"/>
  <c r="F1038" i="1"/>
  <c r="E1038" i="1"/>
  <c r="D308" i="1"/>
  <c r="S1039" i="1"/>
  <c r="M1038" i="1"/>
  <c r="N1038" i="1" s="1"/>
  <c r="O1038" i="1"/>
  <c r="H1038" i="1"/>
  <c r="I1038" i="1" s="1"/>
  <c r="J1038" i="1" s="1"/>
  <c r="D307" i="1"/>
  <c r="G1037" i="1"/>
  <c r="F1037" i="1"/>
  <c r="E1037" i="1"/>
  <c r="Q1038" i="1"/>
  <c r="R1038" i="1"/>
  <c r="S1038" i="1"/>
  <c r="P1038" i="1"/>
  <c r="O1037" i="1"/>
  <c r="M1037" i="1"/>
  <c r="N1037" i="1" s="1"/>
  <c r="H1037" i="1"/>
  <c r="I1037" i="1" s="1"/>
  <c r="J1037" i="1" s="1"/>
  <c r="Q1037" i="1"/>
  <c r="S1037" i="1"/>
  <c r="F1036" i="1"/>
  <c r="P1037" i="1"/>
  <c r="G1036" i="1"/>
  <c r="E1036" i="1"/>
  <c r="D306" i="1"/>
  <c r="R1037" i="1"/>
  <c r="M1036" i="1"/>
  <c r="N1036" i="1" s="1"/>
  <c r="H1036" i="1"/>
  <c r="I1036" i="1" s="1"/>
  <c r="J1036" i="1" s="1"/>
  <c r="O1036" i="1"/>
  <c r="P1036" i="1"/>
  <c r="Q1036" i="1"/>
  <c r="R1036" i="1"/>
  <c r="S1036" i="1"/>
  <c r="D305" i="1"/>
  <c r="G1035" i="1"/>
  <c r="F1035" i="1"/>
  <c r="E1035" i="1"/>
  <c r="O1035" i="1"/>
  <c r="M1035" i="1"/>
  <c r="N1035" i="1" s="1"/>
  <c r="H1035" i="1"/>
  <c r="I1035" i="1" s="1"/>
  <c r="J1035" i="1" s="1"/>
  <c r="F1034" i="1"/>
  <c r="E1034" i="1"/>
  <c r="G1034" i="1"/>
  <c r="D304" i="1"/>
  <c r="S1035" i="1"/>
  <c r="R1035" i="1"/>
  <c r="Q1035" i="1"/>
  <c r="P1035" i="1"/>
  <c r="M1034" i="1"/>
  <c r="N1034" i="1" s="1"/>
  <c r="H1034" i="1"/>
  <c r="I1034" i="1" s="1"/>
  <c r="J1034" i="1" s="1"/>
  <c r="O1034" i="1"/>
  <c r="Q1034" i="1"/>
  <c r="F1033" i="1"/>
  <c r="G1033" i="1"/>
  <c r="D303" i="1"/>
  <c r="E1033" i="1"/>
  <c r="P1034" i="1"/>
  <c r="R1034" i="1"/>
  <c r="S1034" i="1"/>
  <c r="H1033" i="1"/>
  <c r="I1033" i="1" s="1"/>
  <c r="J1033" i="1" s="1"/>
  <c r="M1033" i="1"/>
  <c r="N1033" i="1" s="1"/>
  <c r="O1033" i="1"/>
  <c r="F1032" i="1"/>
  <c r="G1032" i="1"/>
  <c r="D302" i="1"/>
  <c r="S1033" i="1"/>
  <c r="R1033" i="1"/>
  <c r="Q1033" i="1"/>
  <c r="P1033" i="1"/>
  <c r="E1032" i="1"/>
  <c r="H1032" i="1"/>
  <c r="I1032" i="1" s="1"/>
  <c r="J1032" i="1" s="1"/>
  <c r="O1032" i="1"/>
  <c r="M1032" i="1"/>
  <c r="N1032" i="1" s="1"/>
  <c r="G1031" i="1"/>
  <c r="F1031" i="1"/>
  <c r="D301" i="1"/>
  <c r="E1031" i="1"/>
  <c r="S1032" i="1"/>
  <c r="R1032" i="1"/>
  <c r="Q1032" i="1"/>
  <c r="P1032" i="1"/>
  <c r="M1031" i="1"/>
  <c r="N1031" i="1" s="1"/>
  <c r="O1031" i="1"/>
  <c r="H1031" i="1"/>
  <c r="I1031" i="1" s="1"/>
  <c r="J1031" i="1" s="1"/>
  <c r="D300" i="1"/>
  <c r="E1030" i="1"/>
  <c r="F1030" i="1"/>
  <c r="G1030" i="1"/>
  <c r="P1031" i="1"/>
  <c r="Q1031" i="1"/>
  <c r="R1031" i="1"/>
  <c r="S1031" i="1"/>
  <c r="H1030" i="1"/>
  <c r="I1030" i="1" s="1"/>
  <c r="J1030" i="1" s="1"/>
  <c r="O1030" i="1"/>
  <c r="M1030" i="1"/>
  <c r="N1030" i="1" s="1"/>
  <c r="G1029" i="1"/>
  <c r="F1029" i="1"/>
  <c r="E1029" i="1"/>
  <c r="D299" i="1"/>
  <c r="S1030" i="1"/>
  <c r="R1030" i="1"/>
  <c r="Q1030" i="1"/>
  <c r="P1030" i="1"/>
  <c r="M1029" i="1"/>
  <c r="N1029" i="1" s="1"/>
  <c r="H1029" i="1"/>
  <c r="I1029" i="1" s="1"/>
  <c r="J1029" i="1" s="1"/>
  <c r="O1029" i="1"/>
  <c r="D298" i="1"/>
  <c r="G1028" i="1"/>
  <c r="E1028" i="1"/>
  <c r="S1029" i="1"/>
  <c r="R1029" i="1"/>
  <c r="Q1029" i="1"/>
  <c r="P1029" i="1"/>
  <c r="F1028" i="1"/>
  <c r="M1028" i="1"/>
  <c r="N1028" i="1" s="1"/>
  <c r="O1028" i="1"/>
  <c r="H1028" i="1"/>
  <c r="I1028" i="1" s="1"/>
  <c r="J1028" i="1" s="1"/>
  <c r="D297" i="1"/>
  <c r="F1027" i="1"/>
  <c r="Q1028" i="1"/>
  <c r="P1028" i="1"/>
  <c r="R1028" i="1"/>
  <c r="S1028" i="1"/>
  <c r="G1027" i="1"/>
  <c r="E1027" i="1"/>
  <c r="M1027" i="1"/>
  <c r="N1027" i="1" s="1"/>
  <c r="O1027" i="1"/>
  <c r="H1027" i="1"/>
  <c r="I1027" i="1" s="1"/>
  <c r="J1027" i="1" s="1"/>
  <c r="Q1027" i="1"/>
  <c r="F1026" i="1"/>
  <c r="S1027" i="1"/>
  <c r="E1026" i="1"/>
  <c r="G1026" i="1"/>
  <c r="D296" i="1"/>
  <c r="P1027" i="1"/>
  <c r="R1027" i="1"/>
  <c r="H1026" i="1"/>
  <c r="I1026" i="1" s="1"/>
  <c r="J1026" i="1" s="1"/>
  <c r="M1026" i="1"/>
  <c r="N1026" i="1" s="1"/>
  <c r="O1026" i="1"/>
  <c r="G1025" i="1"/>
  <c r="D295" i="1"/>
  <c r="R1026" i="1"/>
  <c r="F1025" i="1"/>
  <c r="S1026" i="1"/>
  <c r="Q1026" i="1"/>
  <c r="E1025" i="1"/>
  <c r="P1026" i="1"/>
  <c r="O1025" i="1"/>
  <c r="M1025" i="1"/>
  <c r="N1025" i="1" s="1"/>
  <c r="H1025" i="1"/>
  <c r="I1025" i="1" s="1"/>
  <c r="J1025" i="1" s="1"/>
  <c r="R1025" i="1"/>
  <c r="S1025" i="1"/>
  <c r="G1024" i="1"/>
  <c r="D294" i="1"/>
  <c r="F1024" i="1"/>
  <c r="P1025" i="1"/>
  <c r="Q1025" i="1"/>
  <c r="E1024" i="1"/>
  <c r="H1024" i="1"/>
  <c r="I1024" i="1" s="1"/>
  <c r="J1024" i="1" s="1"/>
  <c r="M1024" i="1"/>
  <c r="N1024" i="1" s="1"/>
  <c r="O1024" i="1"/>
  <c r="E1023" i="1"/>
  <c r="G1023" i="1"/>
  <c r="D293" i="1"/>
  <c r="P1024" i="1"/>
  <c r="R1024" i="1"/>
  <c r="S1024" i="1"/>
  <c r="F1023" i="1"/>
  <c r="Q1024" i="1"/>
  <c r="O1023" i="1"/>
  <c r="H1023" i="1"/>
  <c r="I1023" i="1" s="1"/>
  <c r="J1023" i="1" s="1"/>
  <c r="M1023" i="1"/>
  <c r="N1023" i="1" s="1"/>
  <c r="F1022" i="1"/>
  <c r="E1022" i="1"/>
  <c r="D292" i="1"/>
  <c r="Q1023" i="1"/>
  <c r="G1022" i="1"/>
  <c r="P1023" i="1"/>
  <c r="R1023" i="1"/>
  <c r="S1023" i="1"/>
  <c r="O1022" i="1"/>
  <c r="H1022" i="1"/>
  <c r="I1022" i="1" s="1"/>
  <c r="J1022" i="1" s="1"/>
  <c r="M1022" i="1"/>
  <c r="N1022" i="1" s="1"/>
  <c r="D18" i="1"/>
  <c r="R1021" i="1"/>
  <c r="S1021" i="1"/>
  <c r="S1022" i="1"/>
  <c r="G1021" i="1"/>
  <c r="D290" i="1"/>
  <c r="R1022" i="1"/>
  <c r="D4" i="1"/>
  <c r="F1021" i="1"/>
  <c r="P1022" i="1"/>
  <c r="D16" i="1"/>
  <c r="D291" i="1"/>
  <c r="E1021" i="1"/>
  <c r="P1021" i="1"/>
  <c r="Q1022" i="1"/>
  <c r="Q1021" i="1"/>
  <c r="D17" i="1"/>
  <c r="H1021" i="1"/>
  <c r="I1021" i="1" s="1"/>
  <c r="J1021" i="1" s="1"/>
  <c r="D5" i="1"/>
  <c r="M1021" i="1"/>
  <c r="N1021" i="1" s="1"/>
  <c r="O1021" i="1"/>
  <c r="G1019" i="1"/>
  <c r="F1019" i="1"/>
  <c r="O1019" i="1"/>
  <c r="H1019" i="1"/>
  <c r="I1019" i="1" s="1"/>
  <c r="J1019" i="1" s="1"/>
  <c r="M1019" i="1"/>
  <c r="N1019" i="1" s="1"/>
  <c r="S1019" i="1"/>
  <c r="R1019" i="1"/>
  <c r="G1018" i="1"/>
  <c r="Q1019" i="1"/>
  <c r="F1018" i="1"/>
  <c r="P1019" i="1"/>
  <c r="M1018" i="1"/>
  <c r="N1018" i="1" s="1"/>
  <c r="O1018" i="1"/>
  <c r="H1018" i="1"/>
  <c r="I1018" i="1" s="1"/>
  <c r="J1018" i="1" s="1"/>
  <c r="G1017" i="1"/>
  <c r="S1018" i="1"/>
  <c r="R1018" i="1"/>
  <c r="F1017" i="1"/>
  <c r="Q1018" i="1"/>
  <c r="P1018" i="1"/>
  <c r="H1017" i="1"/>
  <c r="I1017" i="1" s="1"/>
  <c r="J1017" i="1" s="1"/>
  <c r="O1017" i="1"/>
  <c r="M1017" i="1"/>
  <c r="N1017" i="1" s="1"/>
  <c r="S1017" i="1"/>
  <c r="R1017" i="1"/>
  <c r="Q1017" i="1"/>
  <c r="F1016" i="1"/>
  <c r="P1017" i="1"/>
  <c r="G1016" i="1"/>
  <c r="H1016" i="1"/>
  <c r="I1016" i="1" s="1"/>
  <c r="J1016" i="1" s="1"/>
  <c r="O1016" i="1"/>
  <c r="M1016" i="1"/>
  <c r="N1016" i="1" s="1"/>
  <c r="S1016" i="1"/>
  <c r="R1016" i="1"/>
  <c r="Q1016" i="1"/>
  <c r="P1016" i="1"/>
  <c r="F1015" i="1"/>
  <c r="G1015" i="1"/>
  <c r="H1015" i="1"/>
  <c r="I1015" i="1" s="1"/>
  <c r="J1015" i="1" s="1"/>
  <c r="M1015" i="1"/>
  <c r="N1015" i="1" s="1"/>
  <c r="O1015" i="1"/>
  <c r="G1014" i="1"/>
  <c r="P1015" i="1"/>
  <c r="R1015" i="1"/>
  <c r="S1015" i="1"/>
  <c r="F1014" i="1"/>
  <c r="Q1015" i="1"/>
  <c r="O1014" i="1"/>
  <c r="M1014" i="1"/>
  <c r="N1014" i="1" s="1"/>
  <c r="H1014" i="1"/>
  <c r="I1014" i="1" s="1"/>
  <c r="J1014" i="1" s="1"/>
  <c r="S1014" i="1"/>
  <c r="R1014" i="1"/>
  <c r="Q1014" i="1"/>
  <c r="P1014" i="1"/>
  <c r="F1013" i="1"/>
  <c r="G1013" i="1"/>
  <c r="H1013" i="1"/>
  <c r="I1013" i="1" s="1"/>
  <c r="J1013" i="1" s="1"/>
  <c r="M1013" i="1"/>
  <c r="N1013" i="1" s="1"/>
  <c r="O1013" i="1"/>
  <c r="R1013" i="1"/>
  <c r="G1012" i="1"/>
  <c r="F1012" i="1"/>
  <c r="P1013" i="1"/>
  <c r="Q1013" i="1"/>
  <c r="S1013" i="1"/>
  <c r="M1012" i="1"/>
  <c r="N1012" i="1" s="1"/>
  <c r="H1012" i="1"/>
  <c r="I1012" i="1" s="1"/>
  <c r="J1012" i="1" s="1"/>
  <c r="O1012" i="1"/>
  <c r="G1011" i="1"/>
  <c r="F1011" i="1"/>
  <c r="Q1012" i="1"/>
  <c r="P1012" i="1"/>
  <c r="S1012" i="1"/>
  <c r="R1012" i="1"/>
  <c r="O1011" i="1"/>
  <c r="H1011" i="1"/>
  <c r="I1011" i="1" s="1"/>
  <c r="J1011" i="1" s="1"/>
  <c r="M1011" i="1"/>
  <c r="N1011" i="1" s="1"/>
  <c r="G1010" i="1"/>
  <c r="Q1011" i="1"/>
  <c r="F1010" i="1"/>
  <c r="P1011" i="1"/>
  <c r="R1011" i="1"/>
  <c r="S1011" i="1"/>
  <c r="O1010" i="1"/>
  <c r="M1010" i="1"/>
  <c r="N1010" i="1" s="1"/>
  <c r="H1010" i="1"/>
  <c r="I1010" i="1" s="1"/>
  <c r="J1010" i="1" s="1"/>
  <c r="F1009" i="1"/>
  <c r="G1009" i="1"/>
  <c r="Q1010" i="1"/>
  <c r="S1010" i="1"/>
  <c r="R1010" i="1"/>
  <c r="P1010" i="1"/>
  <c r="H1009" i="1"/>
  <c r="I1009" i="1" s="1"/>
  <c r="J1009" i="1" s="1"/>
  <c r="O1009" i="1"/>
  <c r="M1009" i="1"/>
  <c r="N1009" i="1" s="1"/>
  <c r="F1008" i="1"/>
  <c r="G1008" i="1"/>
  <c r="P1009" i="1"/>
  <c r="Q1009" i="1"/>
  <c r="R1009" i="1"/>
  <c r="S1009" i="1"/>
  <c r="H1008" i="1"/>
  <c r="I1008" i="1" s="1"/>
  <c r="J1008" i="1" s="1"/>
  <c r="M1008" i="1"/>
  <c r="N1008" i="1" s="1"/>
  <c r="O1008" i="1"/>
  <c r="F1007" i="1"/>
  <c r="G1007" i="1"/>
  <c r="R1008" i="1"/>
  <c r="S1008" i="1"/>
  <c r="P1008" i="1"/>
  <c r="Q1008" i="1"/>
  <c r="O1007" i="1"/>
  <c r="H1007" i="1"/>
  <c r="I1007" i="1" s="1"/>
  <c r="J1007" i="1" s="1"/>
  <c r="M1007" i="1"/>
  <c r="N1007" i="1" s="1"/>
  <c r="S1007" i="1"/>
  <c r="R1007" i="1"/>
  <c r="F1006" i="1"/>
  <c r="G1006" i="1"/>
  <c r="P1007" i="1"/>
  <c r="Q1007" i="1"/>
  <c r="H1006" i="1"/>
  <c r="I1006" i="1" s="1"/>
  <c r="J1006" i="1" s="1"/>
  <c r="O1006" i="1"/>
  <c r="M1006" i="1"/>
  <c r="N1006" i="1" s="1"/>
  <c r="F1005" i="1"/>
  <c r="G1005" i="1"/>
  <c r="P1006" i="1"/>
  <c r="S1006" i="1"/>
  <c r="Q1006" i="1"/>
  <c r="R1006" i="1"/>
  <c r="O1005" i="1"/>
  <c r="M1005" i="1"/>
  <c r="N1005" i="1" s="1"/>
  <c r="H1005" i="1"/>
  <c r="I1005" i="1" s="1"/>
  <c r="J1005" i="1" s="1"/>
  <c r="S1005" i="1"/>
  <c r="R1005" i="1"/>
  <c r="Q1005" i="1"/>
  <c r="P1005" i="1"/>
  <c r="G1004" i="1"/>
  <c r="F1004" i="1"/>
  <c r="O1004" i="1"/>
  <c r="M1004" i="1"/>
  <c r="N1004" i="1" s="1"/>
  <c r="H1004" i="1"/>
  <c r="I1004" i="1" s="1"/>
  <c r="J1004" i="1" s="1"/>
  <c r="S1004" i="1"/>
  <c r="P1004" i="1"/>
  <c r="F1003" i="1"/>
  <c r="G1003" i="1"/>
  <c r="Q1004" i="1"/>
  <c r="R1004" i="1"/>
  <c r="O1003" i="1"/>
  <c r="M1003" i="1"/>
  <c r="N1003" i="1" s="1"/>
  <c r="H1003" i="1"/>
  <c r="I1003" i="1" s="1"/>
  <c r="J1003" i="1" s="1"/>
  <c r="S1003" i="1"/>
  <c r="R1003" i="1"/>
  <c r="Q1003" i="1"/>
  <c r="P1003" i="1"/>
  <c r="G1002" i="1"/>
  <c r="F1002" i="1"/>
  <c r="O1002" i="1"/>
  <c r="M1002" i="1"/>
  <c r="N1002" i="1" s="1"/>
  <c r="H1002" i="1"/>
  <c r="I1002" i="1" s="1"/>
  <c r="J1002" i="1" s="1"/>
  <c r="G1001" i="1"/>
  <c r="P1002" i="1"/>
  <c r="F1001" i="1"/>
  <c r="S1002" i="1"/>
  <c r="R1002" i="1"/>
  <c r="Q1002" i="1"/>
  <c r="H1001" i="1"/>
  <c r="I1001" i="1" s="1"/>
  <c r="J1001" i="1" s="1"/>
  <c r="O1001" i="1"/>
  <c r="M1001" i="1"/>
  <c r="N1001" i="1" s="1"/>
  <c r="R1001" i="1"/>
  <c r="Q1001" i="1"/>
  <c r="P1001" i="1"/>
  <c r="G1000" i="1"/>
  <c r="F1000" i="1"/>
  <c r="S1001" i="1"/>
  <c r="O1000" i="1"/>
  <c r="M1000" i="1"/>
  <c r="N1000" i="1" s="1"/>
  <c r="H1000" i="1"/>
  <c r="I1000" i="1" s="1"/>
  <c r="J1000" i="1" s="1"/>
  <c r="S1000" i="1"/>
  <c r="R1000" i="1"/>
  <c r="Q1000" i="1"/>
  <c r="P1000" i="1"/>
  <c r="F999" i="1"/>
  <c r="G999" i="1"/>
  <c r="O999" i="1"/>
  <c r="M999" i="1"/>
  <c r="N999" i="1" s="1"/>
  <c r="H999" i="1"/>
  <c r="I999" i="1" s="1"/>
  <c r="J999" i="1" s="1"/>
  <c r="S999" i="1"/>
  <c r="Q999" i="1"/>
  <c r="G998" i="1"/>
  <c r="F998" i="1"/>
  <c r="R999" i="1"/>
  <c r="P999" i="1"/>
  <c r="O998" i="1"/>
  <c r="M998" i="1"/>
  <c r="N998" i="1" s="1"/>
  <c r="H998" i="1"/>
  <c r="I998" i="1" s="1"/>
  <c r="J998" i="1" s="1"/>
  <c r="S998" i="1"/>
  <c r="R998" i="1"/>
  <c r="Q998" i="1"/>
  <c r="P998" i="1"/>
  <c r="G997" i="1"/>
  <c r="F997" i="1"/>
  <c r="H997" i="1"/>
  <c r="I997" i="1" s="1"/>
  <c r="J997" i="1" s="1"/>
  <c r="M997" i="1"/>
  <c r="N997" i="1" s="1"/>
  <c r="O997" i="1"/>
  <c r="S997" i="1"/>
  <c r="R997" i="1"/>
  <c r="Q997" i="1"/>
  <c r="P997" i="1"/>
  <c r="G996" i="1"/>
  <c r="F996" i="1"/>
  <c r="H996" i="1"/>
  <c r="I996" i="1" s="1"/>
  <c r="J996" i="1" s="1"/>
  <c r="O996" i="1"/>
  <c r="M996" i="1"/>
  <c r="N996" i="1" s="1"/>
  <c r="Q996" i="1"/>
  <c r="G995" i="1"/>
  <c r="F995" i="1"/>
  <c r="P996" i="1"/>
  <c r="R996" i="1"/>
  <c r="S996" i="1"/>
  <c r="O995" i="1"/>
  <c r="H995" i="1"/>
  <c r="I995" i="1" s="1"/>
  <c r="J995" i="1" s="1"/>
  <c r="M995" i="1"/>
  <c r="N995" i="1" s="1"/>
  <c r="P995" i="1"/>
  <c r="Q995" i="1"/>
  <c r="R995" i="1"/>
  <c r="F994" i="1"/>
  <c r="G994" i="1"/>
  <c r="S995" i="1"/>
  <c r="M994" i="1"/>
  <c r="N994" i="1" s="1"/>
  <c r="H994" i="1"/>
  <c r="I994" i="1" s="1"/>
  <c r="J994" i="1" s="1"/>
  <c r="O994" i="1"/>
  <c r="F993" i="1"/>
  <c r="R994" i="1"/>
  <c r="S994" i="1"/>
  <c r="G993" i="1"/>
  <c r="Q994" i="1"/>
  <c r="P994" i="1"/>
  <c r="M993" i="1"/>
  <c r="N993" i="1" s="1"/>
  <c r="O993" i="1"/>
  <c r="H993" i="1"/>
  <c r="I993" i="1" s="1"/>
  <c r="J993" i="1" s="1"/>
  <c r="P993" i="1"/>
  <c r="Q993" i="1"/>
  <c r="R993" i="1"/>
  <c r="S993" i="1"/>
  <c r="G992" i="1"/>
  <c r="F992" i="1"/>
  <c r="O992" i="1"/>
  <c r="M992" i="1"/>
  <c r="N992" i="1" s="1"/>
  <c r="H992" i="1"/>
  <c r="I992" i="1" s="1"/>
  <c r="J992" i="1" s="1"/>
  <c r="Q992" i="1"/>
  <c r="P992" i="1"/>
  <c r="F991" i="1"/>
  <c r="G991" i="1"/>
  <c r="S992" i="1"/>
  <c r="R992" i="1"/>
  <c r="M991" i="1"/>
  <c r="N991" i="1" s="1"/>
  <c r="O991" i="1"/>
  <c r="H991" i="1"/>
  <c r="I991" i="1" s="1"/>
  <c r="J991" i="1" s="1"/>
  <c r="S991" i="1"/>
  <c r="R991" i="1"/>
  <c r="Q991" i="1"/>
  <c r="P991" i="1"/>
  <c r="E990" i="1"/>
  <c r="F990" i="1"/>
  <c r="G990" i="1"/>
  <c r="H990" i="1"/>
  <c r="I990" i="1" s="1"/>
  <c r="J990" i="1" s="1"/>
  <c r="M990" i="1"/>
  <c r="N990" i="1" s="1"/>
  <c r="O990" i="1"/>
  <c r="F989" i="1"/>
  <c r="G989" i="1"/>
  <c r="Q990" i="1"/>
  <c r="P990" i="1"/>
  <c r="R990" i="1"/>
  <c r="S990" i="1"/>
  <c r="E989" i="1"/>
  <c r="M989" i="1"/>
  <c r="N989" i="1" s="1"/>
  <c r="H989" i="1"/>
  <c r="I989" i="1" s="1"/>
  <c r="J989" i="1" s="1"/>
  <c r="O989" i="1"/>
  <c r="D258" i="1"/>
  <c r="P989" i="1"/>
  <c r="Q989" i="1"/>
  <c r="G988" i="1"/>
  <c r="F988" i="1"/>
  <c r="E988" i="1"/>
  <c r="R989" i="1"/>
  <c r="S989" i="1"/>
  <c r="H988" i="1"/>
  <c r="I988" i="1" s="1"/>
  <c r="J988" i="1" s="1"/>
  <c r="O988" i="1"/>
  <c r="M988" i="1"/>
  <c r="N988" i="1" s="1"/>
  <c r="Q988" i="1"/>
  <c r="P988" i="1"/>
  <c r="R988" i="1"/>
  <c r="D257" i="1"/>
  <c r="G987" i="1"/>
  <c r="E987" i="1"/>
  <c r="S988" i="1"/>
  <c r="F987" i="1"/>
  <c r="O987" i="1"/>
  <c r="M987" i="1"/>
  <c r="N987" i="1" s="1"/>
  <c r="H987" i="1"/>
  <c r="I987" i="1" s="1"/>
  <c r="J987" i="1" s="1"/>
  <c r="R987" i="1"/>
  <c r="Q987" i="1"/>
  <c r="P987" i="1"/>
  <c r="D256" i="1"/>
  <c r="S987" i="1"/>
  <c r="G986" i="1"/>
  <c r="F986" i="1"/>
  <c r="E986" i="1"/>
  <c r="H986" i="1"/>
  <c r="I986" i="1" s="1"/>
  <c r="J986" i="1" s="1"/>
  <c r="M986" i="1"/>
  <c r="N986" i="1" s="1"/>
  <c r="O986" i="1"/>
  <c r="F985" i="1"/>
  <c r="E985" i="1"/>
  <c r="G985" i="1"/>
  <c r="P986" i="1"/>
  <c r="Q986" i="1"/>
  <c r="R986" i="1"/>
  <c r="D255" i="1"/>
  <c r="S986" i="1"/>
  <c r="O985" i="1"/>
  <c r="H985" i="1"/>
  <c r="I985" i="1" s="1"/>
  <c r="J985" i="1" s="1"/>
  <c r="M985" i="1"/>
  <c r="N985" i="1" s="1"/>
  <c r="Q985" i="1"/>
  <c r="E984" i="1"/>
  <c r="D254" i="1"/>
  <c r="R985" i="1"/>
  <c r="G984" i="1"/>
  <c r="F984" i="1"/>
  <c r="S985" i="1"/>
  <c r="P985" i="1"/>
  <c r="H984" i="1"/>
  <c r="I984" i="1" s="1"/>
  <c r="J984" i="1" s="1"/>
  <c r="M984" i="1"/>
  <c r="N984" i="1" s="1"/>
  <c r="O984" i="1"/>
  <c r="S984" i="1"/>
  <c r="R984" i="1"/>
  <c r="Q984" i="1"/>
  <c r="P984" i="1"/>
  <c r="G983" i="1"/>
  <c r="F983" i="1"/>
  <c r="E983" i="1"/>
  <c r="D253" i="1"/>
  <c r="O983" i="1"/>
  <c r="H983" i="1"/>
  <c r="I983" i="1" s="1"/>
  <c r="J983" i="1" s="1"/>
  <c r="M983" i="1"/>
  <c r="N983" i="1" s="1"/>
  <c r="E982" i="1"/>
  <c r="F982" i="1"/>
  <c r="G982" i="1"/>
  <c r="D252" i="1"/>
  <c r="P983" i="1"/>
  <c r="Q983" i="1"/>
  <c r="S983" i="1"/>
  <c r="R983" i="1"/>
  <c r="H982" i="1"/>
  <c r="I982" i="1" s="1"/>
  <c r="J982" i="1" s="1"/>
  <c r="M982" i="1"/>
  <c r="N982" i="1" s="1"/>
  <c r="O982" i="1"/>
  <c r="G981" i="1"/>
  <c r="F981" i="1"/>
  <c r="E981" i="1"/>
  <c r="D251" i="1"/>
  <c r="P982" i="1"/>
  <c r="Q982" i="1"/>
  <c r="R982" i="1"/>
  <c r="S982" i="1"/>
  <c r="H981" i="1"/>
  <c r="I981" i="1" s="1"/>
  <c r="J981" i="1" s="1"/>
  <c r="M981" i="1"/>
  <c r="N981" i="1" s="1"/>
  <c r="O981" i="1"/>
  <c r="D250" i="1"/>
  <c r="E980" i="1"/>
  <c r="F980" i="1"/>
  <c r="G980" i="1"/>
  <c r="P981" i="1"/>
  <c r="Q981" i="1"/>
  <c r="R981" i="1"/>
  <c r="S981" i="1"/>
  <c r="H980" i="1"/>
  <c r="I980" i="1" s="1"/>
  <c r="J980" i="1" s="1"/>
  <c r="M980" i="1"/>
  <c r="N980" i="1" s="1"/>
  <c r="O980" i="1"/>
  <c r="Q980" i="1"/>
  <c r="R980" i="1"/>
  <c r="F979" i="1"/>
  <c r="G979" i="1"/>
  <c r="E979" i="1"/>
  <c r="D249" i="1"/>
  <c r="P980" i="1"/>
  <c r="S980" i="1"/>
  <c r="H979" i="1"/>
  <c r="I979" i="1" s="1"/>
  <c r="J979" i="1" s="1"/>
  <c r="M979" i="1"/>
  <c r="N979" i="1" s="1"/>
  <c r="O979" i="1"/>
  <c r="E978" i="1"/>
  <c r="P979" i="1"/>
  <c r="F978" i="1"/>
  <c r="D248" i="1"/>
  <c r="S979" i="1"/>
  <c r="R979" i="1"/>
  <c r="Q979" i="1"/>
  <c r="G978" i="1"/>
  <c r="O978" i="1"/>
  <c r="M978" i="1"/>
  <c r="N978" i="1" s="1"/>
  <c r="H978" i="1"/>
  <c r="I978" i="1" s="1"/>
  <c r="J978" i="1" s="1"/>
  <c r="S978" i="1"/>
  <c r="R978" i="1"/>
  <c r="Q978" i="1"/>
  <c r="P978" i="1"/>
  <c r="G977" i="1"/>
  <c r="F977" i="1"/>
  <c r="D247" i="1"/>
  <c r="E977" i="1"/>
  <c r="H977" i="1"/>
  <c r="I977" i="1" s="1"/>
  <c r="J977" i="1" s="1"/>
  <c r="O977" i="1"/>
  <c r="M977" i="1"/>
  <c r="N977" i="1" s="1"/>
  <c r="S977" i="1"/>
  <c r="R977" i="1"/>
  <c r="Q977" i="1"/>
  <c r="P977" i="1"/>
  <c r="D246" i="1"/>
  <c r="E976" i="1"/>
  <c r="F976" i="1"/>
  <c r="G976" i="1"/>
  <c r="H976" i="1"/>
  <c r="I976" i="1" s="1"/>
  <c r="J976" i="1" s="1"/>
  <c r="O976" i="1"/>
  <c r="M976" i="1"/>
  <c r="N976" i="1" s="1"/>
  <c r="Q976" i="1"/>
  <c r="R976" i="1"/>
  <c r="S976" i="1"/>
  <c r="F975" i="1"/>
  <c r="D245" i="1"/>
  <c r="G975" i="1"/>
  <c r="E975" i="1"/>
  <c r="P976" i="1"/>
  <c r="O975" i="1"/>
  <c r="H975" i="1"/>
  <c r="I975" i="1" s="1"/>
  <c r="J975" i="1" s="1"/>
  <c r="M975" i="1"/>
  <c r="N975" i="1" s="1"/>
  <c r="E974" i="1"/>
  <c r="G974" i="1"/>
  <c r="P975" i="1"/>
  <c r="Q975" i="1"/>
  <c r="R975" i="1"/>
  <c r="S975" i="1"/>
  <c r="D244" i="1"/>
  <c r="F974" i="1"/>
  <c r="M974" i="1"/>
  <c r="N974" i="1" s="1"/>
  <c r="O974" i="1"/>
  <c r="H974" i="1"/>
  <c r="I974" i="1" s="1"/>
  <c r="J974" i="1" s="1"/>
  <c r="E973" i="1"/>
  <c r="D243" i="1"/>
  <c r="G973" i="1"/>
  <c r="F973" i="1"/>
  <c r="S974" i="1"/>
  <c r="R974" i="1"/>
  <c r="Q974" i="1"/>
  <c r="P974" i="1"/>
  <c r="O973" i="1"/>
  <c r="M973" i="1"/>
  <c r="N973" i="1" s="1"/>
  <c r="H973" i="1"/>
  <c r="I973" i="1" s="1"/>
  <c r="J973" i="1" s="1"/>
  <c r="P973" i="1"/>
  <c r="G972" i="1"/>
  <c r="D242" i="1"/>
  <c r="S973" i="1"/>
  <c r="R973" i="1"/>
  <c r="E972" i="1"/>
  <c r="F972" i="1"/>
  <c r="Q973" i="1"/>
  <c r="O972" i="1"/>
  <c r="H972" i="1"/>
  <c r="I972" i="1" s="1"/>
  <c r="J972" i="1" s="1"/>
  <c r="M972" i="1"/>
  <c r="N972" i="1" s="1"/>
  <c r="G971" i="1"/>
  <c r="F971" i="1"/>
  <c r="E971" i="1"/>
  <c r="S972" i="1"/>
  <c r="R972" i="1"/>
  <c r="D241" i="1"/>
  <c r="Q972" i="1"/>
  <c r="P972" i="1"/>
  <c r="O971" i="1"/>
  <c r="H971" i="1"/>
  <c r="I971" i="1" s="1"/>
  <c r="J971" i="1" s="1"/>
  <c r="M971" i="1"/>
  <c r="N971" i="1" s="1"/>
  <c r="E970" i="1"/>
  <c r="F970" i="1"/>
  <c r="D240" i="1"/>
  <c r="G970" i="1"/>
  <c r="R971" i="1"/>
  <c r="Q971" i="1"/>
  <c r="P971" i="1"/>
  <c r="S971" i="1"/>
  <c r="H970" i="1"/>
  <c r="I970" i="1" s="1"/>
  <c r="J970" i="1" s="1"/>
  <c r="M970" i="1"/>
  <c r="N970" i="1" s="1"/>
  <c r="O970" i="1"/>
  <c r="G969" i="1"/>
  <c r="F969" i="1"/>
  <c r="E969" i="1"/>
  <c r="S970" i="1"/>
  <c r="R970" i="1"/>
  <c r="Q970" i="1"/>
  <c r="P970" i="1"/>
  <c r="D239" i="1"/>
  <c r="H969" i="1"/>
  <c r="I969" i="1" s="1"/>
  <c r="J969" i="1" s="1"/>
  <c r="M969" i="1"/>
  <c r="N969" i="1" s="1"/>
  <c r="O969" i="1"/>
  <c r="E968" i="1"/>
  <c r="F968" i="1"/>
  <c r="G968" i="1"/>
  <c r="D238" i="1"/>
  <c r="Q969" i="1"/>
  <c r="P969" i="1"/>
  <c r="S969" i="1"/>
  <c r="R969" i="1"/>
  <c r="M968" i="1"/>
  <c r="N968" i="1" s="1"/>
  <c r="O968" i="1"/>
  <c r="H968" i="1"/>
  <c r="I968" i="1" s="1"/>
  <c r="J968" i="1" s="1"/>
  <c r="G967" i="1"/>
  <c r="D237" i="1"/>
  <c r="F967" i="1"/>
  <c r="E967" i="1"/>
  <c r="S968" i="1"/>
  <c r="R968" i="1"/>
  <c r="Q968" i="1"/>
  <c r="P968" i="1"/>
  <c r="M967" i="1"/>
  <c r="N967" i="1" s="1"/>
  <c r="O967" i="1"/>
  <c r="H967" i="1"/>
  <c r="I967" i="1" s="1"/>
  <c r="J967" i="1" s="1"/>
  <c r="S967" i="1"/>
  <c r="D236" i="1"/>
  <c r="R967" i="1"/>
  <c r="Q967" i="1"/>
  <c r="P967" i="1"/>
  <c r="G966" i="1"/>
  <c r="F966" i="1"/>
  <c r="E966" i="1"/>
  <c r="H966" i="1"/>
  <c r="I966" i="1" s="1"/>
  <c r="J966" i="1" s="1"/>
  <c r="M966" i="1"/>
  <c r="N966" i="1" s="1"/>
  <c r="O966" i="1"/>
  <c r="F965" i="1"/>
  <c r="E965" i="1"/>
  <c r="D235" i="1"/>
  <c r="P966" i="1"/>
  <c r="Q966" i="1"/>
  <c r="R966" i="1"/>
  <c r="S966" i="1"/>
  <c r="G965" i="1"/>
  <c r="O965" i="1"/>
  <c r="M965" i="1"/>
  <c r="N965" i="1" s="1"/>
  <c r="H965" i="1"/>
  <c r="I965" i="1" s="1"/>
  <c r="J965" i="1" s="1"/>
  <c r="E964" i="1"/>
  <c r="F964" i="1"/>
  <c r="G964" i="1"/>
  <c r="S965" i="1"/>
  <c r="R965" i="1"/>
  <c r="Q965" i="1"/>
  <c r="P965" i="1"/>
  <c r="D234" i="1"/>
  <c r="H964" i="1"/>
  <c r="I964" i="1" s="1"/>
  <c r="J964" i="1" s="1"/>
  <c r="M964" i="1"/>
  <c r="N964" i="1" s="1"/>
  <c r="O964" i="1"/>
  <c r="P964" i="1"/>
  <c r="Q964" i="1"/>
  <c r="R964" i="1"/>
  <c r="S964" i="1"/>
  <c r="E963" i="1"/>
  <c r="F963" i="1"/>
  <c r="G963" i="1"/>
  <c r="D233" i="1"/>
  <c r="H963" i="1"/>
  <c r="I963" i="1" s="1"/>
  <c r="J963" i="1" s="1"/>
  <c r="M963" i="1"/>
  <c r="N963" i="1" s="1"/>
  <c r="O963" i="1"/>
  <c r="G962" i="1"/>
  <c r="F962" i="1"/>
  <c r="E962" i="1"/>
  <c r="P963" i="1"/>
  <c r="D232" i="1"/>
  <c r="S963" i="1"/>
  <c r="Q963" i="1"/>
  <c r="R963" i="1"/>
  <c r="H962" i="1"/>
  <c r="I962" i="1" s="1"/>
  <c r="J962" i="1" s="1"/>
  <c r="M962" i="1"/>
  <c r="N962" i="1" s="1"/>
  <c r="O962" i="1"/>
  <c r="Q962" i="1"/>
  <c r="G961" i="1"/>
  <c r="S962" i="1"/>
  <c r="R962" i="1"/>
  <c r="D231" i="1"/>
  <c r="F961" i="1"/>
  <c r="E961" i="1"/>
  <c r="P962" i="1"/>
  <c r="O961" i="1"/>
  <c r="M961" i="1"/>
  <c r="N961" i="1" s="1"/>
  <c r="H961" i="1"/>
  <c r="I961" i="1" s="1"/>
  <c r="J961" i="1" s="1"/>
  <c r="S961" i="1"/>
  <c r="R961" i="1"/>
  <c r="Q961" i="1"/>
  <c r="P961" i="1"/>
  <c r="E960" i="1"/>
  <c r="F960" i="1"/>
  <c r="G960" i="1"/>
  <c r="D230" i="1"/>
  <c r="H960" i="1"/>
  <c r="I960" i="1" s="1"/>
  <c r="J960" i="1" s="1"/>
  <c r="M960" i="1"/>
  <c r="N960" i="1" s="1"/>
  <c r="O960" i="1"/>
  <c r="E959" i="1"/>
  <c r="G959" i="1"/>
  <c r="F959" i="1"/>
  <c r="P960" i="1"/>
  <c r="Q960" i="1"/>
  <c r="R960" i="1"/>
  <c r="S960" i="1"/>
  <c r="D229" i="1"/>
  <c r="O959" i="1"/>
  <c r="H959" i="1"/>
  <c r="I959" i="1" s="1"/>
  <c r="J959" i="1" s="1"/>
  <c r="M959" i="1"/>
  <c r="N959" i="1" s="1"/>
  <c r="E958" i="1"/>
  <c r="F958" i="1"/>
  <c r="G958" i="1"/>
  <c r="P959" i="1"/>
  <c r="Q959" i="1"/>
  <c r="R959" i="1"/>
  <c r="D228" i="1"/>
  <c r="S959" i="1"/>
  <c r="M958" i="1"/>
  <c r="N958" i="1" s="1"/>
  <c r="O958" i="1"/>
  <c r="H958" i="1"/>
  <c r="I958" i="1" s="1"/>
  <c r="J958" i="1" s="1"/>
  <c r="S958" i="1"/>
  <c r="R958" i="1"/>
  <c r="Q958" i="1"/>
  <c r="P958" i="1"/>
  <c r="G957" i="1"/>
  <c r="F957" i="1"/>
  <c r="E957" i="1"/>
  <c r="D227" i="1"/>
  <c r="M957" i="1"/>
  <c r="N957" i="1" s="1"/>
  <c r="O957" i="1"/>
  <c r="H957" i="1"/>
  <c r="I957" i="1" s="1"/>
  <c r="J957" i="1" s="1"/>
  <c r="S957" i="1"/>
  <c r="Q957" i="1"/>
  <c r="P957" i="1"/>
  <c r="R957" i="1"/>
  <c r="G956" i="1"/>
  <c r="F956" i="1"/>
  <c r="E956" i="1"/>
  <c r="D226" i="1"/>
  <c r="M956" i="1"/>
  <c r="N956" i="1" s="1"/>
  <c r="H956" i="1"/>
  <c r="I956" i="1" s="1"/>
  <c r="J956" i="1" s="1"/>
  <c r="O956" i="1"/>
  <c r="Q956" i="1"/>
  <c r="R956" i="1"/>
  <c r="E955" i="1"/>
  <c r="P956" i="1"/>
  <c r="D225" i="1"/>
  <c r="S956" i="1"/>
  <c r="F955" i="1"/>
  <c r="G955" i="1"/>
  <c r="O955" i="1"/>
  <c r="H955" i="1"/>
  <c r="I955" i="1" s="1"/>
  <c r="J955" i="1" s="1"/>
  <c r="M955" i="1"/>
  <c r="N955" i="1" s="1"/>
  <c r="S955" i="1"/>
  <c r="R955" i="1"/>
  <c r="Q955" i="1"/>
  <c r="P955" i="1"/>
  <c r="G954" i="1"/>
  <c r="F954" i="1"/>
  <c r="E954" i="1"/>
  <c r="D224" i="1"/>
  <c r="H954" i="1"/>
  <c r="I954" i="1" s="1"/>
  <c r="J954" i="1" s="1"/>
  <c r="O954" i="1"/>
  <c r="M954" i="1"/>
  <c r="N954" i="1" s="1"/>
  <c r="S954" i="1"/>
  <c r="R954" i="1"/>
  <c r="Q954" i="1"/>
  <c r="P954" i="1"/>
  <c r="F953" i="1"/>
  <c r="G953" i="1"/>
  <c r="E953" i="1"/>
  <c r="D223" i="1"/>
  <c r="M953" i="1"/>
  <c r="N953" i="1" s="1"/>
  <c r="H953" i="1"/>
  <c r="I953" i="1" s="1"/>
  <c r="J953" i="1" s="1"/>
  <c r="O953" i="1"/>
  <c r="R953" i="1"/>
  <c r="Q953" i="1"/>
  <c r="P953" i="1"/>
  <c r="S953" i="1"/>
  <c r="E952" i="1"/>
  <c r="F952" i="1"/>
  <c r="G952" i="1"/>
  <c r="O952" i="1"/>
  <c r="H952" i="1"/>
  <c r="I952" i="1" s="1"/>
  <c r="J952" i="1" s="1"/>
  <c r="M952" i="1"/>
  <c r="N952" i="1" s="1"/>
  <c r="R952" i="1"/>
  <c r="Q952" i="1"/>
  <c r="P952" i="1"/>
  <c r="G951" i="1"/>
  <c r="F951" i="1"/>
  <c r="E951" i="1"/>
  <c r="S952" i="1"/>
  <c r="M951" i="1"/>
  <c r="N951" i="1" s="1"/>
  <c r="O951" i="1"/>
  <c r="H951" i="1"/>
  <c r="I951" i="1" s="1"/>
  <c r="J951" i="1" s="1"/>
  <c r="F950" i="1"/>
  <c r="E950" i="1"/>
  <c r="P951" i="1"/>
  <c r="R951" i="1"/>
  <c r="S951" i="1"/>
  <c r="Q951" i="1"/>
  <c r="G950" i="1"/>
  <c r="M950" i="1"/>
  <c r="N950" i="1" s="1"/>
  <c r="H950" i="1"/>
  <c r="I950" i="1" s="1"/>
  <c r="J950" i="1" s="1"/>
  <c r="O950" i="1"/>
  <c r="S950" i="1"/>
  <c r="G949" i="1"/>
  <c r="F949" i="1"/>
  <c r="E949" i="1"/>
  <c r="P950" i="1"/>
  <c r="R950" i="1"/>
  <c r="Q950" i="1"/>
  <c r="H949" i="1"/>
  <c r="I949" i="1" s="1"/>
  <c r="J949" i="1" s="1"/>
  <c r="M949" i="1"/>
  <c r="N949" i="1" s="1"/>
  <c r="O949" i="1"/>
  <c r="G948" i="1"/>
  <c r="F948" i="1"/>
  <c r="E948" i="1"/>
  <c r="Q949" i="1"/>
  <c r="R949" i="1"/>
  <c r="S949" i="1"/>
  <c r="P949" i="1"/>
  <c r="H948" i="1"/>
  <c r="I948" i="1" s="1"/>
  <c r="J948" i="1" s="1"/>
  <c r="M948" i="1"/>
  <c r="N948" i="1" s="1"/>
  <c r="O948" i="1"/>
  <c r="E947" i="1"/>
  <c r="S948" i="1"/>
  <c r="R948" i="1"/>
  <c r="Q948" i="1"/>
  <c r="P948" i="1"/>
  <c r="G947" i="1"/>
  <c r="F947" i="1"/>
  <c r="M947" i="1"/>
  <c r="N947" i="1" s="1"/>
  <c r="H947" i="1"/>
  <c r="I947" i="1" s="1"/>
  <c r="J947" i="1" s="1"/>
  <c r="O947" i="1"/>
  <c r="S947" i="1"/>
  <c r="R947" i="1"/>
  <c r="Q947" i="1"/>
  <c r="P947" i="1"/>
  <c r="E946" i="1"/>
  <c r="G946" i="1"/>
  <c r="F946" i="1"/>
  <c r="H946" i="1"/>
  <c r="I946" i="1" s="1"/>
  <c r="J946" i="1" s="1"/>
  <c r="M946" i="1"/>
  <c r="N946" i="1" s="1"/>
  <c r="O946" i="1"/>
  <c r="R946" i="1"/>
  <c r="F945" i="1"/>
  <c r="P946" i="1"/>
  <c r="Q946" i="1"/>
  <c r="S946" i="1"/>
  <c r="G945" i="1"/>
  <c r="E945" i="1"/>
  <c r="M945" i="1"/>
  <c r="N945" i="1" s="1"/>
  <c r="O945" i="1"/>
  <c r="H945" i="1"/>
  <c r="I945" i="1" s="1"/>
  <c r="J945" i="1" s="1"/>
  <c r="G944" i="1"/>
  <c r="F944" i="1"/>
  <c r="E944" i="1"/>
  <c r="S945" i="1"/>
  <c r="P945" i="1"/>
  <c r="R945" i="1"/>
  <c r="Q945" i="1"/>
  <c r="H944" i="1"/>
  <c r="I944" i="1" s="1"/>
  <c r="J944" i="1" s="1"/>
  <c r="M944" i="1"/>
  <c r="N944" i="1" s="1"/>
  <c r="O944" i="1"/>
  <c r="R944" i="1"/>
  <c r="P944" i="1"/>
  <c r="Q944" i="1"/>
  <c r="S944" i="1"/>
  <c r="G943" i="1"/>
  <c r="F943" i="1"/>
  <c r="E943" i="1"/>
  <c r="M943" i="1"/>
  <c r="N943" i="1" s="1"/>
  <c r="H943" i="1"/>
  <c r="I943" i="1" s="1"/>
  <c r="J943" i="1" s="1"/>
  <c r="O943" i="1"/>
  <c r="Q943" i="1"/>
  <c r="R943" i="1"/>
  <c r="S943" i="1"/>
  <c r="P943" i="1"/>
  <c r="E942" i="1"/>
  <c r="F942" i="1"/>
  <c r="G942" i="1"/>
  <c r="O942" i="1"/>
  <c r="M942" i="1"/>
  <c r="N942" i="1" s="1"/>
  <c r="H942" i="1"/>
  <c r="I942" i="1" s="1"/>
  <c r="J942" i="1" s="1"/>
  <c r="P942" i="1"/>
  <c r="R942" i="1"/>
  <c r="S942" i="1"/>
  <c r="G941" i="1"/>
  <c r="F941" i="1"/>
  <c r="E941" i="1"/>
  <c r="Q942" i="1"/>
  <c r="O941" i="1"/>
  <c r="M941" i="1"/>
  <c r="N941" i="1" s="1"/>
  <c r="H941" i="1"/>
  <c r="I941" i="1" s="1"/>
  <c r="J941" i="1" s="1"/>
  <c r="S940" i="1"/>
  <c r="R940" i="1"/>
  <c r="Q941" i="1"/>
  <c r="P941" i="1"/>
  <c r="S941" i="1"/>
  <c r="G940" i="1"/>
  <c r="P940" i="1"/>
  <c r="R941" i="1"/>
  <c r="E940" i="1"/>
  <c r="Q940" i="1"/>
  <c r="F940" i="1"/>
  <c r="H940" i="1"/>
  <c r="I940" i="1" s="1"/>
  <c r="J940" i="1" s="1"/>
  <c r="M940" i="1"/>
  <c r="N940" i="1" s="1"/>
  <c r="O940" i="1"/>
  <c r="F939" i="1"/>
  <c r="G939" i="1"/>
  <c r="H939" i="1"/>
  <c r="I939" i="1" s="1"/>
  <c r="J939" i="1" s="1"/>
  <c r="O939" i="1"/>
  <c r="M939" i="1"/>
  <c r="N939" i="1" s="1"/>
  <c r="G938" i="1"/>
  <c r="R939" i="1"/>
  <c r="F938" i="1"/>
  <c r="P939" i="1"/>
  <c r="Q939" i="1"/>
  <c r="O938" i="1"/>
  <c r="M938" i="1"/>
  <c r="N938" i="1" s="1"/>
  <c r="H938" i="1"/>
  <c r="I938" i="1" s="1"/>
  <c r="J938" i="1" s="1"/>
  <c r="S938" i="1"/>
  <c r="R938" i="1"/>
  <c r="P938" i="1"/>
  <c r="F937" i="1"/>
  <c r="G937" i="1"/>
  <c r="Q938" i="1"/>
  <c r="H937" i="1"/>
  <c r="I937" i="1" s="1"/>
  <c r="J937" i="1" s="1"/>
  <c r="O937" i="1"/>
  <c r="M937" i="1"/>
  <c r="N937" i="1" s="1"/>
  <c r="R937" i="1"/>
  <c r="Q937" i="1"/>
  <c r="P937" i="1"/>
  <c r="G936" i="1"/>
  <c r="F936" i="1"/>
  <c r="S937" i="1"/>
  <c r="H936" i="1"/>
  <c r="I936" i="1" s="1"/>
  <c r="J936" i="1" s="1"/>
  <c r="M936" i="1"/>
  <c r="N936" i="1" s="1"/>
  <c r="O936" i="1"/>
  <c r="S936" i="1"/>
  <c r="G935" i="1"/>
  <c r="F935" i="1"/>
  <c r="P936" i="1"/>
  <c r="Q936" i="1"/>
  <c r="R936" i="1"/>
  <c r="O935" i="1"/>
  <c r="M935" i="1"/>
  <c r="N935" i="1" s="1"/>
  <c r="H935" i="1"/>
  <c r="I935" i="1" s="1"/>
  <c r="J935" i="1" s="1"/>
  <c r="Q935" i="1"/>
  <c r="R935" i="1"/>
  <c r="S935" i="1"/>
  <c r="G934" i="1"/>
  <c r="F934" i="1"/>
  <c r="P935" i="1"/>
  <c r="M934" i="1"/>
  <c r="N934" i="1" s="1"/>
  <c r="O934" i="1"/>
  <c r="H934" i="1"/>
  <c r="I934" i="1" s="1"/>
  <c r="J934" i="1" s="1"/>
  <c r="Q934" i="1"/>
  <c r="R934" i="1"/>
  <c r="P934" i="1"/>
  <c r="G933" i="1"/>
  <c r="F933" i="1"/>
  <c r="S934" i="1"/>
  <c r="H933" i="1"/>
  <c r="I933" i="1" s="1"/>
  <c r="J933" i="1" s="1"/>
  <c r="O933" i="1"/>
  <c r="M933" i="1"/>
  <c r="N933" i="1" s="1"/>
  <c r="R933" i="1"/>
  <c r="S933" i="1"/>
  <c r="F932" i="1"/>
  <c r="G932" i="1"/>
  <c r="P933" i="1"/>
  <c r="Q933" i="1"/>
  <c r="H932" i="1"/>
  <c r="I932" i="1" s="1"/>
  <c r="J932" i="1" s="1"/>
  <c r="O932" i="1"/>
  <c r="M932" i="1"/>
  <c r="N932" i="1" s="1"/>
  <c r="P932" i="1"/>
  <c r="Q932" i="1"/>
  <c r="R932" i="1"/>
  <c r="S932" i="1"/>
  <c r="G931" i="1"/>
  <c r="F931" i="1"/>
  <c r="M931" i="1"/>
  <c r="N931" i="1" s="1"/>
  <c r="H931" i="1"/>
  <c r="I931" i="1" s="1"/>
  <c r="J931" i="1" s="1"/>
  <c r="O931" i="1"/>
  <c r="F930" i="1"/>
  <c r="G930" i="1"/>
  <c r="S931" i="1"/>
  <c r="R931" i="1"/>
  <c r="P931" i="1"/>
  <c r="Q931" i="1"/>
  <c r="H930" i="1"/>
  <c r="I930" i="1" s="1"/>
  <c r="J930" i="1" s="1"/>
  <c r="O930" i="1"/>
  <c r="M930" i="1"/>
  <c r="N930" i="1" s="1"/>
  <c r="S930" i="1"/>
  <c r="G929" i="1"/>
  <c r="F929" i="1"/>
  <c r="P930" i="1"/>
  <c r="Q930" i="1"/>
  <c r="R930" i="1"/>
  <c r="M929" i="1"/>
  <c r="N929" i="1" s="1"/>
  <c r="H929" i="1"/>
  <c r="I929" i="1" s="1"/>
  <c r="J929" i="1" s="1"/>
  <c r="O929" i="1"/>
  <c r="S929" i="1"/>
  <c r="R929" i="1"/>
  <c r="Q929" i="1"/>
  <c r="P929" i="1"/>
  <c r="G928" i="1"/>
  <c r="F928" i="1"/>
  <c r="O928" i="1"/>
  <c r="M928" i="1"/>
  <c r="N928" i="1" s="1"/>
  <c r="H928" i="1"/>
  <c r="I928" i="1" s="1"/>
  <c r="J928" i="1" s="1"/>
  <c r="F927" i="1"/>
  <c r="S928" i="1"/>
  <c r="R928" i="1"/>
  <c r="Q928" i="1"/>
  <c r="P928" i="1"/>
  <c r="G927" i="1"/>
  <c r="M927" i="1"/>
  <c r="N927" i="1" s="1"/>
  <c r="H927" i="1"/>
  <c r="I927" i="1" s="1"/>
  <c r="J927" i="1" s="1"/>
  <c r="O927" i="1"/>
  <c r="G926" i="1"/>
  <c r="F926" i="1"/>
  <c r="S927" i="1"/>
  <c r="Q927" i="1"/>
  <c r="P927" i="1"/>
  <c r="R927" i="1"/>
  <c r="O926" i="1"/>
  <c r="M926" i="1"/>
  <c r="N926" i="1" s="1"/>
  <c r="H926" i="1"/>
  <c r="I926" i="1" s="1"/>
  <c r="J926" i="1" s="1"/>
  <c r="R926" i="1"/>
  <c r="Q926" i="1"/>
  <c r="P926" i="1"/>
  <c r="S926" i="1"/>
  <c r="F925" i="1"/>
  <c r="G925" i="1"/>
  <c r="O925" i="1"/>
  <c r="M925" i="1"/>
  <c r="N925" i="1" s="1"/>
  <c r="H925" i="1"/>
  <c r="I925" i="1" s="1"/>
  <c r="J925" i="1" s="1"/>
  <c r="G924" i="1"/>
  <c r="F924" i="1"/>
  <c r="S925" i="1"/>
  <c r="R925" i="1"/>
  <c r="Q925" i="1"/>
  <c r="P925" i="1"/>
  <c r="H924" i="1"/>
  <c r="I924" i="1" s="1"/>
  <c r="J924" i="1" s="1"/>
  <c r="M924" i="1"/>
  <c r="N924" i="1" s="1"/>
  <c r="O924" i="1"/>
  <c r="Q924" i="1"/>
  <c r="P924" i="1"/>
  <c r="F923" i="1"/>
  <c r="G923" i="1"/>
  <c r="S924" i="1"/>
  <c r="R924" i="1"/>
  <c r="O923" i="1"/>
  <c r="M923" i="1"/>
  <c r="N923" i="1" s="1"/>
  <c r="H923" i="1"/>
  <c r="I923" i="1" s="1"/>
  <c r="J923" i="1" s="1"/>
  <c r="S923" i="1"/>
  <c r="G922" i="1"/>
  <c r="F922" i="1"/>
  <c r="R923" i="1"/>
  <c r="Q923" i="1"/>
  <c r="P923" i="1"/>
  <c r="O922" i="1"/>
  <c r="M922" i="1"/>
  <c r="N922" i="1" s="1"/>
  <c r="H922" i="1"/>
  <c r="I922" i="1" s="1"/>
  <c r="J922" i="1" s="1"/>
  <c r="F921" i="1"/>
  <c r="G921" i="1"/>
  <c r="S922" i="1"/>
  <c r="R922" i="1"/>
  <c r="Q922" i="1"/>
  <c r="P922" i="1"/>
  <c r="O921" i="1"/>
  <c r="M921" i="1"/>
  <c r="N921" i="1" s="1"/>
  <c r="H921" i="1"/>
  <c r="I921" i="1" s="1"/>
  <c r="J921" i="1" s="1"/>
  <c r="Q921" i="1"/>
  <c r="P921" i="1"/>
  <c r="R921" i="1"/>
  <c r="F920" i="1"/>
  <c r="G920" i="1"/>
  <c r="S921" i="1"/>
  <c r="H920" i="1"/>
  <c r="I920" i="1" s="1"/>
  <c r="J920" i="1" s="1"/>
  <c r="O920" i="1"/>
  <c r="M920" i="1"/>
  <c r="N920" i="1" s="1"/>
  <c r="G919" i="1"/>
  <c r="F919" i="1"/>
  <c r="P920" i="1"/>
  <c r="Q920" i="1"/>
  <c r="R920" i="1"/>
  <c r="S920" i="1"/>
  <c r="O919" i="1"/>
  <c r="H919" i="1"/>
  <c r="I919" i="1" s="1"/>
  <c r="J919" i="1" s="1"/>
  <c r="M919" i="1"/>
  <c r="N919" i="1" s="1"/>
  <c r="F918" i="1"/>
  <c r="G918" i="1"/>
  <c r="S919" i="1"/>
  <c r="R919" i="1"/>
  <c r="Q919" i="1"/>
  <c r="P919" i="1"/>
  <c r="H918" i="1"/>
  <c r="I918" i="1" s="1"/>
  <c r="J918" i="1" s="1"/>
  <c r="M918" i="1"/>
  <c r="N918" i="1" s="1"/>
  <c r="O918" i="1"/>
  <c r="P918" i="1"/>
  <c r="Q918" i="1"/>
  <c r="R918" i="1"/>
  <c r="G917" i="1"/>
  <c r="S918" i="1"/>
  <c r="F917" i="1"/>
  <c r="O917" i="1"/>
  <c r="M917" i="1"/>
  <c r="N917" i="1" s="1"/>
  <c r="H917" i="1"/>
  <c r="I917" i="1" s="1"/>
  <c r="J917" i="1" s="1"/>
  <c r="S917" i="1"/>
  <c r="F916" i="1"/>
  <c r="G916" i="1"/>
  <c r="Q917" i="1"/>
  <c r="P917" i="1"/>
  <c r="R917" i="1"/>
  <c r="H916" i="1"/>
  <c r="I916" i="1" s="1"/>
  <c r="J916" i="1" s="1"/>
  <c r="O916" i="1"/>
  <c r="M916" i="1"/>
  <c r="N916" i="1" s="1"/>
  <c r="S916" i="1"/>
  <c r="P916" i="1"/>
  <c r="R916" i="1"/>
  <c r="Q916" i="1"/>
  <c r="G915" i="1"/>
  <c r="F915" i="1"/>
  <c r="M915" i="1"/>
  <c r="N915" i="1" s="1"/>
  <c r="O915" i="1"/>
  <c r="H915" i="1"/>
  <c r="I915" i="1" s="1"/>
  <c r="J915" i="1" s="1"/>
  <c r="P915" i="1"/>
  <c r="R915" i="1"/>
  <c r="Q915" i="1"/>
  <c r="G914" i="1"/>
  <c r="F914" i="1"/>
  <c r="S915" i="1"/>
  <c r="H914" i="1"/>
  <c r="I914" i="1" s="1"/>
  <c r="J914" i="1" s="1"/>
  <c r="M914" i="1"/>
  <c r="N914" i="1" s="1"/>
  <c r="O914" i="1"/>
  <c r="G913" i="1"/>
  <c r="F913" i="1"/>
  <c r="Q914" i="1"/>
  <c r="R914" i="1"/>
  <c r="P914" i="1"/>
  <c r="S914" i="1"/>
  <c r="O913" i="1"/>
  <c r="H913" i="1"/>
  <c r="I913" i="1" s="1"/>
  <c r="J913" i="1" s="1"/>
  <c r="M913" i="1"/>
  <c r="N913" i="1" s="1"/>
  <c r="Q913" i="1"/>
  <c r="P913" i="1"/>
  <c r="F912" i="1"/>
  <c r="G912" i="1"/>
  <c r="S913" i="1"/>
  <c r="R913" i="1"/>
  <c r="M912" i="1"/>
  <c r="N912" i="1" s="1"/>
  <c r="O912" i="1"/>
  <c r="H912" i="1"/>
  <c r="I912" i="1" s="1"/>
  <c r="J912" i="1" s="1"/>
  <c r="G911" i="1"/>
  <c r="E911" i="1"/>
  <c r="S912" i="1"/>
  <c r="R912" i="1"/>
  <c r="Q912" i="1"/>
  <c r="P912" i="1"/>
  <c r="F911" i="1"/>
  <c r="H911" i="1"/>
  <c r="I911" i="1" s="1"/>
  <c r="J911" i="1" s="1"/>
  <c r="O911" i="1"/>
  <c r="M911" i="1"/>
  <c r="N911" i="1" s="1"/>
  <c r="P911" i="1"/>
  <c r="R911" i="1"/>
  <c r="Q911" i="1"/>
  <c r="E910" i="1"/>
  <c r="S911" i="1"/>
  <c r="G910" i="1"/>
  <c r="F910" i="1"/>
  <c r="M910" i="1"/>
  <c r="N910" i="1" s="1"/>
  <c r="O910" i="1"/>
  <c r="H910" i="1"/>
  <c r="I910" i="1" s="1"/>
  <c r="J910" i="1" s="1"/>
  <c r="G909" i="1"/>
  <c r="E909" i="1"/>
  <c r="F909" i="1"/>
  <c r="S910" i="1"/>
  <c r="R910" i="1"/>
  <c r="Q910" i="1"/>
  <c r="P910" i="1"/>
  <c r="H909" i="1"/>
  <c r="I909" i="1" s="1"/>
  <c r="J909" i="1" s="1"/>
  <c r="O909" i="1"/>
  <c r="M909" i="1"/>
  <c r="N909" i="1" s="1"/>
  <c r="S909" i="1"/>
  <c r="R909" i="1"/>
  <c r="P909" i="1"/>
  <c r="Q909" i="1"/>
  <c r="G908" i="1"/>
  <c r="F908" i="1"/>
  <c r="E908" i="1"/>
  <c r="M908" i="1"/>
  <c r="N908" i="1" s="1"/>
  <c r="H908" i="1"/>
  <c r="I908" i="1" s="1"/>
  <c r="J908" i="1" s="1"/>
  <c r="O908" i="1"/>
  <c r="S908" i="1"/>
  <c r="E907" i="1"/>
  <c r="F907" i="1"/>
  <c r="G907" i="1"/>
  <c r="R908" i="1"/>
  <c r="Q908" i="1"/>
  <c r="P908" i="1"/>
  <c r="O907" i="1"/>
  <c r="H907" i="1"/>
  <c r="I907" i="1" s="1"/>
  <c r="J907" i="1" s="1"/>
  <c r="M907" i="1"/>
  <c r="N907" i="1" s="1"/>
  <c r="E906" i="1"/>
  <c r="Q907" i="1"/>
  <c r="S907" i="1"/>
  <c r="R907" i="1"/>
  <c r="P907" i="1"/>
  <c r="F906" i="1"/>
  <c r="G906" i="1"/>
  <c r="O906" i="1"/>
  <c r="M906" i="1"/>
  <c r="N906" i="1" s="1"/>
  <c r="H906" i="1"/>
  <c r="I906" i="1" s="1"/>
  <c r="J906" i="1" s="1"/>
  <c r="G905" i="1"/>
  <c r="S906" i="1"/>
  <c r="E905" i="1"/>
  <c r="P906" i="1"/>
  <c r="R906" i="1"/>
  <c r="F905" i="1"/>
  <c r="Q906" i="1"/>
  <c r="M905" i="1"/>
  <c r="N905" i="1" s="1"/>
  <c r="O905" i="1"/>
  <c r="H905" i="1"/>
  <c r="I905" i="1" s="1"/>
  <c r="J905" i="1" s="1"/>
  <c r="E904" i="1"/>
  <c r="F904" i="1"/>
  <c r="G904" i="1"/>
  <c r="S905" i="1"/>
  <c r="P905" i="1"/>
  <c r="Q905" i="1"/>
  <c r="R905" i="1"/>
  <c r="M904" i="1"/>
  <c r="N904" i="1" s="1"/>
  <c r="O904" i="1"/>
  <c r="H904" i="1"/>
  <c r="I904" i="1" s="1"/>
  <c r="J904" i="1" s="1"/>
  <c r="S904" i="1"/>
  <c r="G903" i="1"/>
  <c r="F903" i="1"/>
  <c r="E903" i="1"/>
  <c r="P904" i="1"/>
  <c r="Q904" i="1"/>
  <c r="R904" i="1"/>
  <c r="H903" i="1"/>
  <c r="I903" i="1" s="1"/>
  <c r="J903" i="1" s="1"/>
  <c r="O903" i="1"/>
  <c r="M903" i="1"/>
  <c r="N903" i="1" s="1"/>
  <c r="G902" i="1"/>
  <c r="E902" i="1"/>
  <c r="F902" i="1"/>
  <c r="S903" i="1"/>
  <c r="R903" i="1"/>
  <c r="Q903" i="1"/>
  <c r="P903" i="1"/>
  <c r="H902" i="1"/>
  <c r="I902" i="1" s="1"/>
  <c r="J902" i="1" s="1"/>
  <c r="O902" i="1"/>
  <c r="M902" i="1"/>
  <c r="N902" i="1" s="1"/>
  <c r="E901" i="1"/>
  <c r="F901" i="1"/>
  <c r="G901" i="1"/>
  <c r="S902" i="1"/>
  <c r="R902" i="1"/>
  <c r="Q902" i="1"/>
  <c r="P902" i="1"/>
  <c r="M901" i="1"/>
  <c r="N901" i="1" s="1"/>
  <c r="H901" i="1"/>
  <c r="I901" i="1" s="1"/>
  <c r="J901" i="1" s="1"/>
  <c r="O901" i="1"/>
  <c r="G900" i="1"/>
  <c r="E900" i="1"/>
  <c r="F900" i="1"/>
  <c r="P901" i="1"/>
  <c r="R901" i="1"/>
  <c r="S901" i="1"/>
  <c r="Q901" i="1"/>
  <c r="M900" i="1"/>
  <c r="N900" i="1" s="1"/>
  <c r="H900" i="1"/>
  <c r="I900" i="1" s="1"/>
  <c r="J900" i="1" s="1"/>
  <c r="O900" i="1"/>
  <c r="S900" i="1"/>
  <c r="R900" i="1"/>
  <c r="G899" i="1"/>
  <c r="E899" i="1"/>
  <c r="Q900" i="1"/>
  <c r="F899" i="1"/>
  <c r="P900" i="1"/>
  <c r="M899" i="1"/>
  <c r="N899" i="1" s="1"/>
  <c r="H899" i="1"/>
  <c r="I899" i="1" s="1"/>
  <c r="J899" i="1" s="1"/>
  <c r="O899" i="1"/>
  <c r="R899" i="1"/>
  <c r="S899" i="1"/>
  <c r="E898" i="1"/>
  <c r="F898" i="1"/>
  <c r="G898" i="1"/>
  <c r="Q899" i="1"/>
  <c r="P899" i="1"/>
  <c r="H898" i="1"/>
  <c r="I898" i="1" s="1"/>
  <c r="J898" i="1" s="1"/>
  <c r="M898" i="1"/>
  <c r="N898" i="1" s="1"/>
  <c r="O898" i="1"/>
  <c r="E897" i="1"/>
  <c r="F897" i="1"/>
  <c r="G897" i="1"/>
  <c r="P898" i="1"/>
  <c r="Q898" i="1"/>
  <c r="R898" i="1"/>
  <c r="S898" i="1"/>
  <c r="H897" i="1"/>
  <c r="I897" i="1" s="1"/>
  <c r="J897" i="1" s="1"/>
  <c r="M897" i="1"/>
  <c r="N897" i="1" s="1"/>
  <c r="O897" i="1"/>
  <c r="P897" i="1"/>
  <c r="Q897" i="1"/>
  <c r="R897" i="1"/>
  <c r="S897" i="1"/>
  <c r="E896" i="1"/>
  <c r="F896" i="1"/>
  <c r="G896" i="1"/>
  <c r="H896" i="1"/>
  <c r="I896" i="1" s="1"/>
  <c r="J896" i="1" s="1"/>
  <c r="M896" i="1"/>
  <c r="N896" i="1" s="1"/>
  <c r="O896" i="1"/>
  <c r="E895" i="1"/>
  <c r="P896" i="1"/>
  <c r="S896" i="1"/>
  <c r="R896" i="1"/>
  <c r="Q896" i="1"/>
  <c r="G895" i="1"/>
  <c r="F895" i="1"/>
  <c r="M895" i="1"/>
  <c r="N895" i="1" s="1"/>
  <c r="H895" i="1"/>
  <c r="I895" i="1" s="1"/>
  <c r="J895" i="1" s="1"/>
  <c r="O895" i="1"/>
  <c r="G894" i="1"/>
  <c r="F894" i="1"/>
  <c r="P895" i="1"/>
  <c r="Q895" i="1"/>
  <c r="R895" i="1"/>
  <c r="S895" i="1"/>
  <c r="E894" i="1"/>
  <c r="M894" i="1"/>
  <c r="N894" i="1" s="1"/>
  <c r="O894" i="1"/>
  <c r="H894" i="1"/>
  <c r="I894" i="1" s="1"/>
  <c r="J894" i="1" s="1"/>
  <c r="R894" i="1"/>
  <c r="Q894" i="1"/>
  <c r="P894" i="1"/>
  <c r="E893" i="1"/>
  <c r="F893" i="1"/>
  <c r="G893" i="1"/>
  <c r="S894" i="1"/>
  <c r="O893" i="1"/>
  <c r="M893" i="1"/>
  <c r="N893" i="1" s="1"/>
  <c r="H893" i="1"/>
  <c r="I893" i="1" s="1"/>
  <c r="J893" i="1" s="1"/>
  <c r="F892" i="1"/>
  <c r="S893" i="1"/>
  <c r="Q893" i="1"/>
  <c r="P893" i="1"/>
  <c r="E892" i="1"/>
  <c r="R893" i="1"/>
  <c r="G892" i="1"/>
  <c r="H892" i="1"/>
  <c r="I892" i="1" s="1"/>
  <c r="J892" i="1" s="1"/>
  <c r="O892" i="1"/>
  <c r="M892" i="1"/>
  <c r="N892" i="1" s="1"/>
  <c r="F891" i="1"/>
  <c r="E891" i="1"/>
  <c r="G891" i="1"/>
  <c r="S892" i="1"/>
  <c r="R892" i="1"/>
  <c r="Q892" i="1"/>
  <c r="P892" i="1"/>
  <c r="M891" i="1"/>
  <c r="N891" i="1" s="1"/>
  <c r="O891" i="1"/>
  <c r="H891" i="1"/>
  <c r="I891" i="1" s="1"/>
  <c r="J891" i="1" s="1"/>
  <c r="E890" i="1"/>
  <c r="P891" i="1"/>
  <c r="Q891" i="1"/>
  <c r="R891" i="1"/>
  <c r="S891" i="1"/>
  <c r="G890" i="1"/>
  <c r="F890" i="1"/>
  <c r="M890" i="1"/>
  <c r="N890" i="1" s="1"/>
  <c r="O890" i="1"/>
  <c r="H890" i="1"/>
  <c r="I890" i="1" s="1"/>
  <c r="J890" i="1" s="1"/>
  <c r="R890" i="1"/>
  <c r="E889" i="1"/>
  <c r="G889" i="1"/>
  <c r="F889" i="1"/>
  <c r="Q890" i="1"/>
  <c r="P890" i="1"/>
  <c r="S890" i="1"/>
  <c r="H889" i="1"/>
  <c r="I889" i="1" s="1"/>
  <c r="J889" i="1" s="1"/>
  <c r="O889" i="1"/>
  <c r="M889" i="1"/>
  <c r="N889" i="1" s="1"/>
  <c r="S889" i="1"/>
  <c r="R889" i="1"/>
  <c r="Q889" i="1"/>
  <c r="P889" i="1"/>
  <c r="G888" i="1"/>
  <c r="F888" i="1"/>
  <c r="E888" i="1"/>
  <c r="M888" i="1"/>
  <c r="N888" i="1" s="1"/>
  <c r="O888" i="1"/>
  <c r="H888" i="1"/>
  <c r="I888" i="1" s="1"/>
  <c r="J888" i="1" s="1"/>
  <c r="S888" i="1"/>
  <c r="P888" i="1"/>
  <c r="R888" i="1"/>
  <c r="G887" i="1"/>
  <c r="F887" i="1"/>
  <c r="E887" i="1"/>
  <c r="Q888" i="1"/>
  <c r="H887" i="1"/>
  <c r="I887" i="1" s="1"/>
  <c r="J887" i="1" s="1"/>
  <c r="M887" i="1"/>
  <c r="N887" i="1" s="1"/>
  <c r="O887" i="1"/>
  <c r="G886" i="1"/>
  <c r="F886" i="1"/>
  <c r="E886" i="1"/>
  <c r="R887" i="1"/>
  <c r="S887" i="1"/>
  <c r="Q887" i="1"/>
  <c r="P887" i="1"/>
  <c r="M886" i="1"/>
  <c r="N886" i="1" s="1"/>
  <c r="H886" i="1"/>
  <c r="I886" i="1" s="1"/>
  <c r="J886" i="1" s="1"/>
  <c r="O886" i="1"/>
  <c r="R886" i="1"/>
  <c r="S886" i="1"/>
  <c r="E885" i="1"/>
  <c r="F885" i="1"/>
  <c r="G885" i="1"/>
  <c r="P886" i="1"/>
  <c r="Q886" i="1"/>
  <c r="M885" i="1"/>
  <c r="N885" i="1" s="1"/>
  <c r="H885" i="1"/>
  <c r="I885" i="1" s="1"/>
  <c r="J885" i="1" s="1"/>
  <c r="O885" i="1"/>
  <c r="Q885" i="1"/>
  <c r="R885" i="1"/>
  <c r="E884" i="1"/>
  <c r="S885" i="1"/>
  <c r="P885" i="1"/>
  <c r="G884" i="1"/>
  <c r="F884" i="1"/>
  <c r="M884" i="1"/>
  <c r="N884" i="1" s="1"/>
  <c r="O884" i="1"/>
  <c r="H884" i="1"/>
  <c r="I884" i="1" s="1"/>
  <c r="J884" i="1" s="1"/>
  <c r="Q884" i="1"/>
  <c r="R884" i="1"/>
  <c r="S884" i="1"/>
  <c r="P884" i="1"/>
  <c r="G883" i="1"/>
  <c r="F883" i="1"/>
  <c r="E883" i="1"/>
  <c r="O883" i="1"/>
  <c r="M883" i="1"/>
  <c r="N883" i="1" s="1"/>
  <c r="H883" i="1"/>
  <c r="I883" i="1" s="1"/>
  <c r="J883" i="1" s="1"/>
  <c r="S883" i="1"/>
  <c r="P883" i="1"/>
  <c r="E882" i="1"/>
  <c r="F882" i="1"/>
  <c r="Q883" i="1"/>
  <c r="R883" i="1"/>
  <c r="G882" i="1"/>
  <c r="O882" i="1"/>
  <c r="M882" i="1"/>
  <c r="N882" i="1" s="1"/>
  <c r="H882" i="1"/>
  <c r="I882" i="1" s="1"/>
  <c r="J882" i="1" s="1"/>
  <c r="F881" i="1"/>
  <c r="E881" i="1"/>
  <c r="G881" i="1"/>
  <c r="S882" i="1"/>
  <c r="Q882" i="1"/>
  <c r="P882" i="1"/>
  <c r="R882" i="1"/>
  <c r="H881" i="1"/>
  <c r="I881" i="1" s="1"/>
  <c r="J881" i="1" s="1"/>
  <c r="M881" i="1"/>
  <c r="N881" i="1" s="1"/>
  <c r="O881" i="1"/>
  <c r="R881" i="1"/>
  <c r="P881" i="1"/>
  <c r="Q881" i="1"/>
  <c r="S881" i="1"/>
  <c r="E880" i="1"/>
  <c r="F880" i="1"/>
  <c r="G880" i="1"/>
  <c r="O880" i="1"/>
  <c r="M880" i="1"/>
  <c r="N880" i="1" s="1"/>
  <c r="H880" i="1"/>
  <c r="I880" i="1" s="1"/>
  <c r="J880" i="1" s="1"/>
  <c r="P880" i="1"/>
  <c r="Q880" i="1"/>
  <c r="R880" i="1"/>
  <c r="S880" i="1"/>
  <c r="G879" i="1"/>
  <c r="F879" i="1"/>
  <c r="E879" i="1"/>
  <c r="O879" i="1"/>
  <c r="M879" i="1"/>
  <c r="N879" i="1" s="1"/>
  <c r="H879" i="1"/>
  <c r="I879" i="1" s="1"/>
  <c r="J879" i="1" s="1"/>
  <c r="P879" i="1"/>
  <c r="S879" i="1"/>
  <c r="R879" i="1"/>
  <c r="Q879" i="1"/>
  <c r="G878" i="1"/>
  <c r="F878" i="1"/>
  <c r="E878" i="1"/>
  <c r="O878" i="1"/>
  <c r="M878" i="1"/>
  <c r="N878" i="1" s="1"/>
  <c r="H878" i="1"/>
  <c r="I878" i="1" s="1"/>
  <c r="J878" i="1" s="1"/>
  <c r="R878" i="1"/>
  <c r="Q878" i="1"/>
  <c r="P878" i="1"/>
  <c r="S878" i="1"/>
  <c r="G877" i="1"/>
  <c r="F877" i="1"/>
  <c r="E877" i="1"/>
  <c r="O877" i="1"/>
  <c r="M877" i="1"/>
  <c r="N877" i="1" s="1"/>
  <c r="H877" i="1"/>
  <c r="I877" i="1" s="1"/>
  <c r="J877" i="1" s="1"/>
  <c r="P877" i="1"/>
  <c r="F876" i="1"/>
  <c r="S877" i="1"/>
  <c r="R877" i="1"/>
  <c r="Q877" i="1"/>
  <c r="G876" i="1"/>
  <c r="E876" i="1"/>
  <c r="O876" i="1"/>
  <c r="M876" i="1"/>
  <c r="N876" i="1" s="1"/>
  <c r="H876" i="1"/>
  <c r="I876" i="1" s="1"/>
  <c r="J876" i="1" s="1"/>
  <c r="S876" i="1"/>
  <c r="R876" i="1"/>
  <c r="E875" i="1"/>
  <c r="F875" i="1"/>
  <c r="G875" i="1"/>
  <c r="Q876" i="1"/>
  <c r="P876" i="1"/>
  <c r="H875" i="1"/>
  <c r="I875" i="1" s="1"/>
  <c r="J875" i="1" s="1"/>
  <c r="O875" i="1"/>
  <c r="M875" i="1"/>
  <c r="N875" i="1" s="1"/>
  <c r="P875" i="1"/>
  <c r="E874" i="1"/>
  <c r="F874" i="1"/>
  <c r="G874" i="1"/>
  <c r="Q875" i="1"/>
  <c r="S875" i="1"/>
  <c r="R875" i="1"/>
  <c r="H874" i="1"/>
  <c r="I874" i="1" s="1"/>
  <c r="J874" i="1" s="1"/>
  <c r="M874" i="1"/>
  <c r="N874" i="1" s="1"/>
  <c r="O874" i="1"/>
  <c r="Q874" i="1"/>
  <c r="P874" i="1"/>
  <c r="R874" i="1"/>
  <c r="S874" i="1"/>
  <c r="E873" i="1"/>
  <c r="G873" i="1"/>
  <c r="F873" i="1"/>
  <c r="O873" i="1"/>
  <c r="M873" i="1"/>
  <c r="N873" i="1" s="1"/>
  <c r="H873" i="1"/>
  <c r="I873" i="1" s="1"/>
  <c r="J873" i="1" s="1"/>
  <c r="Q873" i="1"/>
  <c r="S873" i="1"/>
  <c r="E872" i="1"/>
  <c r="F872" i="1"/>
  <c r="G872" i="1"/>
  <c r="R873" i="1"/>
  <c r="P873" i="1"/>
  <c r="H872" i="1"/>
  <c r="I872" i="1" s="1"/>
  <c r="J872" i="1" s="1"/>
  <c r="O872" i="1"/>
  <c r="M872" i="1"/>
  <c r="N872" i="1" s="1"/>
  <c r="P872" i="1"/>
  <c r="Q872" i="1"/>
  <c r="R872" i="1"/>
  <c r="S872" i="1"/>
  <c r="F871" i="1"/>
  <c r="G871" i="1"/>
  <c r="E871" i="1"/>
  <c r="O871" i="1"/>
  <c r="M871" i="1"/>
  <c r="N871" i="1" s="1"/>
  <c r="H871" i="1"/>
  <c r="I871" i="1" s="1"/>
  <c r="J871" i="1" s="1"/>
  <c r="P871" i="1"/>
  <c r="R871" i="1"/>
  <c r="S871" i="1"/>
  <c r="Q871" i="1"/>
  <c r="E870" i="1"/>
  <c r="F870" i="1"/>
  <c r="G870" i="1"/>
  <c r="O870" i="1"/>
  <c r="H870" i="1"/>
  <c r="I870" i="1" s="1"/>
  <c r="J870" i="1" s="1"/>
  <c r="M870" i="1"/>
  <c r="N870" i="1" s="1"/>
  <c r="R870" i="1"/>
  <c r="Q870" i="1"/>
  <c r="E869" i="1"/>
  <c r="F869" i="1"/>
  <c r="G869" i="1"/>
  <c r="P870" i="1"/>
  <c r="S870" i="1"/>
  <c r="H869" i="1"/>
  <c r="I869" i="1" s="1"/>
  <c r="J869" i="1" s="1"/>
  <c r="M869" i="1"/>
  <c r="N869" i="1" s="1"/>
  <c r="O869" i="1"/>
  <c r="E868" i="1"/>
  <c r="Q869" i="1"/>
  <c r="P869" i="1"/>
  <c r="S869" i="1"/>
  <c r="R869" i="1"/>
  <c r="F868" i="1"/>
  <c r="G868" i="1"/>
  <c r="O868" i="1"/>
  <c r="H868" i="1"/>
  <c r="I868" i="1" s="1"/>
  <c r="J868" i="1" s="1"/>
  <c r="M868" i="1"/>
  <c r="N868" i="1" s="1"/>
  <c r="Q868" i="1"/>
  <c r="R868" i="1"/>
  <c r="S868" i="1"/>
  <c r="P868" i="1"/>
  <c r="G867" i="1"/>
  <c r="E867" i="1"/>
  <c r="F867" i="1"/>
  <c r="M867" i="1"/>
  <c r="N867" i="1" s="1"/>
  <c r="O867" i="1"/>
  <c r="H867" i="1"/>
  <c r="I867" i="1" s="1"/>
  <c r="J867" i="1" s="1"/>
  <c r="S867" i="1"/>
  <c r="E866" i="1"/>
  <c r="G866" i="1"/>
  <c r="R867" i="1"/>
  <c r="Q867" i="1"/>
  <c r="P867" i="1"/>
  <c r="F866" i="1"/>
  <c r="O866" i="1"/>
  <c r="M866" i="1"/>
  <c r="N866" i="1" s="1"/>
  <c r="H866" i="1"/>
  <c r="I866" i="1" s="1"/>
  <c r="J866" i="1" s="1"/>
  <c r="F865" i="1"/>
  <c r="S866" i="1"/>
  <c r="E865" i="1"/>
  <c r="G865" i="1"/>
  <c r="P866" i="1"/>
  <c r="Q866" i="1"/>
  <c r="R866" i="1"/>
  <c r="M865" i="1"/>
  <c r="N865" i="1" s="1"/>
  <c r="O865" i="1"/>
  <c r="H865" i="1"/>
  <c r="I865" i="1" s="1"/>
  <c r="J865" i="1" s="1"/>
  <c r="F864" i="1"/>
  <c r="G864" i="1"/>
  <c r="P865" i="1"/>
  <c r="E864" i="1"/>
  <c r="S865" i="1"/>
  <c r="Q865" i="1"/>
  <c r="R865" i="1"/>
  <c r="H864" i="1"/>
  <c r="I864" i="1" s="1"/>
  <c r="J864" i="1" s="1"/>
  <c r="M864" i="1"/>
  <c r="N864" i="1" s="1"/>
  <c r="O864" i="1"/>
  <c r="E863" i="1"/>
  <c r="Q864" i="1"/>
  <c r="G863" i="1"/>
  <c r="F863" i="1"/>
  <c r="R864" i="1"/>
  <c r="S864" i="1"/>
  <c r="P864" i="1"/>
  <c r="H863" i="1"/>
  <c r="I863" i="1" s="1"/>
  <c r="J863" i="1" s="1"/>
  <c r="M863" i="1"/>
  <c r="N863" i="1" s="1"/>
  <c r="O863" i="1"/>
  <c r="S863" i="1"/>
  <c r="Q863" i="1"/>
  <c r="P863" i="1"/>
  <c r="R863" i="1"/>
  <c r="E862" i="1"/>
  <c r="G862" i="1"/>
  <c r="F862" i="1"/>
  <c r="H862" i="1"/>
  <c r="I862" i="1" s="1"/>
  <c r="J862" i="1" s="1"/>
  <c r="M862" i="1"/>
  <c r="N862" i="1" s="1"/>
  <c r="O862" i="1"/>
  <c r="Q862" i="1"/>
  <c r="R862" i="1"/>
  <c r="S862" i="1"/>
  <c r="F861" i="1"/>
  <c r="E861" i="1"/>
  <c r="G861" i="1"/>
  <c r="P862" i="1"/>
  <c r="O861" i="1"/>
  <c r="H861" i="1"/>
  <c r="I861" i="1" s="1"/>
  <c r="J861" i="1" s="1"/>
  <c r="M861" i="1"/>
  <c r="N861" i="1" s="1"/>
  <c r="S860" i="1"/>
  <c r="Q860" i="1"/>
  <c r="E860" i="1"/>
  <c r="Q861" i="1"/>
  <c r="R860" i="1"/>
  <c r="G860" i="1"/>
  <c r="F860" i="1"/>
  <c r="P860" i="1"/>
  <c r="P861" i="1"/>
  <c r="R861" i="1"/>
  <c r="S861" i="1"/>
  <c r="O860" i="1"/>
  <c r="H860" i="1"/>
  <c r="I860" i="1" s="1"/>
  <c r="J860" i="1" s="1"/>
  <c r="M860" i="1"/>
  <c r="N860" i="1" s="1"/>
  <c r="G859" i="1"/>
  <c r="F859" i="1"/>
  <c r="M859" i="1"/>
  <c r="N859" i="1" s="1"/>
  <c r="H859" i="1"/>
  <c r="I859" i="1" s="1"/>
  <c r="J859" i="1" s="1"/>
  <c r="G858" i="1"/>
  <c r="F858" i="1"/>
  <c r="M858" i="1"/>
  <c r="N858" i="1" s="1"/>
  <c r="O858" i="1"/>
  <c r="H858" i="1"/>
  <c r="I858" i="1" s="1"/>
  <c r="J858" i="1" s="1"/>
  <c r="F857" i="1"/>
  <c r="G857" i="1"/>
  <c r="Q858" i="1"/>
  <c r="S858" i="1"/>
  <c r="R858" i="1"/>
  <c r="P858" i="1"/>
  <c r="O857" i="1"/>
  <c r="H857" i="1"/>
  <c r="I857" i="1" s="1"/>
  <c r="J857" i="1" s="1"/>
  <c r="M857" i="1"/>
  <c r="N857" i="1" s="1"/>
  <c r="G856" i="1"/>
  <c r="F856" i="1"/>
  <c r="P857" i="1"/>
  <c r="S857" i="1"/>
  <c r="Q857" i="1"/>
  <c r="R857" i="1"/>
  <c r="O856" i="1"/>
  <c r="H856" i="1"/>
  <c r="I856" i="1" s="1"/>
  <c r="J856" i="1" s="1"/>
  <c r="M856" i="1"/>
  <c r="N856" i="1" s="1"/>
  <c r="F855" i="1"/>
  <c r="R856" i="1"/>
  <c r="Q856" i="1"/>
  <c r="P856" i="1"/>
  <c r="G855" i="1"/>
  <c r="S856" i="1"/>
  <c r="H855" i="1"/>
  <c r="I855" i="1" s="1"/>
  <c r="J855" i="1" s="1"/>
  <c r="O855" i="1"/>
  <c r="M855" i="1"/>
  <c r="N855" i="1" s="1"/>
  <c r="F854" i="1"/>
  <c r="G854" i="1"/>
  <c r="R855" i="1"/>
  <c r="Q855" i="1"/>
  <c r="P855" i="1"/>
  <c r="S855" i="1"/>
  <c r="H854" i="1"/>
  <c r="I854" i="1" s="1"/>
  <c r="J854" i="1" s="1"/>
  <c r="M854" i="1"/>
  <c r="N854" i="1" s="1"/>
  <c r="O854" i="1"/>
  <c r="G853" i="1"/>
  <c r="F853" i="1"/>
  <c r="P854" i="1"/>
  <c r="Q854" i="1"/>
  <c r="R854" i="1"/>
  <c r="S854" i="1"/>
  <c r="H853" i="1"/>
  <c r="I853" i="1" s="1"/>
  <c r="J853" i="1" s="1"/>
  <c r="O853" i="1"/>
  <c r="M853" i="1"/>
  <c r="N853" i="1" s="1"/>
  <c r="P853" i="1"/>
  <c r="F852" i="1"/>
  <c r="S853" i="1"/>
  <c r="R853" i="1"/>
  <c r="Q853" i="1"/>
  <c r="G852" i="1"/>
  <c r="M852" i="1"/>
  <c r="N852" i="1" s="1"/>
  <c r="O852" i="1"/>
  <c r="H852" i="1"/>
  <c r="I852" i="1" s="1"/>
  <c r="J852" i="1" s="1"/>
  <c r="F851" i="1"/>
  <c r="G851" i="1"/>
  <c r="S852" i="1"/>
  <c r="Q852" i="1"/>
  <c r="P852" i="1"/>
  <c r="R852" i="1"/>
  <c r="O851" i="1"/>
  <c r="H851" i="1"/>
  <c r="I851" i="1" s="1"/>
  <c r="J851" i="1" s="1"/>
  <c r="M851" i="1"/>
  <c r="N851" i="1" s="1"/>
  <c r="P851" i="1"/>
  <c r="Q851" i="1"/>
  <c r="R851" i="1"/>
  <c r="S851" i="1"/>
  <c r="F850" i="1"/>
  <c r="G850" i="1"/>
  <c r="O850" i="1"/>
  <c r="M850" i="1"/>
  <c r="N850" i="1" s="1"/>
  <c r="H850" i="1"/>
  <c r="I850" i="1" s="1"/>
  <c r="J850" i="1" s="1"/>
  <c r="Q850" i="1"/>
  <c r="R850" i="1"/>
  <c r="S850" i="1"/>
  <c r="P850" i="1"/>
  <c r="F849" i="1"/>
  <c r="G849" i="1"/>
  <c r="O849" i="1"/>
  <c r="M849" i="1"/>
  <c r="N849" i="1" s="1"/>
  <c r="H849" i="1"/>
  <c r="I849" i="1" s="1"/>
  <c r="J849" i="1" s="1"/>
  <c r="G848" i="1"/>
  <c r="F848" i="1"/>
  <c r="P849" i="1"/>
  <c r="Q849" i="1"/>
  <c r="R849" i="1"/>
  <c r="S849" i="1"/>
  <c r="M848" i="1"/>
  <c r="N848" i="1" s="1"/>
  <c r="O848" i="1"/>
  <c r="H848" i="1"/>
  <c r="I848" i="1" s="1"/>
  <c r="J848" i="1" s="1"/>
  <c r="R848" i="1"/>
  <c r="S848" i="1"/>
  <c r="F847" i="1"/>
  <c r="G847" i="1"/>
  <c r="P848" i="1"/>
  <c r="Q848" i="1"/>
  <c r="H847" i="1"/>
  <c r="I847" i="1" s="1"/>
  <c r="J847" i="1" s="1"/>
  <c r="M847" i="1"/>
  <c r="N847" i="1" s="1"/>
  <c r="O847" i="1"/>
  <c r="Q847" i="1"/>
  <c r="S847" i="1"/>
  <c r="P847" i="1"/>
  <c r="G846" i="1"/>
  <c r="F846" i="1"/>
  <c r="R847" i="1"/>
  <c r="O846" i="1"/>
  <c r="M846" i="1"/>
  <c r="N846" i="1" s="1"/>
  <c r="H846" i="1"/>
  <c r="I846" i="1" s="1"/>
  <c r="J846" i="1" s="1"/>
  <c r="G845" i="1"/>
  <c r="F845" i="1"/>
  <c r="S846" i="1"/>
  <c r="R846" i="1"/>
  <c r="Q846" i="1"/>
  <c r="P846" i="1"/>
  <c r="M845" i="1"/>
  <c r="N845" i="1" s="1"/>
  <c r="H845" i="1"/>
  <c r="I845" i="1" s="1"/>
  <c r="J845" i="1" s="1"/>
  <c r="O845" i="1"/>
  <c r="R845" i="1"/>
  <c r="G844" i="1"/>
  <c r="Q845" i="1"/>
  <c r="F844" i="1"/>
  <c r="P845" i="1"/>
  <c r="S845" i="1"/>
  <c r="H844" i="1"/>
  <c r="I844" i="1" s="1"/>
  <c r="J844" i="1" s="1"/>
  <c r="M844" i="1"/>
  <c r="N844" i="1" s="1"/>
  <c r="O844" i="1"/>
  <c r="G843" i="1"/>
  <c r="R844" i="1"/>
  <c r="S844" i="1"/>
  <c r="P844" i="1"/>
  <c r="Q844" i="1"/>
  <c r="F843" i="1"/>
  <c r="O843" i="1"/>
  <c r="M843" i="1"/>
  <c r="N843" i="1" s="1"/>
  <c r="H843" i="1"/>
  <c r="I843" i="1" s="1"/>
  <c r="J843" i="1" s="1"/>
  <c r="S843" i="1"/>
  <c r="F842" i="1"/>
  <c r="Q843" i="1"/>
  <c r="G842" i="1"/>
  <c r="R843" i="1"/>
  <c r="P843" i="1"/>
  <c r="O842" i="1"/>
  <c r="H842" i="1"/>
  <c r="I842" i="1" s="1"/>
  <c r="J842" i="1" s="1"/>
  <c r="M842" i="1"/>
  <c r="N842" i="1" s="1"/>
  <c r="Q842" i="1"/>
  <c r="R842" i="1"/>
  <c r="S842" i="1"/>
  <c r="P842" i="1"/>
  <c r="F841" i="1"/>
  <c r="G841" i="1"/>
  <c r="M841" i="1"/>
  <c r="N841" i="1" s="1"/>
  <c r="H841" i="1"/>
  <c r="I841" i="1" s="1"/>
  <c r="J841" i="1" s="1"/>
  <c r="O841" i="1"/>
  <c r="P841" i="1"/>
  <c r="Q841" i="1"/>
  <c r="R841" i="1"/>
  <c r="S841" i="1"/>
  <c r="G840" i="1"/>
  <c r="F840" i="1"/>
  <c r="O840" i="1"/>
  <c r="M840" i="1"/>
  <c r="N840" i="1" s="1"/>
  <c r="H840" i="1"/>
  <c r="I840" i="1" s="1"/>
  <c r="J840" i="1" s="1"/>
  <c r="S840" i="1"/>
  <c r="P840" i="1"/>
  <c r="F839" i="1"/>
  <c r="G839" i="1"/>
  <c r="Q840" i="1"/>
  <c r="R840" i="1"/>
  <c r="O839" i="1"/>
  <c r="M839" i="1"/>
  <c r="N839" i="1" s="1"/>
  <c r="H839" i="1"/>
  <c r="I839" i="1" s="1"/>
  <c r="J839" i="1" s="1"/>
  <c r="G838" i="1"/>
  <c r="Q839" i="1"/>
  <c r="P839" i="1"/>
  <c r="F838" i="1"/>
  <c r="R839" i="1"/>
  <c r="S839" i="1"/>
  <c r="M838" i="1"/>
  <c r="N838" i="1" s="1"/>
  <c r="O838" i="1"/>
  <c r="H838" i="1"/>
  <c r="I838" i="1" s="1"/>
  <c r="J838" i="1" s="1"/>
  <c r="F837" i="1"/>
  <c r="P838" i="1"/>
  <c r="Q838" i="1"/>
  <c r="R838" i="1"/>
  <c r="G837" i="1"/>
  <c r="S838" i="1"/>
  <c r="M837" i="1"/>
  <c r="N837" i="1" s="1"/>
  <c r="H837" i="1"/>
  <c r="I837" i="1" s="1"/>
  <c r="J837" i="1" s="1"/>
  <c r="O837" i="1"/>
  <c r="G836" i="1"/>
  <c r="S837" i="1"/>
  <c r="R837" i="1"/>
  <c r="Q837" i="1"/>
  <c r="P837" i="1"/>
  <c r="F836" i="1"/>
  <c r="H836" i="1"/>
  <c r="I836" i="1" s="1"/>
  <c r="J836" i="1" s="1"/>
  <c r="O836" i="1"/>
  <c r="M836" i="1"/>
  <c r="N836" i="1" s="1"/>
  <c r="G835" i="1"/>
  <c r="F835" i="1"/>
  <c r="P836" i="1"/>
  <c r="Q836" i="1"/>
  <c r="R836" i="1"/>
  <c r="S836" i="1"/>
  <c r="M835" i="1"/>
  <c r="N835" i="1" s="1"/>
  <c r="H835" i="1"/>
  <c r="I835" i="1" s="1"/>
  <c r="J835" i="1" s="1"/>
  <c r="O835" i="1"/>
  <c r="S835" i="1"/>
  <c r="R835" i="1"/>
  <c r="P835" i="1"/>
  <c r="Q835" i="1"/>
  <c r="F834" i="1"/>
  <c r="G834" i="1"/>
  <c r="M834" i="1"/>
  <c r="N834" i="1" s="1"/>
  <c r="O834" i="1"/>
  <c r="H834" i="1"/>
  <c r="I834" i="1" s="1"/>
  <c r="J834" i="1" s="1"/>
  <c r="P834" i="1"/>
  <c r="Q834" i="1"/>
  <c r="R834" i="1"/>
  <c r="F833" i="1"/>
  <c r="G833" i="1"/>
  <c r="S834" i="1"/>
  <c r="H833" i="1"/>
  <c r="I833" i="1" s="1"/>
  <c r="J833" i="1" s="1"/>
  <c r="M833" i="1"/>
  <c r="N833" i="1" s="1"/>
  <c r="O833" i="1"/>
  <c r="E912" i="1"/>
  <c r="E922" i="1"/>
  <c r="E913" i="1"/>
  <c r="E914" i="1"/>
  <c r="E915" i="1"/>
  <c r="E851" i="1"/>
  <c r="E916" i="1"/>
  <c r="E917" i="1"/>
  <c r="E918" i="1"/>
  <c r="E919" i="1"/>
  <c r="E920" i="1"/>
  <c r="E921" i="1"/>
  <c r="E997" i="1"/>
  <c r="E832" i="1"/>
  <c r="F832" i="1"/>
  <c r="E833" i="1"/>
  <c r="P833" i="1"/>
  <c r="Q833" i="1"/>
  <c r="R833" i="1"/>
  <c r="S833" i="1"/>
  <c r="E834" i="1"/>
  <c r="E835" i="1"/>
  <c r="E836" i="1"/>
  <c r="E837" i="1"/>
  <c r="E856" i="1"/>
  <c r="E843" i="1"/>
  <c r="E1019" i="1"/>
  <c r="E1018" i="1"/>
  <c r="E1017" i="1"/>
  <c r="E1016" i="1"/>
  <c r="E1015" i="1"/>
  <c r="E1014" i="1"/>
  <c r="E838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839" i="1"/>
  <c r="E1001" i="1"/>
  <c r="E1000" i="1"/>
  <c r="E999" i="1"/>
  <c r="E998" i="1"/>
  <c r="E996" i="1"/>
  <c r="E995" i="1"/>
  <c r="E994" i="1"/>
  <c r="E993" i="1"/>
  <c r="E992" i="1"/>
  <c r="E991" i="1"/>
  <c r="E855" i="1"/>
  <c r="E840" i="1"/>
  <c r="E844" i="1"/>
  <c r="E854" i="1"/>
  <c r="E859" i="1"/>
  <c r="E845" i="1"/>
  <c r="E846" i="1"/>
  <c r="E847" i="1"/>
  <c r="E853" i="1"/>
  <c r="E848" i="1"/>
  <c r="E937" i="1"/>
  <c r="E938" i="1"/>
  <c r="E939" i="1"/>
  <c r="E849" i="1"/>
  <c r="E936" i="1"/>
  <c r="E935" i="1"/>
  <c r="E841" i="1"/>
  <c r="E858" i="1"/>
  <c r="E934" i="1"/>
  <c r="E933" i="1"/>
  <c r="E932" i="1"/>
  <c r="E931" i="1"/>
  <c r="E930" i="1"/>
  <c r="E852" i="1"/>
  <c r="E929" i="1"/>
  <c r="E928" i="1"/>
  <c r="E850" i="1"/>
  <c r="E927" i="1"/>
  <c r="E926" i="1"/>
  <c r="E925" i="1"/>
  <c r="E857" i="1"/>
  <c r="E842" i="1"/>
  <c r="E924" i="1"/>
  <c r="E923" i="1"/>
  <c r="M832" i="1"/>
  <c r="N832" i="1" s="1"/>
  <c r="H832" i="1"/>
  <c r="I832" i="1" s="1"/>
  <c r="J832" i="1" s="1"/>
  <c r="F831" i="1"/>
  <c r="G831" i="1"/>
  <c r="M831" i="1"/>
  <c r="N831" i="1" s="1"/>
  <c r="O831" i="1"/>
  <c r="H831" i="1"/>
  <c r="I831" i="1" s="1"/>
  <c r="J831" i="1" s="1"/>
  <c r="G830" i="1"/>
  <c r="P831" i="1"/>
  <c r="Q831" i="1"/>
  <c r="R831" i="1"/>
  <c r="S831" i="1"/>
  <c r="F830" i="1"/>
  <c r="O830" i="1"/>
  <c r="M830" i="1"/>
  <c r="N830" i="1" s="1"/>
  <c r="H830" i="1"/>
  <c r="I830" i="1" s="1"/>
  <c r="J830" i="1" s="1"/>
  <c r="F829" i="1"/>
  <c r="R830" i="1"/>
  <c r="G829" i="1"/>
  <c r="S830" i="1"/>
  <c r="P830" i="1"/>
  <c r="Q830" i="1"/>
  <c r="H829" i="1"/>
  <c r="I829" i="1" s="1"/>
  <c r="J829" i="1" s="1"/>
  <c r="M829" i="1"/>
  <c r="N829" i="1" s="1"/>
  <c r="O829" i="1"/>
  <c r="Q829" i="1"/>
  <c r="R829" i="1"/>
  <c r="S829" i="1"/>
  <c r="P829" i="1"/>
  <c r="G828" i="1"/>
  <c r="F828" i="1"/>
  <c r="M828" i="1"/>
  <c r="N828" i="1" s="1"/>
  <c r="O828" i="1"/>
  <c r="H828" i="1"/>
  <c r="I828" i="1" s="1"/>
  <c r="J828" i="1" s="1"/>
  <c r="R828" i="1"/>
  <c r="Q828" i="1"/>
  <c r="P828" i="1"/>
  <c r="F827" i="1"/>
  <c r="S828" i="1"/>
  <c r="G827" i="1"/>
  <c r="O827" i="1"/>
  <c r="M827" i="1"/>
  <c r="N827" i="1" s="1"/>
  <c r="H827" i="1"/>
  <c r="I827" i="1" s="1"/>
  <c r="J827" i="1" s="1"/>
  <c r="F826" i="1"/>
  <c r="G826" i="1"/>
  <c r="S827" i="1"/>
  <c r="R827" i="1"/>
  <c r="Q827" i="1"/>
  <c r="P827" i="1"/>
  <c r="O826" i="1"/>
  <c r="M826" i="1"/>
  <c r="N826" i="1" s="1"/>
  <c r="H826" i="1"/>
  <c r="I826" i="1" s="1"/>
  <c r="J826" i="1" s="1"/>
  <c r="G825" i="1"/>
  <c r="P826" i="1"/>
  <c r="R826" i="1"/>
  <c r="F825" i="1"/>
  <c r="Q826" i="1"/>
  <c r="S826" i="1"/>
  <c r="O825" i="1"/>
  <c r="H825" i="1"/>
  <c r="I825" i="1" s="1"/>
  <c r="J825" i="1" s="1"/>
  <c r="M825" i="1"/>
  <c r="N825" i="1" s="1"/>
  <c r="P825" i="1"/>
  <c r="G824" i="1"/>
  <c r="R825" i="1"/>
  <c r="Q825" i="1"/>
  <c r="F824" i="1"/>
  <c r="S825" i="1"/>
  <c r="O824" i="1"/>
  <c r="H824" i="1"/>
  <c r="I824" i="1" s="1"/>
  <c r="J824" i="1" s="1"/>
  <c r="M824" i="1"/>
  <c r="N824" i="1" s="1"/>
  <c r="P824" i="1"/>
  <c r="Q824" i="1"/>
  <c r="F823" i="1"/>
  <c r="R824" i="1"/>
  <c r="G823" i="1"/>
  <c r="S824" i="1"/>
  <c r="H823" i="1"/>
  <c r="I823" i="1" s="1"/>
  <c r="J823" i="1" s="1"/>
  <c r="M823" i="1"/>
  <c r="N823" i="1" s="1"/>
  <c r="O823" i="1"/>
  <c r="G822" i="1"/>
  <c r="P823" i="1"/>
  <c r="F822" i="1"/>
  <c r="R823" i="1"/>
  <c r="S823" i="1"/>
  <c r="Q823" i="1"/>
  <c r="O822" i="1"/>
  <c r="H822" i="1"/>
  <c r="I822" i="1" s="1"/>
  <c r="J822" i="1" s="1"/>
  <c r="M822" i="1"/>
  <c r="N822" i="1" s="1"/>
  <c r="P822" i="1"/>
  <c r="E821" i="1"/>
  <c r="Q822" i="1"/>
  <c r="F821" i="1"/>
  <c r="R822" i="1"/>
  <c r="S822" i="1"/>
  <c r="G821" i="1"/>
  <c r="O821" i="1"/>
  <c r="H821" i="1"/>
  <c r="I821" i="1" s="1"/>
  <c r="J821" i="1" s="1"/>
  <c r="M821" i="1"/>
  <c r="N821" i="1" s="1"/>
  <c r="P821" i="1"/>
  <c r="F820" i="1"/>
  <c r="Q821" i="1"/>
  <c r="R821" i="1"/>
  <c r="S821" i="1"/>
  <c r="E820" i="1"/>
  <c r="G820" i="1"/>
  <c r="H820" i="1"/>
  <c r="I820" i="1" s="1"/>
  <c r="J820" i="1" s="1"/>
  <c r="O820" i="1"/>
  <c r="M820" i="1"/>
  <c r="N820" i="1" s="1"/>
  <c r="G819" i="1"/>
  <c r="F819" i="1"/>
  <c r="P820" i="1"/>
  <c r="Q820" i="1"/>
  <c r="R820" i="1"/>
  <c r="E819" i="1"/>
  <c r="S820" i="1"/>
  <c r="O819" i="1"/>
  <c r="M819" i="1"/>
  <c r="N819" i="1" s="1"/>
  <c r="H819" i="1"/>
  <c r="I819" i="1" s="1"/>
  <c r="J819" i="1" s="1"/>
  <c r="P819" i="1"/>
  <c r="R819" i="1"/>
  <c r="Q819" i="1"/>
  <c r="F818" i="1"/>
  <c r="E818" i="1"/>
  <c r="S819" i="1"/>
  <c r="G818" i="1"/>
  <c r="H818" i="1"/>
  <c r="I818" i="1" s="1"/>
  <c r="J818" i="1" s="1"/>
  <c r="O818" i="1"/>
  <c r="M818" i="1"/>
  <c r="N818" i="1" s="1"/>
  <c r="R818" i="1"/>
  <c r="Q818" i="1"/>
  <c r="P818" i="1"/>
  <c r="G817" i="1"/>
  <c r="S818" i="1"/>
  <c r="F817" i="1"/>
  <c r="E817" i="1"/>
  <c r="M817" i="1"/>
  <c r="N817" i="1" s="1"/>
  <c r="H817" i="1"/>
  <c r="I817" i="1" s="1"/>
  <c r="J817" i="1" s="1"/>
  <c r="O817" i="1"/>
  <c r="G816" i="1"/>
  <c r="R817" i="1"/>
  <c r="S817" i="1"/>
  <c r="Q817" i="1"/>
  <c r="F816" i="1"/>
  <c r="P817" i="1"/>
  <c r="E816" i="1"/>
  <c r="O816" i="1"/>
  <c r="M816" i="1"/>
  <c r="N816" i="1" s="1"/>
  <c r="H816" i="1"/>
  <c r="I816" i="1" s="1"/>
  <c r="J816" i="1" s="1"/>
  <c r="G815" i="1"/>
  <c r="R816" i="1"/>
  <c r="Q816" i="1"/>
  <c r="P816" i="1"/>
  <c r="S816" i="1"/>
  <c r="F815" i="1"/>
  <c r="E815" i="1"/>
  <c r="H815" i="1"/>
  <c r="I815" i="1" s="1"/>
  <c r="J815" i="1" s="1"/>
  <c r="M815" i="1"/>
  <c r="N815" i="1" s="1"/>
  <c r="O815" i="1"/>
  <c r="E814" i="1"/>
  <c r="F814" i="1"/>
  <c r="G814" i="1"/>
  <c r="P815" i="1"/>
  <c r="Q815" i="1"/>
  <c r="R815" i="1"/>
  <c r="S815" i="1"/>
  <c r="H814" i="1"/>
  <c r="I814" i="1" s="1"/>
  <c r="J814" i="1" s="1"/>
  <c r="M814" i="1"/>
  <c r="N814" i="1" s="1"/>
  <c r="O814" i="1"/>
  <c r="E813" i="1"/>
  <c r="P814" i="1"/>
  <c r="Q814" i="1"/>
  <c r="R814" i="1"/>
  <c r="S814" i="1"/>
  <c r="F813" i="1"/>
  <c r="G813" i="1"/>
  <c r="O813" i="1"/>
  <c r="H813" i="1"/>
  <c r="I813" i="1" s="1"/>
  <c r="J813" i="1" s="1"/>
  <c r="M813" i="1"/>
  <c r="N813" i="1" s="1"/>
  <c r="R813" i="1"/>
  <c r="Q813" i="1"/>
  <c r="P813" i="1"/>
  <c r="G812" i="1"/>
  <c r="F812" i="1"/>
  <c r="E812" i="1"/>
  <c r="S813" i="1"/>
  <c r="O812" i="1"/>
  <c r="H812" i="1"/>
  <c r="I812" i="1" s="1"/>
  <c r="J812" i="1" s="1"/>
  <c r="M812" i="1"/>
  <c r="N812" i="1" s="1"/>
  <c r="G811" i="1"/>
  <c r="F811" i="1"/>
  <c r="E811" i="1"/>
  <c r="P812" i="1"/>
  <c r="Q812" i="1"/>
  <c r="R812" i="1"/>
  <c r="S812" i="1"/>
  <c r="M811" i="1"/>
  <c r="N811" i="1" s="1"/>
  <c r="H811" i="1"/>
  <c r="I811" i="1" s="1"/>
  <c r="J811" i="1" s="1"/>
  <c r="O811" i="1"/>
  <c r="P811" i="1"/>
  <c r="S811" i="1"/>
  <c r="Q811" i="1"/>
  <c r="R811" i="1"/>
  <c r="G810" i="1"/>
  <c r="F810" i="1"/>
  <c r="E810" i="1"/>
  <c r="O810" i="1"/>
  <c r="M810" i="1"/>
  <c r="N810" i="1" s="1"/>
  <c r="H810" i="1"/>
  <c r="I810" i="1" s="1"/>
  <c r="J810" i="1" s="1"/>
  <c r="R810" i="1"/>
  <c r="Q810" i="1"/>
  <c r="P810" i="1"/>
  <c r="E809" i="1"/>
  <c r="F809" i="1"/>
  <c r="G809" i="1"/>
  <c r="S810" i="1"/>
  <c r="H809" i="1"/>
  <c r="I809" i="1" s="1"/>
  <c r="J809" i="1" s="1"/>
  <c r="M809" i="1"/>
  <c r="N809" i="1" s="1"/>
  <c r="O809" i="1"/>
  <c r="G808" i="1"/>
  <c r="E808" i="1"/>
  <c r="F808" i="1"/>
  <c r="Q809" i="1"/>
  <c r="R809" i="1"/>
  <c r="S809" i="1"/>
  <c r="P809" i="1"/>
  <c r="H808" i="1"/>
  <c r="I808" i="1" s="1"/>
  <c r="J808" i="1" s="1"/>
  <c r="O808" i="1"/>
  <c r="M808" i="1"/>
  <c r="N808" i="1" s="1"/>
  <c r="P808" i="1"/>
  <c r="Q808" i="1"/>
  <c r="S808" i="1"/>
  <c r="G807" i="1"/>
  <c r="F807" i="1"/>
  <c r="E807" i="1"/>
  <c r="R808" i="1"/>
  <c r="M807" i="1"/>
  <c r="N807" i="1" s="1"/>
  <c r="H807" i="1"/>
  <c r="I807" i="1" s="1"/>
  <c r="J807" i="1" s="1"/>
  <c r="O807" i="1"/>
  <c r="R807" i="1"/>
  <c r="G806" i="1"/>
  <c r="P807" i="1"/>
  <c r="F806" i="1"/>
  <c r="E806" i="1"/>
  <c r="S807" i="1"/>
  <c r="Q807" i="1"/>
  <c r="H806" i="1"/>
  <c r="I806" i="1" s="1"/>
  <c r="J806" i="1" s="1"/>
  <c r="O806" i="1"/>
  <c r="M806" i="1"/>
  <c r="N806" i="1" s="1"/>
  <c r="S806" i="1"/>
  <c r="F805" i="1"/>
  <c r="E805" i="1"/>
  <c r="G805" i="1"/>
  <c r="R806" i="1"/>
  <c r="Q806" i="1"/>
  <c r="P806" i="1"/>
  <c r="H805" i="1"/>
  <c r="I805" i="1" s="1"/>
  <c r="J805" i="1" s="1"/>
  <c r="M805" i="1"/>
  <c r="N805" i="1" s="1"/>
  <c r="O805" i="1"/>
  <c r="P805" i="1"/>
  <c r="Q805" i="1"/>
  <c r="S805" i="1"/>
  <c r="G804" i="1"/>
  <c r="R805" i="1"/>
  <c r="F804" i="1"/>
  <c r="E804" i="1"/>
  <c r="H804" i="1"/>
  <c r="I804" i="1" s="1"/>
  <c r="J804" i="1" s="1"/>
  <c r="M804" i="1"/>
  <c r="N804" i="1" s="1"/>
  <c r="O804" i="1"/>
  <c r="E803" i="1"/>
  <c r="F803" i="1"/>
  <c r="G803" i="1"/>
  <c r="R804" i="1"/>
  <c r="Q804" i="1"/>
  <c r="P804" i="1"/>
  <c r="S804" i="1"/>
  <c r="H803" i="1"/>
  <c r="I803" i="1" s="1"/>
  <c r="J803" i="1" s="1"/>
  <c r="M803" i="1"/>
  <c r="N803" i="1" s="1"/>
  <c r="O803" i="1"/>
  <c r="F802" i="1"/>
  <c r="P803" i="1"/>
  <c r="S803" i="1"/>
  <c r="R803" i="1"/>
  <c r="Q803" i="1"/>
  <c r="G802" i="1"/>
  <c r="E802" i="1"/>
  <c r="H802" i="1"/>
  <c r="I802" i="1" s="1"/>
  <c r="J802" i="1" s="1"/>
  <c r="M802" i="1"/>
  <c r="N802" i="1" s="1"/>
  <c r="O802" i="1"/>
  <c r="Q802" i="1"/>
  <c r="P802" i="1"/>
  <c r="S802" i="1"/>
  <c r="R802" i="1"/>
  <c r="E801" i="1"/>
  <c r="G801" i="1"/>
  <c r="F801" i="1"/>
  <c r="M801" i="1"/>
  <c r="N801" i="1" s="1"/>
  <c r="O801" i="1"/>
  <c r="H801" i="1"/>
  <c r="I801" i="1" s="1"/>
  <c r="J801" i="1" s="1"/>
  <c r="G800" i="1"/>
  <c r="E800" i="1"/>
  <c r="F800" i="1"/>
  <c r="Q801" i="1"/>
  <c r="P801" i="1"/>
  <c r="S801" i="1"/>
  <c r="R801" i="1"/>
  <c r="H800" i="1"/>
  <c r="I800" i="1" s="1"/>
  <c r="J800" i="1" s="1"/>
  <c r="O800" i="1"/>
  <c r="M800" i="1"/>
  <c r="N800" i="1" s="1"/>
  <c r="F799" i="1"/>
  <c r="E799" i="1"/>
  <c r="G799" i="1"/>
  <c r="Q800" i="1"/>
  <c r="P800" i="1"/>
  <c r="S800" i="1"/>
  <c r="R800" i="1"/>
  <c r="H799" i="1"/>
  <c r="I799" i="1" s="1"/>
  <c r="J799" i="1" s="1"/>
  <c r="M799" i="1"/>
  <c r="N799" i="1" s="1"/>
  <c r="O799" i="1"/>
  <c r="P799" i="1"/>
  <c r="S799" i="1"/>
  <c r="G798" i="1"/>
  <c r="F798" i="1"/>
  <c r="E798" i="1"/>
  <c r="Q799" i="1"/>
  <c r="R799" i="1"/>
  <c r="O798" i="1"/>
  <c r="H798" i="1"/>
  <c r="I798" i="1" s="1"/>
  <c r="J798" i="1" s="1"/>
  <c r="M798" i="1"/>
  <c r="N798" i="1" s="1"/>
  <c r="P798" i="1"/>
  <c r="Q798" i="1"/>
  <c r="S798" i="1"/>
  <c r="R798" i="1"/>
  <c r="E797" i="1"/>
  <c r="F797" i="1"/>
  <c r="G797" i="1"/>
  <c r="M797" i="1"/>
  <c r="N797" i="1" s="1"/>
  <c r="H797" i="1"/>
  <c r="I797" i="1" s="1"/>
  <c r="J797" i="1" s="1"/>
  <c r="O797" i="1"/>
  <c r="P797" i="1"/>
  <c r="Q797" i="1"/>
  <c r="R797" i="1"/>
  <c r="S797" i="1"/>
  <c r="G796" i="1"/>
  <c r="E796" i="1"/>
  <c r="F796" i="1"/>
  <c r="H796" i="1"/>
  <c r="I796" i="1" s="1"/>
  <c r="J796" i="1" s="1"/>
  <c r="M796" i="1"/>
  <c r="N796" i="1" s="1"/>
  <c r="O796" i="1"/>
  <c r="F795" i="1"/>
  <c r="G795" i="1"/>
  <c r="S796" i="1"/>
  <c r="R796" i="1"/>
  <c r="P796" i="1"/>
  <c r="Q796" i="1"/>
  <c r="E795" i="1"/>
  <c r="H795" i="1"/>
  <c r="I795" i="1" s="1"/>
  <c r="J795" i="1" s="1"/>
  <c r="O795" i="1"/>
  <c r="M795" i="1"/>
  <c r="N795" i="1" s="1"/>
  <c r="P795" i="1"/>
  <c r="R795" i="1"/>
  <c r="S795" i="1"/>
  <c r="Q795" i="1"/>
  <c r="G794" i="1"/>
  <c r="F794" i="1"/>
  <c r="E794" i="1"/>
  <c r="O794" i="1"/>
  <c r="M794" i="1"/>
  <c r="N794" i="1" s="1"/>
  <c r="H794" i="1"/>
  <c r="I794" i="1" s="1"/>
  <c r="J794" i="1" s="1"/>
  <c r="R794" i="1"/>
  <c r="Q794" i="1"/>
  <c r="P794" i="1"/>
  <c r="S794" i="1"/>
  <c r="G793" i="1"/>
  <c r="F793" i="1"/>
  <c r="E793" i="1"/>
  <c r="M793" i="1"/>
  <c r="N793" i="1" s="1"/>
  <c r="O793" i="1"/>
  <c r="H793" i="1"/>
  <c r="I793" i="1" s="1"/>
  <c r="J793" i="1" s="1"/>
  <c r="S793" i="1"/>
  <c r="R793" i="1"/>
  <c r="P793" i="1"/>
  <c r="Q793" i="1"/>
  <c r="G792" i="1"/>
  <c r="F792" i="1"/>
  <c r="E792" i="1"/>
  <c r="H792" i="1"/>
  <c r="I792" i="1" s="1"/>
  <c r="J792" i="1" s="1"/>
  <c r="O792" i="1"/>
  <c r="M792" i="1"/>
  <c r="N792" i="1" s="1"/>
  <c r="S792" i="1"/>
  <c r="R792" i="1"/>
  <c r="Q792" i="1"/>
  <c r="P792" i="1"/>
  <c r="F791" i="1"/>
  <c r="E791" i="1"/>
  <c r="G791" i="1"/>
  <c r="M791" i="1"/>
  <c r="N791" i="1" s="1"/>
  <c r="O791" i="1"/>
  <c r="H791" i="1"/>
  <c r="I791" i="1" s="1"/>
  <c r="J791" i="1" s="1"/>
  <c r="P791" i="1"/>
  <c r="Q791" i="1"/>
  <c r="S791" i="1"/>
  <c r="R791" i="1"/>
  <c r="G790" i="1"/>
  <c r="F790" i="1"/>
  <c r="E790" i="1"/>
  <c r="O790" i="1"/>
  <c r="M790" i="1"/>
  <c r="N790" i="1" s="1"/>
  <c r="H790" i="1"/>
  <c r="I790" i="1" s="1"/>
  <c r="J790" i="1" s="1"/>
  <c r="S790" i="1"/>
  <c r="R790" i="1"/>
  <c r="Q790" i="1"/>
  <c r="P790" i="1"/>
  <c r="G789" i="1"/>
  <c r="F789" i="1"/>
  <c r="E789" i="1"/>
  <c r="M789" i="1"/>
  <c r="N789" i="1" s="1"/>
  <c r="O789" i="1"/>
  <c r="H789" i="1"/>
  <c r="I789" i="1" s="1"/>
  <c r="J789" i="1" s="1"/>
  <c r="S789" i="1"/>
  <c r="R789" i="1"/>
  <c r="P789" i="1"/>
  <c r="Q789" i="1"/>
  <c r="G788" i="1"/>
  <c r="F788" i="1"/>
  <c r="E788" i="1"/>
  <c r="O788" i="1"/>
  <c r="M788" i="1"/>
  <c r="N788" i="1" s="1"/>
  <c r="H788" i="1"/>
  <c r="I788" i="1" s="1"/>
  <c r="J788" i="1" s="1"/>
  <c r="P788" i="1"/>
  <c r="S788" i="1"/>
  <c r="R788" i="1"/>
  <c r="Q788" i="1"/>
  <c r="G787" i="1"/>
  <c r="F787" i="1"/>
  <c r="E787" i="1"/>
  <c r="O787" i="1"/>
  <c r="M787" i="1"/>
  <c r="N787" i="1" s="1"/>
  <c r="H787" i="1"/>
  <c r="I787" i="1" s="1"/>
  <c r="J787" i="1" s="1"/>
  <c r="P787" i="1"/>
  <c r="G786" i="1"/>
  <c r="F786" i="1"/>
  <c r="E786" i="1"/>
  <c r="Q787" i="1"/>
  <c r="S787" i="1"/>
  <c r="R787" i="1"/>
  <c r="M786" i="1"/>
  <c r="N786" i="1" s="1"/>
  <c r="O786" i="1"/>
  <c r="H786" i="1"/>
  <c r="I786" i="1" s="1"/>
  <c r="J786" i="1" s="1"/>
  <c r="Q786" i="1"/>
  <c r="P786" i="1"/>
  <c r="S786" i="1"/>
  <c r="G785" i="1"/>
  <c r="E785" i="1"/>
  <c r="F785" i="1"/>
  <c r="R786" i="1"/>
  <c r="H785" i="1"/>
  <c r="I785" i="1" s="1"/>
  <c r="J785" i="1" s="1"/>
  <c r="M785" i="1"/>
  <c r="N785" i="1" s="1"/>
  <c r="O785" i="1"/>
  <c r="G784" i="1"/>
  <c r="P785" i="1"/>
  <c r="R785" i="1"/>
  <c r="S785" i="1"/>
  <c r="E784" i="1"/>
  <c r="Q785" i="1"/>
  <c r="F784" i="1"/>
  <c r="H784" i="1"/>
  <c r="I784" i="1" s="1"/>
  <c r="J784" i="1" s="1"/>
  <c r="M784" i="1"/>
  <c r="N784" i="1" s="1"/>
  <c r="O784" i="1"/>
  <c r="P784" i="1"/>
  <c r="Q784" i="1"/>
  <c r="R784" i="1"/>
  <c r="E783" i="1"/>
  <c r="S784" i="1"/>
  <c r="F783" i="1"/>
  <c r="G783" i="1"/>
  <c r="O783" i="1"/>
  <c r="M783" i="1"/>
  <c r="N783" i="1" s="1"/>
  <c r="H783" i="1"/>
  <c r="I783" i="1" s="1"/>
  <c r="J783" i="1" s="1"/>
  <c r="P783" i="1"/>
  <c r="R783" i="1"/>
  <c r="F782" i="1"/>
  <c r="Q783" i="1"/>
  <c r="S783" i="1"/>
  <c r="E782" i="1"/>
  <c r="G782" i="1"/>
  <c r="O782" i="1"/>
  <c r="H782" i="1"/>
  <c r="I782" i="1" s="1"/>
  <c r="J782" i="1" s="1"/>
  <c r="M782" i="1"/>
  <c r="N782" i="1" s="1"/>
  <c r="S782" i="1"/>
  <c r="Q782" i="1"/>
  <c r="P782" i="1"/>
  <c r="F781" i="1"/>
  <c r="E781" i="1"/>
  <c r="R782" i="1"/>
  <c r="G781" i="1"/>
  <c r="M781" i="1"/>
  <c r="N781" i="1" s="1"/>
  <c r="H781" i="1"/>
  <c r="I781" i="1" s="1"/>
  <c r="J781" i="1" s="1"/>
  <c r="O781" i="1"/>
  <c r="Q780" i="1"/>
  <c r="G780" i="1"/>
  <c r="F780" i="1"/>
  <c r="E780" i="1"/>
  <c r="S780" i="1"/>
  <c r="R780" i="1"/>
  <c r="P780" i="1"/>
  <c r="P781" i="1"/>
  <c r="Q781" i="1"/>
  <c r="R781" i="1"/>
  <c r="S781" i="1"/>
  <c r="H780" i="1"/>
  <c r="I780" i="1" s="1"/>
  <c r="J780" i="1" s="1"/>
  <c r="M780" i="1"/>
  <c r="N780" i="1" s="1"/>
  <c r="O780" i="1"/>
  <c r="G778" i="1"/>
  <c r="F778" i="1"/>
  <c r="M778" i="1"/>
  <c r="N778" i="1" s="1"/>
  <c r="H778" i="1"/>
  <c r="I778" i="1" s="1"/>
  <c r="J778" i="1" s="1"/>
  <c r="O778" i="1"/>
  <c r="R778" i="1"/>
  <c r="S778" i="1"/>
  <c r="P778" i="1"/>
  <c r="F777" i="1"/>
  <c r="Q778" i="1"/>
  <c r="G777" i="1"/>
  <c r="H777" i="1"/>
  <c r="I777" i="1" s="1"/>
  <c r="J777" i="1" s="1"/>
  <c r="M777" i="1"/>
  <c r="N777" i="1" s="1"/>
  <c r="O777" i="1"/>
  <c r="S777" i="1"/>
  <c r="G776" i="1"/>
  <c r="P777" i="1"/>
  <c r="R777" i="1"/>
  <c r="Q777" i="1"/>
  <c r="F776" i="1"/>
  <c r="M776" i="1"/>
  <c r="N776" i="1" s="1"/>
  <c r="O776" i="1"/>
  <c r="H776" i="1"/>
  <c r="I776" i="1" s="1"/>
  <c r="J776" i="1" s="1"/>
  <c r="S776" i="1"/>
  <c r="R776" i="1"/>
  <c r="F775" i="1"/>
  <c r="G775" i="1"/>
  <c r="P776" i="1"/>
  <c r="Q776" i="1"/>
  <c r="H775" i="1"/>
  <c r="I775" i="1" s="1"/>
  <c r="J775" i="1" s="1"/>
  <c r="O775" i="1"/>
  <c r="M775" i="1"/>
  <c r="N775" i="1" s="1"/>
  <c r="S775" i="1"/>
  <c r="R775" i="1"/>
  <c r="Q775" i="1"/>
  <c r="P775" i="1"/>
  <c r="F774" i="1"/>
  <c r="G774" i="1"/>
  <c r="H774" i="1"/>
  <c r="I774" i="1" s="1"/>
  <c r="J774" i="1" s="1"/>
  <c r="M774" i="1"/>
  <c r="N774" i="1" s="1"/>
  <c r="O774" i="1"/>
  <c r="G773" i="1"/>
  <c r="S774" i="1"/>
  <c r="F773" i="1"/>
  <c r="R774" i="1"/>
  <c r="Q774" i="1"/>
  <c r="P774" i="1"/>
  <c r="O773" i="1"/>
  <c r="M773" i="1"/>
  <c r="N773" i="1" s="1"/>
  <c r="H773" i="1"/>
  <c r="I773" i="1" s="1"/>
  <c r="J773" i="1" s="1"/>
  <c r="R773" i="1"/>
  <c r="S773" i="1"/>
  <c r="F772" i="1"/>
  <c r="G772" i="1"/>
  <c r="P773" i="1"/>
  <c r="Q773" i="1"/>
  <c r="O772" i="1"/>
  <c r="M772" i="1"/>
  <c r="N772" i="1" s="1"/>
  <c r="H772" i="1"/>
  <c r="I772" i="1" s="1"/>
  <c r="J772" i="1" s="1"/>
  <c r="R772" i="1"/>
  <c r="Q772" i="1"/>
  <c r="P772" i="1"/>
  <c r="G771" i="1"/>
  <c r="F771" i="1"/>
  <c r="S772" i="1"/>
  <c r="O771" i="1"/>
  <c r="M771" i="1"/>
  <c r="N771" i="1" s="1"/>
  <c r="H771" i="1"/>
  <c r="I771" i="1" s="1"/>
  <c r="J771" i="1" s="1"/>
  <c r="S771" i="1"/>
  <c r="R771" i="1"/>
  <c r="P771" i="1"/>
  <c r="Q771" i="1"/>
  <c r="F770" i="1"/>
  <c r="G770" i="1"/>
  <c r="O770" i="1"/>
  <c r="H770" i="1"/>
  <c r="I770" i="1" s="1"/>
  <c r="J770" i="1" s="1"/>
  <c r="M770" i="1"/>
  <c r="N770" i="1" s="1"/>
  <c r="G769" i="1"/>
  <c r="P770" i="1"/>
  <c r="Q770" i="1"/>
  <c r="R770" i="1"/>
  <c r="S770" i="1"/>
  <c r="F769" i="1"/>
  <c r="M769" i="1"/>
  <c r="N769" i="1" s="1"/>
  <c r="O769" i="1"/>
  <c r="H769" i="1"/>
  <c r="I769" i="1" s="1"/>
  <c r="J769" i="1" s="1"/>
  <c r="F768" i="1"/>
  <c r="R769" i="1"/>
  <c r="S769" i="1"/>
  <c r="G768" i="1"/>
  <c r="P769" i="1"/>
  <c r="Q769" i="1"/>
  <c r="O768" i="1"/>
  <c r="M768" i="1"/>
  <c r="N768" i="1" s="1"/>
  <c r="H768" i="1"/>
  <c r="I768" i="1" s="1"/>
  <c r="J768" i="1" s="1"/>
  <c r="F767" i="1"/>
  <c r="G767" i="1"/>
  <c r="P768" i="1"/>
  <c r="S768" i="1"/>
  <c r="Q768" i="1"/>
  <c r="R768" i="1"/>
  <c r="H767" i="1"/>
  <c r="I767" i="1" s="1"/>
  <c r="J767" i="1" s="1"/>
  <c r="M767" i="1"/>
  <c r="N767" i="1" s="1"/>
  <c r="O767" i="1"/>
  <c r="F766" i="1"/>
  <c r="S767" i="1"/>
  <c r="G766" i="1"/>
  <c r="R767" i="1"/>
  <c r="Q767" i="1"/>
  <c r="P767" i="1"/>
  <c r="M766" i="1"/>
  <c r="N766" i="1" s="1"/>
  <c r="O766" i="1"/>
  <c r="H766" i="1"/>
  <c r="I766" i="1" s="1"/>
  <c r="J766" i="1" s="1"/>
  <c r="F765" i="1"/>
  <c r="P766" i="1"/>
  <c r="S766" i="1"/>
  <c r="G765" i="1"/>
  <c r="Q766" i="1"/>
  <c r="R766" i="1"/>
  <c r="O765" i="1"/>
  <c r="M765" i="1"/>
  <c r="N765" i="1" s="1"/>
  <c r="H765" i="1"/>
  <c r="I765" i="1" s="1"/>
  <c r="J765" i="1" s="1"/>
  <c r="F764" i="1"/>
  <c r="P765" i="1"/>
  <c r="R765" i="1"/>
  <c r="Q765" i="1"/>
  <c r="S765" i="1"/>
  <c r="G764" i="1"/>
  <c r="M764" i="1"/>
  <c r="N764" i="1" s="1"/>
  <c r="H764" i="1"/>
  <c r="I764" i="1" s="1"/>
  <c r="J764" i="1" s="1"/>
  <c r="O764" i="1"/>
  <c r="S764" i="1"/>
  <c r="R764" i="1"/>
  <c r="Q764" i="1"/>
  <c r="F763" i="1"/>
  <c r="P764" i="1"/>
  <c r="G763" i="1"/>
  <c r="O763" i="1"/>
  <c r="H763" i="1"/>
  <c r="I763" i="1" s="1"/>
  <c r="J763" i="1" s="1"/>
  <c r="M763" i="1"/>
  <c r="N763" i="1" s="1"/>
  <c r="R763" i="1"/>
  <c r="S763" i="1"/>
  <c r="Q763" i="1"/>
  <c r="P763" i="1"/>
  <c r="F762" i="1"/>
  <c r="G762" i="1"/>
  <c r="O762" i="1"/>
  <c r="M762" i="1"/>
  <c r="N762" i="1" s="1"/>
  <c r="H762" i="1"/>
  <c r="I762" i="1" s="1"/>
  <c r="J762" i="1" s="1"/>
  <c r="Q762" i="1"/>
  <c r="F761" i="1"/>
  <c r="P762" i="1"/>
  <c r="S762" i="1"/>
  <c r="G761" i="1"/>
  <c r="R762" i="1"/>
  <c r="O761" i="1"/>
  <c r="H761" i="1"/>
  <c r="I761" i="1" s="1"/>
  <c r="J761" i="1" s="1"/>
  <c r="M761" i="1"/>
  <c r="N761" i="1" s="1"/>
  <c r="G760" i="1"/>
  <c r="S761" i="1"/>
  <c r="R761" i="1"/>
  <c r="P761" i="1"/>
  <c r="F760" i="1"/>
  <c r="Q761" i="1"/>
  <c r="H760" i="1"/>
  <c r="I760" i="1" s="1"/>
  <c r="J760" i="1" s="1"/>
  <c r="M760" i="1"/>
  <c r="N760" i="1" s="1"/>
  <c r="O760" i="1"/>
  <c r="Q760" i="1"/>
  <c r="R760" i="1"/>
  <c r="S760" i="1"/>
  <c r="F759" i="1"/>
  <c r="G759" i="1"/>
  <c r="P760" i="1"/>
  <c r="M759" i="1"/>
  <c r="N759" i="1" s="1"/>
  <c r="O759" i="1"/>
  <c r="H759" i="1"/>
  <c r="I759" i="1" s="1"/>
  <c r="J759" i="1" s="1"/>
  <c r="F758" i="1"/>
  <c r="P759" i="1"/>
  <c r="S759" i="1"/>
  <c r="R759" i="1"/>
  <c r="Q759" i="1"/>
  <c r="G758" i="1"/>
  <c r="O758" i="1"/>
  <c r="H758" i="1"/>
  <c r="I758" i="1" s="1"/>
  <c r="J758" i="1" s="1"/>
  <c r="M758" i="1"/>
  <c r="N758" i="1" s="1"/>
  <c r="P758" i="1"/>
  <c r="Q758" i="1"/>
  <c r="R758" i="1"/>
  <c r="G757" i="1"/>
  <c r="F757" i="1"/>
  <c r="S758" i="1"/>
  <c r="H757" i="1"/>
  <c r="I757" i="1" s="1"/>
  <c r="J757" i="1" s="1"/>
  <c r="O757" i="1"/>
  <c r="M757" i="1"/>
  <c r="N757" i="1" s="1"/>
  <c r="R757" i="1"/>
  <c r="G756" i="1"/>
  <c r="S757" i="1"/>
  <c r="F756" i="1"/>
  <c r="Q757" i="1"/>
  <c r="P757" i="1"/>
  <c r="H756" i="1"/>
  <c r="I756" i="1" s="1"/>
  <c r="J756" i="1" s="1"/>
  <c r="O756" i="1"/>
  <c r="M756" i="1"/>
  <c r="N756" i="1" s="1"/>
  <c r="P756" i="1"/>
  <c r="Q756" i="1"/>
  <c r="F755" i="1"/>
  <c r="G755" i="1"/>
  <c r="S756" i="1"/>
  <c r="R756" i="1"/>
  <c r="O755" i="1"/>
  <c r="M755" i="1"/>
  <c r="N755" i="1" s="1"/>
  <c r="H755" i="1"/>
  <c r="I755" i="1" s="1"/>
  <c r="J755" i="1" s="1"/>
  <c r="P755" i="1"/>
  <c r="Q755" i="1"/>
  <c r="R755" i="1"/>
  <c r="G754" i="1"/>
  <c r="F754" i="1"/>
  <c r="S755" i="1"/>
  <c r="H754" i="1"/>
  <c r="I754" i="1" s="1"/>
  <c r="J754" i="1" s="1"/>
  <c r="M754" i="1"/>
  <c r="N754" i="1" s="1"/>
  <c r="O754" i="1"/>
  <c r="G753" i="1"/>
  <c r="F753" i="1"/>
  <c r="S754" i="1"/>
  <c r="R754" i="1"/>
  <c r="Q754" i="1"/>
  <c r="P754" i="1"/>
  <c r="O753" i="1"/>
  <c r="H753" i="1"/>
  <c r="I753" i="1" s="1"/>
  <c r="J753" i="1" s="1"/>
  <c r="M753" i="1"/>
  <c r="N753" i="1" s="1"/>
  <c r="G752" i="1"/>
  <c r="S753" i="1"/>
  <c r="Q753" i="1"/>
  <c r="R753" i="1"/>
  <c r="P753" i="1"/>
  <c r="F752" i="1"/>
  <c r="O752" i="1"/>
  <c r="H752" i="1"/>
  <c r="I752" i="1" s="1"/>
  <c r="J752" i="1" s="1"/>
  <c r="M752" i="1"/>
  <c r="N752" i="1" s="1"/>
  <c r="F751" i="1"/>
  <c r="S752" i="1"/>
  <c r="G751" i="1"/>
  <c r="R752" i="1"/>
  <c r="Q752" i="1"/>
  <c r="P752" i="1"/>
  <c r="H751" i="1"/>
  <c r="I751" i="1" s="1"/>
  <c r="J751" i="1" s="1"/>
  <c r="M751" i="1"/>
  <c r="N751" i="1" s="1"/>
  <c r="O751" i="1"/>
  <c r="F750" i="1"/>
  <c r="P751" i="1"/>
  <c r="Q751" i="1"/>
  <c r="G750" i="1"/>
  <c r="R751" i="1"/>
  <c r="S751" i="1"/>
  <c r="O750" i="1"/>
  <c r="H750" i="1"/>
  <c r="I750" i="1" s="1"/>
  <c r="J750" i="1" s="1"/>
  <c r="M750" i="1"/>
  <c r="N750" i="1" s="1"/>
  <c r="R750" i="1"/>
  <c r="S750" i="1"/>
  <c r="G749" i="1"/>
  <c r="Q750" i="1"/>
  <c r="P750" i="1"/>
  <c r="F749" i="1"/>
  <c r="M749" i="1"/>
  <c r="N749" i="1" s="1"/>
  <c r="H749" i="1"/>
  <c r="I749" i="1" s="1"/>
  <c r="J749" i="1" s="1"/>
  <c r="O749" i="1"/>
  <c r="Q749" i="1"/>
  <c r="G748" i="1"/>
  <c r="P749" i="1"/>
  <c r="R749" i="1"/>
  <c r="S749" i="1"/>
  <c r="F748" i="1"/>
  <c r="M748" i="1"/>
  <c r="N748" i="1" s="1"/>
  <c r="H748" i="1"/>
  <c r="I748" i="1" s="1"/>
  <c r="J748" i="1" s="1"/>
  <c r="O748" i="1"/>
  <c r="F747" i="1"/>
  <c r="R748" i="1"/>
  <c r="S748" i="1"/>
  <c r="G747" i="1"/>
  <c r="P748" i="1"/>
  <c r="Q748" i="1"/>
  <c r="M747" i="1"/>
  <c r="N747" i="1" s="1"/>
  <c r="O747" i="1"/>
  <c r="H747" i="1"/>
  <c r="I747" i="1" s="1"/>
  <c r="J747" i="1" s="1"/>
  <c r="R747" i="1"/>
  <c r="S747" i="1"/>
  <c r="P747" i="1"/>
  <c r="Q747" i="1"/>
  <c r="F746" i="1"/>
  <c r="G746" i="1"/>
  <c r="O746" i="1"/>
  <c r="M746" i="1"/>
  <c r="N746" i="1" s="1"/>
  <c r="H746" i="1"/>
  <c r="I746" i="1" s="1"/>
  <c r="J746" i="1" s="1"/>
  <c r="G745" i="1"/>
  <c r="Q746" i="1"/>
  <c r="P746" i="1"/>
  <c r="C258" i="1"/>
  <c r="F745" i="1"/>
  <c r="R746" i="1"/>
  <c r="S746" i="1"/>
  <c r="O745" i="1"/>
  <c r="M745" i="1"/>
  <c r="N745" i="1" s="1"/>
  <c r="H745" i="1"/>
  <c r="I745" i="1" s="1"/>
  <c r="J745" i="1" s="1"/>
  <c r="Q745" i="1"/>
  <c r="S745" i="1"/>
  <c r="R745" i="1"/>
  <c r="G744" i="1"/>
  <c r="P745" i="1"/>
  <c r="C257" i="1"/>
  <c r="F744" i="1"/>
  <c r="M744" i="1"/>
  <c r="N744" i="1" s="1"/>
  <c r="H744" i="1"/>
  <c r="I744" i="1" s="1"/>
  <c r="J744" i="1" s="1"/>
  <c r="O744" i="1"/>
  <c r="C256" i="1"/>
  <c r="P744" i="1"/>
  <c r="G743" i="1"/>
  <c r="F743" i="1"/>
  <c r="S744" i="1"/>
  <c r="Q744" i="1"/>
  <c r="R744" i="1"/>
  <c r="M743" i="1"/>
  <c r="N743" i="1" s="1"/>
  <c r="O743" i="1"/>
  <c r="H743" i="1"/>
  <c r="I743" i="1" s="1"/>
  <c r="J743" i="1" s="1"/>
  <c r="F742" i="1"/>
  <c r="C255" i="1"/>
  <c r="G742" i="1"/>
  <c r="P743" i="1"/>
  <c r="Q743" i="1"/>
  <c r="R743" i="1"/>
  <c r="S743" i="1"/>
  <c r="M742" i="1"/>
  <c r="N742" i="1" s="1"/>
  <c r="O742" i="1"/>
  <c r="H742" i="1"/>
  <c r="I742" i="1" s="1"/>
  <c r="J742" i="1" s="1"/>
  <c r="P742" i="1"/>
  <c r="Q742" i="1"/>
  <c r="F741" i="1"/>
  <c r="E741" i="1"/>
  <c r="R742" i="1"/>
  <c r="C254" i="1"/>
  <c r="S742" i="1"/>
  <c r="G741" i="1"/>
  <c r="O741" i="1"/>
  <c r="M741" i="1"/>
  <c r="N741" i="1" s="1"/>
  <c r="H741" i="1"/>
  <c r="I741" i="1" s="1"/>
  <c r="J741" i="1" s="1"/>
  <c r="S741" i="1"/>
  <c r="Q741" i="1"/>
  <c r="C253" i="1"/>
  <c r="P741" i="1"/>
  <c r="G740" i="1"/>
  <c r="F740" i="1"/>
  <c r="E740" i="1"/>
  <c r="R741" i="1"/>
  <c r="M740" i="1"/>
  <c r="N740" i="1" s="1"/>
  <c r="H740" i="1"/>
  <c r="I740" i="1" s="1"/>
  <c r="J740" i="1" s="1"/>
  <c r="O740" i="1"/>
  <c r="E739" i="1"/>
  <c r="C252" i="1"/>
  <c r="S740" i="1"/>
  <c r="R740" i="1"/>
  <c r="Q740" i="1"/>
  <c r="G739" i="1"/>
  <c r="F739" i="1"/>
  <c r="P740" i="1"/>
  <c r="O739" i="1"/>
  <c r="H739" i="1"/>
  <c r="I739" i="1" s="1"/>
  <c r="J739" i="1" s="1"/>
  <c r="M739" i="1"/>
  <c r="N739" i="1" s="1"/>
  <c r="F738" i="1"/>
  <c r="Q739" i="1"/>
  <c r="P739" i="1"/>
  <c r="C251" i="1"/>
  <c r="S739" i="1"/>
  <c r="R739" i="1"/>
  <c r="G738" i="1"/>
  <c r="E738" i="1"/>
  <c r="H738" i="1"/>
  <c r="I738" i="1" s="1"/>
  <c r="J738" i="1" s="1"/>
  <c r="M738" i="1"/>
  <c r="N738" i="1" s="1"/>
  <c r="O738" i="1"/>
  <c r="F737" i="1"/>
  <c r="E737" i="1"/>
  <c r="S738" i="1"/>
  <c r="R738" i="1"/>
  <c r="Q738" i="1"/>
  <c r="P738" i="1"/>
  <c r="C250" i="1"/>
  <c r="G737" i="1"/>
  <c r="O737" i="1"/>
  <c r="M737" i="1"/>
  <c r="N737" i="1" s="1"/>
  <c r="H737" i="1"/>
  <c r="I737" i="1" s="1"/>
  <c r="J737" i="1" s="1"/>
  <c r="E736" i="1"/>
  <c r="F736" i="1"/>
  <c r="G736" i="1"/>
  <c r="C249" i="1"/>
  <c r="S737" i="1"/>
  <c r="R737" i="1"/>
  <c r="Q737" i="1"/>
  <c r="P737" i="1"/>
  <c r="O736" i="1"/>
  <c r="M736" i="1"/>
  <c r="N736" i="1" s="1"/>
  <c r="H736" i="1"/>
  <c r="I736" i="1" s="1"/>
  <c r="J736" i="1" s="1"/>
  <c r="E735" i="1"/>
  <c r="C248" i="1"/>
  <c r="S736" i="1"/>
  <c r="R736" i="1"/>
  <c r="Q736" i="1"/>
  <c r="P736" i="1"/>
  <c r="G735" i="1"/>
  <c r="F735" i="1"/>
  <c r="O735" i="1"/>
  <c r="M735" i="1"/>
  <c r="N735" i="1" s="1"/>
  <c r="H735" i="1"/>
  <c r="I735" i="1" s="1"/>
  <c r="J735" i="1" s="1"/>
  <c r="S735" i="1"/>
  <c r="R735" i="1"/>
  <c r="P735" i="1"/>
  <c r="Q735" i="1"/>
  <c r="C247" i="1"/>
  <c r="E734" i="1"/>
  <c r="F734" i="1"/>
  <c r="G734" i="1"/>
  <c r="O734" i="1"/>
  <c r="M734" i="1"/>
  <c r="N734" i="1" s="1"/>
  <c r="H734" i="1"/>
  <c r="I734" i="1" s="1"/>
  <c r="J734" i="1" s="1"/>
  <c r="P734" i="1"/>
  <c r="Q734" i="1"/>
  <c r="C246" i="1"/>
  <c r="R734" i="1"/>
  <c r="S734" i="1"/>
  <c r="G733" i="1"/>
  <c r="F733" i="1"/>
  <c r="E733" i="1"/>
  <c r="M733" i="1"/>
  <c r="N733" i="1" s="1"/>
  <c r="H733" i="1"/>
  <c r="I733" i="1" s="1"/>
  <c r="J733" i="1" s="1"/>
  <c r="O733" i="1"/>
  <c r="S733" i="1"/>
  <c r="E732" i="1"/>
  <c r="F732" i="1"/>
  <c r="C245" i="1"/>
  <c r="G732" i="1"/>
  <c r="P733" i="1"/>
  <c r="Q733" i="1"/>
  <c r="R733" i="1"/>
  <c r="M732" i="1"/>
  <c r="N732" i="1" s="1"/>
  <c r="H732" i="1"/>
  <c r="I732" i="1" s="1"/>
  <c r="J732" i="1" s="1"/>
  <c r="O732" i="1"/>
  <c r="E731" i="1"/>
  <c r="P732" i="1"/>
  <c r="Q732" i="1"/>
  <c r="R732" i="1"/>
  <c r="C244" i="1"/>
  <c r="S732" i="1"/>
  <c r="F731" i="1"/>
  <c r="G731" i="1"/>
  <c r="O731" i="1"/>
  <c r="M731" i="1"/>
  <c r="N731" i="1" s="1"/>
  <c r="H731" i="1"/>
  <c r="I731" i="1" s="1"/>
  <c r="J731" i="1" s="1"/>
  <c r="C243" i="1"/>
  <c r="S731" i="1"/>
  <c r="R731" i="1"/>
  <c r="Q731" i="1"/>
  <c r="P731" i="1"/>
  <c r="E730" i="1"/>
  <c r="F730" i="1"/>
  <c r="G730" i="1"/>
  <c r="O730" i="1"/>
  <c r="H730" i="1"/>
  <c r="I730" i="1" s="1"/>
  <c r="J730" i="1" s="1"/>
  <c r="M730" i="1"/>
  <c r="N730" i="1" s="1"/>
  <c r="P730" i="1"/>
  <c r="Q730" i="1"/>
  <c r="R730" i="1"/>
  <c r="S730" i="1"/>
  <c r="C242" i="1"/>
  <c r="E729" i="1"/>
  <c r="F729" i="1"/>
  <c r="G729" i="1"/>
  <c r="H729" i="1"/>
  <c r="I729" i="1" s="1"/>
  <c r="J729" i="1" s="1"/>
  <c r="M729" i="1"/>
  <c r="N729" i="1" s="1"/>
  <c r="O729" i="1"/>
  <c r="G728" i="1"/>
  <c r="P729" i="1"/>
  <c r="Q729" i="1"/>
  <c r="R729" i="1"/>
  <c r="S729" i="1"/>
  <c r="C241" i="1"/>
  <c r="E728" i="1"/>
  <c r="F728" i="1"/>
  <c r="O728" i="1"/>
  <c r="H728" i="1"/>
  <c r="I728" i="1" s="1"/>
  <c r="J728" i="1" s="1"/>
  <c r="M728" i="1"/>
  <c r="N728" i="1" s="1"/>
  <c r="R728" i="1"/>
  <c r="G727" i="1"/>
  <c r="P728" i="1"/>
  <c r="C240" i="1"/>
  <c r="Q728" i="1"/>
  <c r="E727" i="1"/>
  <c r="F727" i="1"/>
  <c r="S728" i="1"/>
  <c r="M727" i="1"/>
  <c r="N727" i="1" s="1"/>
  <c r="O727" i="1"/>
  <c r="H727" i="1"/>
  <c r="I727" i="1" s="1"/>
  <c r="J727" i="1" s="1"/>
  <c r="C239" i="1"/>
  <c r="F726" i="1"/>
  <c r="E726" i="1"/>
  <c r="P727" i="1"/>
  <c r="Q727" i="1"/>
  <c r="R727" i="1"/>
  <c r="S727" i="1"/>
  <c r="G726" i="1"/>
  <c r="M726" i="1"/>
  <c r="N726" i="1" s="1"/>
  <c r="O726" i="1"/>
  <c r="H726" i="1"/>
  <c r="I726" i="1" s="1"/>
  <c r="J726" i="1" s="1"/>
  <c r="G725" i="1"/>
  <c r="F725" i="1"/>
  <c r="E725" i="1"/>
  <c r="P726" i="1"/>
  <c r="Q726" i="1"/>
  <c r="R726" i="1"/>
  <c r="S726" i="1"/>
  <c r="C238" i="1"/>
  <c r="H725" i="1"/>
  <c r="I725" i="1" s="1"/>
  <c r="J725" i="1" s="1"/>
  <c r="M725" i="1"/>
  <c r="N725" i="1" s="1"/>
  <c r="O725" i="1"/>
  <c r="P725" i="1"/>
  <c r="Q725" i="1"/>
  <c r="R725" i="1"/>
  <c r="C237" i="1"/>
  <c r="G724" i="1"/>
  <c r="F724" i="1"/>
  <c r="E724" i="1"/>
  <c r="S725" i="1"/>
  <c r="M724" i="1"/>
  <c r="N724" i="1" s="1"/>
  <c r="H724" i="1"/>
  <c r="I724" i="1" s="1"/>
  <c r="J724" i="1" s="1"/>
  <c r="O724" i="1"/>
  <c r="E723" i="1"/>
  <c r="P724" i="1"/>
  <c r="F723" i="1"/>
  <c r="C236" i="1"/>
  <c r="G723" i="1"/>
  <c r="Q724" i="1"/>
  <c r="R724" i="1"/>
  <c r="S724" i="1"/>
  <c r="H723" i="1"/>
  <c r="I723" i="1" s="1"/>
  <c r="J723" i="1" s="1"/>
  <c r="M723" i="1"/>
  <c r="N723" i="1" s="1"/>
  <c r="O723" i="1"/>
  <c r="G722" i="1"/>
  <c r="F722" i="1"/>
  <c r="E722" i="1"/>
  <c r="C235" i="1"/>
  <c r="Q723" i="1"/>
  <c r="R723" i="1"/>
  <c r="S723" i="1"/>
  <c r="P723" i="1"/>
  <c r="O722" i="1"/>
  <c r="H722" i="1"/>
  <c r="I722" i="1" s="1"/>
  <c r="J722" i="1" s="1"/>
  <c r="M722" i="1"/>
  <c r="N722" i="1" s="1"/>
  <c r="Q722" i="1"/>
  <c r="P722" i="1"/>
  <c r="S722" i="1"/>
  <c r="R722" i="1"/>
  <c r="G721" i="1"/>
  <c r="F721" i="1"/>
  <c r="E721" i="1"/>
  <c r="C234" i="1"/>
  <c r="M721" i="1"/>
  <c r="N721" i="1" s="1"/>
  <c r="H721" i="1"/>
  <c r="I721" i="1" s="1"/>
  <c r="J721" i="1" s="1"/>
  <c r="O721" i="1"/>
  <c r="E720" i="1"/>
  <c r="Q721" i="1"/>
  <c r="R721" i="1"/>
  <c r="S721" i="1"/>
  <c r="G720" i="1"/>
  <c r="P721" i="1"/>
  <c r="F720" i="1"/>
  <c r="C233" i="1"/>
  <c r="H720" i="1"/>
  <c r="I720" i="1" s="1"/>
  <c r="J720" i="1" s="1"/>
  <c r="O720" i="1"/>
  <c r="M720" i="1"/>
  <c r="N720" i="1" s="1"/>
  <c r="G719" i="1"/>
  <c r="E719" i="1"/>
  <c r="P720" i="1"/>
  <c r="C232" i="1"/>
  <c r="Q720" i="1"/>
  <c r="R720" i="1"/>
  <c r="S720" i="1"/>
  <c r="F719" i="1"/>
  <c r="M719" i="1"/>
  <c r="N719" i="1" s="1"/>
  <c r="H719" i="1"/>
  <c r="I719" i="1" s="1"/>
  <c r="J719" i="1" s="1"/>
  <c r="O719" i="1"/>
  <c r="R719" i="1"/>
  <c r="C231" i="1"/>
  <c r="S719" i="1"/>
  <c r="Q719" i="1"/>
  <c r="P719" i="1"/>
  <c r="F718" i="1"/>
  <c r="E718" i="1"/>
  <c r="G718" i="1"/>
  <c r="M718" i="1"/>
  <c r="N718" i="1" s="1"/>
  <c r="O718" i="1"/>
  <c r="H718" i="1"/>
  <c r="I718" i="1" s="1"/>
  <c r="J718" i="1" s="1"/>
  <c r="Q718" i="1"/>
  <c r="C230" i="1"/>
  <c r="S718" i="1"/>
  <c r="R718" i="1"/>
  <c r="P718" i="1"/>
  <c r="E717" i="1"/>
  <c r="F717" i="1"/>
  <c r="G717" i="1"/>
  <c r="O717" i="1"/>
  <c r="M717" i="1"/>
  <c r="N717" i="1" s="1"/>
  <c r="H717" i="1"/>
  <c r="I717" i="1" s="1"/>
  <c r="J717" i="1" s="1"/>
  <c r="C229" i="1"/>
  <c r="S717" i="1"/>
  <c r="R717" i="1"/>
  <c r="Q717" i="1"/>
  <c r="P717" i="1"/>
  <c r="G716" i="1"/>
  <c r="F716" i="1"/>
  <c r="E716" i="1"/>
  <c r="O716" i="1"/>
  <c r="H716" i="1"/>
  <c r="I716" i="1" s="1"/>
  <c r="J716" i="1" s="1"/>
  <c r="M716" i="1"/>
  <c r="N716" i="1" s="1"/>
  <c r="R716" i="1"/>
  <c r="Q716" i="1"/>
  <c r="P716" i="1"/>
  <c r="C228" i="1"/>
  <c r="G715" i="1"/>
  <c r="F715" i="1"/>
  <c r="E715" i="1"/>
  <c r="S716" i="1"/>
  <c r="M715" i="1"/>
  <c r="N715" i="1" s="1"/>
  <c r="O715" i="1"/>
  <c r="H715" i="1"/>
  <c r="I715" i="1" s="1"/>
  <c r="J715" i="1" s="1"/>
  <c r="E714" i="1"/>
  <c r="S715" i="1"/>
  <c r="R715" i="1"/>
  <c r="Q715" i="1"/>
  <c r="P715" i="1"/>
  <c r="F714" i="1"/>
  <c r="C227" i="1"/>
  <c r="G714" i="1"/>
  <c r="H714" i="1"/>
  <c r="I714" i="1" s="1"/>
  <c r="J714" i="1" s="1"/>
  <c r="M714" i="1"/>
  <c r="N714" i="1" s="1"/>
  <c r="O714" i="1"/>
  <c r="G713" i="1"/>
  <c r="F713" i="1"/>
  <c r="E713" i="1"/>
  <c r="C226" i="1"/>
  <c r="S714" i="1"/>
  <c r="R714" i="1"/>
  <c r="Q714" i="1"/>
  <c r="P714" i="1"/>
  <c r="H713" i="1"/>
  <c r="I713" i="1" s="1"/>
  <c r="J713" i="1" s="1"/>
  <c r="M713" i="1"/>
  <c r="N713" i="1" s="1"/>
  <c r="O713" i="1"/>
  <c r="G712" i="1"/>
  <c r="Q713" i="1"/>
  <c r="E712" i="1"/>
  <c r="F712" i="1"/>
  <c r="R713" i="1"/>
  <c r="S713" i="1"/>
  <c r="C225" i="1"/>
  <c r="P713" i="1"/>
  <c r="M712" i="1"/>
  <c r="N712" i="1" s="1"/>
  <c r="H712" i="1"/>
  <c r="I712" i="1" s="1"/>
  <c r="J712" i="1" s="1"/>
  <c r="O712" i="1"/>
  <c r="F711" i="1"/>
  <c r="P712" i="1"/>
  <c r="Q712" i="1"/>
  <c r="E711" i="1"/>
  <c r="C224" i="1"/>
  <c r="R712" i="1"/>
  <c r="G711" i="1"/>
  <c r="S712" i="1"/>
  <c r="O711" i="1"/>
  <c r="M711" i="1"/>
  <c r="N711" i="1" s="1"/>
  <c r="H711" i="1"/>
  <c r="I711" i="1" s="1"/>
  <c r="J711" i="1" s="1"/>
  <c r="P711" i="1"/>
  <c r="C223" i="1"/>
  <c r="E710" i="1"/>
  <c r="S711" i="1"/>
  <c r="R711" i="1"/>
  <c r="Q711" i="1"/>
  <c r="F710" i="1"/>
  <c r="G710" i="1"/>
  <c r="O710" i="1"/>
  <c r="H710" i="1"/>
  <c r="I710" i="1" s="1"/>
  <c r="J710" i="1" s="1"/>
  <c r="M710" i="1"/>
  <c r="N710" i="1" s="1"/>
  <c r="S710" i="1"/>
  <c r="R710" i="1"/>
  <c r="P710" i="1"/>
  <c r="G709" i="1"/>
  <c r="F709" i="1"/>
  <c r="E709" i="1"/>
  <c r="Q710" i="1"/>
  <c r="C222" i="1"/>
  <c r="M709" i="1"/>
  <c r="N709" i="1" s="1"/>
  <c r="O709" i="1"/>
  <c r="H709" i="1"/>
  <c r="I709" i="1" s="1"/>
  <c r="J709" i="1" s="1"/>
  <c r="P709" i="1"/>
  <c r="Q709" i="1"/>
  <c r="R709" i="1"/>
  <c r="S709" i="1"/>
  <c r="C221" i="1"/>
  <c r="E708" i="1"/>
  <c r="F708" i="1"/>
  <c r="G708" i="1"/>
  <c r="M708" i="1"/>
  <c r="N708" i="1" s="1"/>
  <c r="O708" i="1"/>
  <c r="H708" i="1"/>
  <c r="I708" i="1" s="1"/>
  <c r="J708" i="1" s="1"/>
  <c r="E707" i="1"/>
  <c r="P708" i="1"/>
  <c r="R708" i="1"/>
  <c r="S708" i="1"/>
  <c r="Q708" i="1"/>
  <c r="F707" i="1"/>
  <c r="G707" i="1"/>
  <c r="C220" i="1"/>
  <c r="M707" i="1"/>
  <c r="N707" i="1" s="1"/>
  <c r="O707" i="1"/>
  <c r="H707" i="1"/>
  <c r="I707" i="1" s="1"/>
  <c r="J707" i="1" s="1"/>
  <c r="G706" i="1"/>
  <c r="F706" i="1"/>
  <c r="E706" i="1"/>
  <c r="P707" i="1"/>
  <c r="S707" i="1"/>
  <c r="R707" i="1"/>
  <c r="Q707" i="1"/>
  <c r="C219" i="1"/>
  <c r="O706" i="1"/>
  <c r="M706" i="1"/>
  <c r="N706" i="1" s="1"/>
  <c r="H706" i="1"/>
  <c r="I706" i="1" s="1"/>
  <c r="J706" i="1" s="1"/>
  <c r="G705" i="1"/>
  <c r="F705" i="1"/>
  <c r="E705" i="1"/>
  <c r="S706" i="1"/>
  <c r="R706" i="1"/>
  <c r="Q706" i="1"/>
  <c r="P706" i="1"/>
  <c r="C218" i="1"/>
  <c r="H705" i="1"/>
  <c r="I705" i="1" s="1"/>
  <c r="J705" i="1" s="1"/>
  <c r="M705" i="1"/>
  <c r="N705" i="1" s="1"/>
  <c r="O705" i="1"/>
  <c r="E704" i="1"/>
  <c r="F704" i="1"/>
  <c r="C217" i="1"/>
  <c r="S705" i="1"/>
  <c r="R705" i="1"/>
  <c r="Q705" i="1"/>
  <c r="P705" i="1"/>
  <c r="G704" i="1"/>
  <c r="H704" i="1"/>
  <c r="I704" i="1" s="1"/>
  <c r="J704" i="1" s="1"/>
  <c r="M704" i="1"/>
  <c r="N704" i="1" s="1"/>
  <c r="O704" i="1"/>
  <c r="Q704" i="1"/>
  <c r="R704" i="1"/>
  <c r="S704" i="1"/>
  <c r="G703" i="1"/>
  <c r="F703" i="1"/>
  <c r="E703" i="1"/>
  <c r="C216" i="1"/>
  <c r="P704" i="1"/>
  <c r="M703" i="1"/>
  <c r="N703" i="1" s="1"/>
  <c r="O703" i="1"/>
  <c r="H703" i="1"/>
  <c r="I703" i="1" s="1"/>
  <c r="J703" i="1" s="1"/>
  <c r="E702" i="1"/>
  <c r="P703" i="1"/>
  <c r="S703" i="1"/>
  <c r="F702" i="1"/>
  <c r="C215" i="1"/>
  <c r="G702" i="1"/>
  <c r="R703" i="1"/>
  <c r="Q703" i="1"/>
  <c r="M702" i="1"/>
  <c r="N702" i="1" s="1"/>
  <c r="H702" i="1"/>
  <c r="I702" i="1" s="1"/>
  <c r="J702" i="1" s="1"/>
  <c r="O702" i="1"/>
  <c r="R702" i="1"/>
  <c r="G701" i="1"/>
  <c r="Q702" i="1"/>
  <c r="P702" i="1"/>
  <c r="F701" i="1"/>
  <c r="E701" i="1"/>
  <c r="C214" i="1"/>
  <c r="S702" i="1"/>
  <c r="H701" i="1"/>
  <c r="I701" i="1" s="1"/>
  <c r="J701" i="1" s="1"/>
  <c r="M701" i="1"/>
  <c r="N701" i="1" s="1"/>
  <c r="O701" i="1"/>
  <c r="S701" i="1"/>
  <c r="R701" i="1"/>
  <c r="C213" i="1"/>
  <c r="P701" i="1"/>
  <c r="Q701" i="1"/>
  <c r="G700" i="1"/>
  <c r="F700" i="1"/>
  <c r="E700" i="1"/>
  <c r="O700" i="1"/>
  <c r="M700" i="1"/>
  <c r="N700" i="1" s="1"/>
  <c r="H700" i="1"/>
  <c r="I700" i="1" s="1"/>
  <c r="J700" i="1" s="1"/>
  <c r="E699" i="1"/>
  <c r="F699" i="1"/>
  <c r="G699" i="1"/>
  <c r="S700" i="1"/>
  <c r="C211" i="1"/>
  <c r="R700" i="1"/>
  <c r="Q700" i="1"/>
  <c r="P700" i="1"/>
  <c r="C212" i="1"/>
  <c r="S699" i="1"/>
  <c r="R699" i="1"/>
  <c r="Q699" i="1"/>
  <c r="P699" i="1"/>
  <c r="O699" i="1"/>
  <c r="H699" i="1"/>
  <c r="I699" i="1" s="1"/>
  <c r="J699" i="1" s="1"/>
  <c r="M699" i="1"/>
  <c r="N699" i="1" s="1"/>
  <c r="F698" i="1"/>
  <c r="G698" i="1"/>
  <c r="O698" i="1"/>
  <c r="M698" i="1"/>
  <c r="N698" i="1" s="1"/>
  <c r="H698" i="1"/>
  <c r="I698" i="1" s="1"/>
  <c r="J698" i="1" s="1"/>
  <c r="Q698" i="1"/>
  <c r="R698" i="1"/>
  <c r="F697" i="1"/>
  <c r="G697" i="1"/>
  <c r="P698" i="1"/>
  <c r="H697" i="1"/>
  <c r="I697" i="1" s="1"/>
  <c r="J697" i="1" s="1"/>
  <c r="O697" i="1"/>
  <c r="M697" i="1"/>
  <c r="N697" i="1" s="1"/>
  <c r="S697" i="1"/>
  <c r="R697" i="1"/>
  <c r="Q697" i="1"/>
  <c r="P697" i="1"/>
  <c r="G696" i="1"/>
  <c r="F696" i="1"/>
  <c r="O696" i="1"/>
  <c r="H696" i="1"/>
  <c r="I696" i="1" s="1"/>
  <c r="J696" i="1" s="1"/>
  <c r="M696" i="1"/>
  <c r="N696" i="1" s="1"/>
  <c r="G695" i="1"/>
  <c r="F695" i="1"/>
  <c r="P696" i="1"/>
  <c r="Q696" i="1"/>
  <c r="R696" i="1"/>
  <c r="S696" i="1"/>
  <c r="O695" i="1"/>
  <c r="M695" i="1"/>
  <c r="N695" i="1" s="1"/>
  <c r="H695" i="1"/>
  <c r="I695" i="1" s="1"/>
  <c r="J695" i="1" s="1"/>
  <c r="F694" i="1"/>
  <c r="G694" i="1"/>
  <c r="R695" i="1"/>
  <c r="Q695" i="1"/>
  <c r="P695" i="1"/>
  <c r="S695" i="1"/>
  <c r="O694" i="1"/>
  <c r="H694" i="1"/>
  <c r="I694" i="1" s="1"/>
  <c r="J694" i="1" s="1"/>
  <c r="M694" i="1"/>
  <c r="N694" i="1" s="1"/>
  <c r="R694" i="1"/>
  <c r="P694" i="1"/>
  <c r="Q694" i="1"/>
  <c r="S694" i="1"/>
  <c r="G693" i="1"/>
  <c r="F693" i="1"/>
  <c r="H693" i="1"/>
  <c r="I693" i="1" s="1"/>
  <c r="J693" i="1" s="1"/>
  <c r="O693" i="1"/>
  <c r="M693" i="1"/>
  <c r="N693" i="1" s="1"/>
  <c r="P693" i="1"/>
  <c r="Q693" i="1"/>
  <c r="R693" i="1"/>
  <c r="S693" i="1"/>
  <c r="F692" i="1"/>
  <c r="G692" i="1"/>
  <c r="M692" i="1"/>
  <c r="N692" i="1" s="1"/>
  <c r="H692" i="1"/>
  <c r="I692" i="1" s="1"/>
  <c r="J692" i="1" s="1"/>
  <c r="O692" i="1"/>
  <c r="P692" i="1"/>
  <c r="R692" i="1"/>
  <c r="F691" i="1"/>
  <c r="G691" i="1"/>
  <c r="Q692" i="1"/>
  <c r="S692" i="1"/>
  <c r="H691" i="1"/>
  <c r="I691" i="1" s="1"/>
  <c r="J691" i="1" s="1"/>
  <c r="O691" i="1"/>
  <c r="M691" i="1"/>
  <c r="N691" i="1" s="1"/>
  <c r="S691" i="1"/>
  <c r="F690" i="1"/>
  <c r="G690" i="1"/>
  <c r="R691" i="1"/>
  <c r="P691" i="1"/>
  <c r="Q691" i="1"/>
  <c r="O690" i="1"/>
  <c r="M690" i="1"/>
  <c r="N690" i="1" s="1"/>
  <c r="H690" i="1"/>
  <c r="I690" i="1" s="1"/>
  <c r="J690" i="1" s="1"/>
  <c r="S690" i="1"/>
  <c r="Q690" i="1"/>
  <c r="R690" i="1"/>
  <c r="P690" i="1"/>
  <c r="F689" i="1"/>
  <c r="G689" i="1"/>
  <c r="M689" i="1"/>
  <c r="N689" i="1" s="1"/>
  <c r="O689" i="1"/>
  <c r="H689" i="1"/>
  <c r="I689" i="1" s="1"/>
  <c r="J689" i="1" s="1"/>
  <c r="S689" i="1"/>
  <c r="R689" i="1"/>
  <c r="Q689" i="1"/>
  <c r="P689" i="1"/>
  <c r="F688" i="1"/>
  <c r="G688" i="1"/>
  <c r="M688" i="1"/>
  <c r="N688" i="1" s="1"/>
  <c r="H688" i="1"/>
  <c r="I688" i="1" s="1"/>
  <c r="J688" i="1" s="1"/>
  <c r="O688" i="1"/>
  <c r="R688" i="1"/>
  <c r="Q688" i="1"/>
  <c r="P688" i="1"/>
  <c r="G687" i="1"/>
  <c r="F687" i="1"/>
  <c r="S688" i="1"/>
  <c r="H687" i="1"/>
  <c r="I687" i="1" s="1"/>
  <c r="J687" i="1" s="1"/>
  <c r="O687" i="1"/>
  <c r="M687" i="1"/>
  <c r="N687" i="1" s="1"/>
  <c r="S687" i="1"/>
  <c r="R687" i="1"/>
  <c r="Q687" i="1"/>
  <c r="P687" i="1"/>
  <c r="G686" i="1"/>
  <c r="F686" i="1"/>
  <c r="M686" i="1"/>
  <c r="N686" i="1" s="1"/>
  <c r="H686" i="1"/>
  <c r="I686" i="1" s="1"/>
  <c r="J686" i="1" s="1"/>
  <c r="O686" i="1"/>
  <c r="P686" i="1"/>
  <c r="R686" i="1"/>
  <c r="Q686" i="1"/>
  <c r="G685" i="1"/>
  <c r="F685" i="1"/>
  <c r="S686" i="1"/>
  <c r="O685" i="1"/>
  <c r="M685" i="1"/>
  <c r="N685" i="1" s="1"/>
  <c r="H685" i="1"/>
  <c r="I685" i="1" s="1"/>
  <c r="J685" i="1" s="1"/>
  <c r="S685" i="1"/>
  <c r="R685" i="1"/>
  <c r="Q685" i="1"/>
  <c r="P685" i="1"/>
  <c r="F684" i="1"/>
  <c r="G684" i="1"/>
  <c r="H684" i="1"/>
  <c r="I684" i="1" s="1"/>
  <c r="J684" i="1" s="1"/>
  <c r="O684" i="1"/>
  <c r="M684" i="1"/>
  <c r="N684" i="1" s="1"/>
  <c r="S684" i="1"/>
  <c r="P684" i="1"/>
  <c r="Q684" i="1"/>
  <c r="R684" i="1"/>
  <c r="G683" i="1"/>
  <c r="F683" i="1"/>
  <c r="O683" i="1"/>
  <c r="M683" i="1"/>
  <c r="N683" i="1" s="1"/>
  <c r="H683" i="1"/>
  <c r="I683" i="1" s="1"/>
  <c r="J683" i="1" s="1"/>
  <c r="S683" i="1"/>
  <c r="R683" i="1"/>
  <c r="Q683" i="1"/>
  <c r="P683" i="1"/>
  <c r="F682" i="1"/>
  <c r="G682" i="1"/>
  <c r="O682" i="1"/>
  <c r="M682" i="1"/>
  <c r="N682" i="1" s="1"/>
  <c r="H682" i="1"/>
  <c r="I682" i="1" s="1"/>
  <c r="J682" i="1" s="1"/>
  <c r="G681" i="1"/>
  <c r="F681" i="1"/>
  <c r="S682" i="1"/>
  <c r="R682" i="1"/>
  <c r="P682" i="1"/>
  <c r="Q682" i="1"/>
  <c r="O681" i="1"/>
  <c r="M681" i="1"/>
  <c r="N681" i="1" s="1"/>
  <c r="H681" i="1"/>
  <c r="I681" i="1" s="1"/>
  <c r="J681" i="1" s="1"/>
  <c r="P681" i="1"/>
  <c r="S681" i="1"/>
  <c r="R681" i="1"/>
  <c r="Q681" i="1"/>
  <c r="G680" i="1"/>
  <c r="F680" i="1"/>
  <c r="O680" i="1"/>
  <c r="M680" i="1"/>
  <c r="N680" i="1" s="1"/>
  <c r="H680" i="1"/>
  <c r="I680" i="1" s="1"/>
  <c r="J680" i="1" s="1"/>
  <c r="G679" i="1"/>
  <c r="F679" i="1"/>
  <c r="R680" i="1"/>
  <c r="Q680" i="1"/>
  <c r="P680" i="1"/>
  <c r="S680" i="1"/>
  <c r="H679" i="1"/>
  <c r="I679" i="1" s="1"/>
  <c r="J679" i="1" s="1"/>
  <c r="O679" i="1"/>
  <c r="M679" i="1"/>
  <c r="N679" i="1" s="1"/>
  <c r="G678" i="1"/>
  <c r="P679" i="1"/>
  <c r="Q679" i="1"/>
  <c r="R679" i="1"/>
  <c r="S679" i="1"/>
  <c r="F678" i="1"/>
  <c r="H678" i="1"/>
  <c r="I678" i="1" s="1"/>
  <c r="J678" i="1" s="1"/>
  <c r="M678" i="1"/>
  <c r="N678" i="1" s="1"/>
  <c r="O678" i="1"/>
  <c r="G677" i="1"/>
  <c r="R678" i="1"/>
  <c r="S678" i="1"/>
  <c r="Q678" i="1"/>
  <c r="P678" i="1"/>
  <c r="F677" i="1"/>
  <c r="O677" i="1"/>
  <c r="M677" i="1"/>
  <c r="N677" i="1" s="1"/>
  <c r="H677" i="1"/>
  <c r="I677" i="1" s="1"/>
  <c r="J677" i="1" s="1"/>
  <c r="Q677" i="1"/>
  <c r="P677" i="1"/>
  <c r="R677" i="1"/>
  <c r="S677" i="1"/>
  <c r="F676" i="1"/>
  <c r="G676" i="1"/>
  <c r="M676" i="1"/>
  <c r="N676" i="1" s="1"/>
  <c r="H676" i="1"/>
  <c r="I676" i="1" s="1"/>
  <c r="J676" i="1" s="1"/>
  <c r="O676" i="1"/>
  <c r="G675" i="1"/>
  <c r="F675" i="1"/>
  <c r="S676" i="1"/>
  <c r="P676" i="1"/>
  <c r="Q676" i="1"/>
  <c r="R676" i="1"/>
  <c r="H675" i="1"/>
  <c r="I675" i="1" s="1"/>
  <c r="J675" i="1" s="1"/>
  <c r="M675" i="1"/>
  <c r="N675" i="1" s="1"/>
  <c r="O675" i="1"/>
  <c r="S675" i="1"/>
  <c r="R675" i="1"/>
  <c r="G674" i="1"/>
  <c r="F674" i="1"/>
  <c r="P675" i="1"/>
  <c r="Q675" i="1"/>
  <c r="H674" i="1"/>
  <c r="I674" i="1" s="1"/>
  <c r="J674" i="1" s="1"/>
  <c r="M674" i="1"/>
  <c r="N674" i="1" s="1"/>
  <c r="O674" i="1"/>
  <c r="Q674" i="1"/>
  <c r="R674" i="1"/>
  <c r="G673" i="1"/>
  <c r="S674" i="1"/>
  <c r="F673" i="1"/>
  <c r="P674" i="1"/>
  <c r="O673" i="1"/>
  <c r="M673" i="1"/>
  <c r="N673" i="1" s="1"/>
  <c r="H673" i="1"/>
  <c r="I673" i="1" s="1"/>
  <c r="J673" i="1" s="1"/>
  <c r="F672" i="1"/>
  <c r="G672" i="1"/>
  <c r="Q673" i="1"/>
  <c r="P673" i="1"/>
  <c r="R673" i="1"/>
  <c r="S673" i="1"/>
  <c r="M672" i="1"/>
  <c r="N672" i="1" s="1"/>
  <c r="O672" i="1"/>
  <c r="H672" i="1"/>
  <c r="I672" i="1" s="1"/>
  <c r="J672" i="1" s="1"/>
  <c r="Q672" i="1"/>
  <c r="S672" i="1"/>
  <c r="G671" i="1"/>
  <c r="P672" i="1"/>
  <c r="F671" i="1"/>
  <c r="E671" i="1"/>
  <c r="R672" i="1"/>
  <c r="H671" i="1"/>
  <c r="I671" i="1" s="1"/>
  <c r="J671" i="1" s="1"/>
  <c r="M671" i="1"/>
  <c r="N671" i="1" s="1"/>
  <c r="O671" i="1"/>
  <c r="R671" i="1"/>
  <c r="E670" i="1"/>
  <c r="F670" i="1"/>
  <c r="G670" i="1"/>
  <c r="S671" i="1"/>
  <c r="P671" i="1"/>
  <c r="Q671" i="1"/>
  <c r="O670" i="1"/>
  <c r="H670" i="1"/>
  <c r="I670" i="1" s="1"/>
  <c r="J670" i="1" s="1"/>
  <c r="M670" i="1"/>
  <c r="N670" i="1" s="1"/>
  <c r="P670" i="1"/>
  <c r="Q670" i="1"/>
  <c r="R670" i="1"/>
  <c r="E669" i="1"/>
  <c r="G669" i="1"/>
  <c r="S670" i="1"/>
  <c r="F669" i="1"/>
  <c r="M669" i="1"/>
  <c r="N669" i="1" s="1"/>
  <c r="O669" i="1"/>
  <c r="H669" i="1"/>
  <c r="I669" i="1" s="1"/>
  <c r="J669" i="1" s="1"/>
  <c r="S669" i="1"/>
  <c r="F668" i="1"/>
  <c r="E668" i="1"/>
  <c r="G668" i="1"/>
  <c r="P669" i="1"/>
  <c r="Q669" i="1"/>
  <c r="R669" i="1"/>
  <c r="H668" i="1"/>
  <c r="I668" i="1" s="1"/>
  <c r="J668" i="1" s="1"/>
  <c r="M668" i="1"/>
  <c r="N668" i="1" s="1"/>
  <c r="O668" i="1"/>
  <c r="F667" i="1"/>
  <c r="E667" i="1"/>
  <c r="R668" i="1"/>
  <c r="Q668" i="1"/>
  <c r="P668" i="1"/>
  <c r="G667" i="1"/>
  <c r="S668" i="1"/>
  <c r="O667" i="1"/>
  <c r="H667" i="1"/>
  <c r="I667" i="1" s="1"/>
  <c r="J667" i="1" s="1"/>
  <c r="M667" i="1"/>
  <c r="N667" i="1" s="1"/>
  <c r="G666" i="1"/>
  <c r="Q667" i="1"/>
  <c r="R667" i="1"/>
  <c r="F666" i="1"/>
  <c r="P667" i="1"/>
  <c r="S667" i="1"/>
  <c r="E666" i="1"/>
  <c r="O666" i="1"/>
  <c r="H666" i="1"/>
  <c r="I666" i="1" s="1"/>
  <c r="J666" i="1" s="1"/>
  <c r="M666" i="1"/>
  <c r="N666" i="1" s="1"/>
  <c r="R666" i="1"/>
  <c r="Q666" i="1"/>
  <c r="P666" i="1"/>
  <c r="F665" i="1"/>
  <c r="S666" i="1"/>
  <c r="E665" i="1"/>
  <c r="G665" i="1"/>
  <c r="H665" i="1"/>
  <c r="I665" i="1" s="1"/>
  <c r="J665" i="1" s="1"/>
  <c r="M665" i="1"/>
  <c r="N665" i="1" s="1"/>
  <c r="O665" i="1"/>
  <c r="S665" i="1"/>
  <c r="G664" i="1"/>
  <c r="F664" i="1"/>
  <c r="E664" i="1"/>
  <c r="P665" i="1"/>
  <c r="Q665" i="1"/>
  <c r="R665" i="1"/>
  <c r="M664" i="1"/>
  <c r="N664" i="1" s="1"/>
  <c r="H664" i="1"/>
  <c r="I664" i="1" s="1"/>
  <c r="J664" i="1" s="1"/>
  <c r="O664" i="1"/>
  <c r="S664" i="1"/>
  <c r="R664" i="1"/>
  <c r="E663" i="1"/>
  <c r="G663" i="1"/>
  <c r="F663" i="1"/>
  <c r="P664" i="1"/>
  <c r="Q664" i="1"/>
  <c r="O663" i="1"/>
  <c r="M663" i="1"/>
  <c r="N663" i="1" s="1"/>
  <c r="H663" i="1"/>
  <c r="I663" i="1" s="1"/>
  <c r="J663" i="1" s="1"/>
  <c r="S663" i="1"/>
  <c r="E662" i="1"/>
  <c r="R663" i="1"/>
  <c r="F662" i="1"/>
  <c r="G662" i="1"/>
  <c r="P663" i="1"/>
  <c r="Q663" i="1"/>
  <c r="M662" i="1"/>
  <c r="N662" i="1" s="1"/>
  <c r="H662" i="1"/>
  <c r="I662" i="1" s="1"/>
  <c r="J662" i="1" s="1"/>
  <c r="O662" i="1"/>
  <c r="G661" i="1"/>
  <c r="P662" i="1"/>
  <c r="R662" i="1"/>
  <c r="Q662" i="1"/>
  <c r="S662" i="1"/>
  <c r="F661" i="1"/>
  <c r="E661" i="1"/>
  <c r="O661" i="1"/>
  <c r="M661" i="1"/>
  <c r="N661" i="1" s="1"/>
  <c r="H661" i="1"/>
  <c r="I661" i="1" s="1"/>
  <c r="J661" i="1" s="1"/>
  <c r="E660" i="1"/>
  <c r="F660" i="1"/>
  <c r="G660" i="1"/>
  <c r="S661" i="1"/>
  <c r="R661" i="1"/>
  <c r="Q661" i="1"/>
  <c r="P661" i="1"/>
  <c r="H660" i="1"/>
  <c r="I660" i="1" s="1"/>
  <c r="J660" i="1" s="1"/>
  <c r="M660" i="1"/>
  <c r="N660" i="1" s="1"/>
  <c r="O660" i="1"/>
  <c r="P660" i="1"/>
  <c r="Q660" i="1"/>
  <c r="R660" i="1"/>
  <c r="S660" i="1"/>
  <c r="E659" i="1"/>
  <c r="F659" i="1"/>
  <c r="G659" i="1"/>
  <c r="H659" i="1"/>
  <c r="I659" i="1" s="1"/>
  <c r="J659" i="1" s="1"/>
  <c r="M659" i="1"/>
  <c r="N659" i="1" s="1"/>
  <c r="O659" i="1"/>
  <c r="R659" i="1"/>
  <c r="S659" i="1"/>
  <c r="E658" i="1"/>
  <c r="P659" i="1"/>
  <c r="Q659" i="1"/>
  <c r="G658" i="1"/>
  <c r="F658" i="1"/>
  <c r="O658" i="1"/>
  <c r="M658" i="1"/>
  <c r="N658" i="1" s="1"/>
  <c r="H658" i="1"/>
  <c r="I658" i="1" s="1"/>
  <c r="J658" i="1" s="1"/>
  <c r="G657" i="1"/>
  <c r="E657" i="1"/>
  <c r="F657" i="1"/>
  <c r="R658" i="1"/>
  <c r="Q658" i="1"/>
  <c r="P658" i="1"/>
  <c r="S658" i="1"/>
  <c r="O657" i="1"/>
  <c r="M657" i="1"/>
  <c r="N657" i="1" s="1"/>
  <c r="H657" i="1"/>
  <c r="I657" i="1" s="1"/>
  <c r="J657" i="1" s="1"/>
  <c r="Q657" i="1"/>
  <c r="E656" i="1"/>
  <c r="G656" i="1"/>
  <c r="F656" i="1"/>
  <c r="S657" i="1"/>
  <c r="R657" i="1"/>
  <c r="P657" i="1"/>
  <c r="M656" i="1"/>
  <c r="N656" i="1" s="1"/>
  <c r="H656" i="1"/>
  <c r="I656" i="1" s="1"/>
  <c r="J656" i="1" s="1"/>
  <c r="O656" i="1"/>
  <c r="E655" i="1"/>
  <c r="S656" i="1"/>
  <c r="R656" i="1"/>
  <c r="Q656" i="1"/>
  <c r="P656" i="1"/>
  <c r="G655" i="1"/>
  <c r="F655" i="1"/>
  <c r="O655" i="1"/>
  <c r="M655" i="1"/>
  <c r="N655" i="1" s="1"/>
  <c r="H655" i="1"/>
  <c r="I655" i="1" s="1"/>
  <c r="J655" i="1" s="1"/>
  <c r="P655" i="1"/>
  <c r="Q655" i="1"/>
  <c r="S655" i="1"/>
  <c r="R655" i="1"/>
  <c r="G654" i="1"/>
  <c r="F654" i="1"/>
  <c r="E654" i="1"/>
  <c r="O654" i="1"/>
  <c r="M654" i="1"/>
  <c r="N654" i="1" s="1"/>
  <c r="H654" i="1"/>
  <c r="I654" i="1" s="1"/>
  <c r="J654" i="1" s="1"/>
  <c r="R654" i="1"/>
  <c r="Q654" i="1"/>
  <c r="P654" i="1"/>
  <c r="G653" i="1"/>
  <c r="F653" i="1"/>
  <c r="E653" i="1"/>
  <c r="S654" i="1"/>
  <c r="M653" i="1"/>
  <c r="N653" i="1" s="1"/>
  <c r="H653" i="1"/>
  <c r="I653" i="1" s="1"/>
  <c r="J653" i="1" s="1"/>
  <c r="O653" i="1"/>
  <c r="R653" i="1"/>
  <c r="Q653" i="1"/>
  <c r="P653" i="1"/>
  <c r="G652" i="1"/>
  <c r="F652" i="1"/>
  <c r="E652" i="1"/>
  <c r="S653" i="1"/>
  <c r="O652" i="1"/>
  <c r="M652" i="1"/>
  <c r="N652" i="1" s="1"/>
  <c r="H652" i="1"/>
  <c r="I652" i="1" s="1"/>
  <c r="J652" i="1" s="1"/>
  <c r="S652" i="1"/>
  <c r="R652" i="1"/>
  <c r="Q652" i="1"/>
  <c r="P652" i="1"/>
  <c r="G651" i="1"/>
  <c r="F651" i="1"/>
  <c r="E651" i="1"/>
  <c r="O651" i="1"/>
  <c r="M651" i="1"/>
  <c r="N651" i="1" s="1"/>
  <c r="H651" i="1"/>
  <c r="I651" i="1" s="1"/>
  <c r="J651" i="1" s="1"/>
  <c r="P651" i="1"/>
  <c r="S651" i="1"/>
  <c r="R651" i="1"/>
  <c r="Q651" i="1"/>
  <c r="G650" i="1"/>
  <c r="F650" i="1"/>
  <c r="E650" i="1"/>
  <c r="O650" i="1"/>
  <c r="M650" i="1"/>
  <c r="N650" i="1" s="1"/>
  <c r="H650" i="1"/>
  <c r="I650" i="1" s="1"/>
  <c r="J650" i="1" s="1"/>
  <c r="E649" i="1"/>
  <c r="F649" i="1"/>
  <c r="P650" i="1"/>
  <c r="G649" i="1"/>
  <c r="Q650" i="1"/>
  <c r="R650" i="1"/>
  <c r="S650" i="1"/>
  <c r="H649" i="1"/>
  <c r="I649" i="1" s="1"/>
  <c r="J649" i="1" s="1"/>
  <c r="O649" i="1"/>
  <c r="M649" i="1"/>
  <c r="N649" i="1" s="1"/>
  <c r="E648" i="1"/>
  <c r="F648" i="1"/>
  <c r="G648" i="1"/>
  <c r="R649" i="1"/>
  <c r="S649" i="1"/>
  <c r="Q649" i="1"/>
  <c r="P649" i="1"/>
  <c r="H648" i="1"/>
  <c r="I648" i="1" s="1"/>
  <c r="J648" i="1" s="1"/>
  <c r="M648" i="1"/>
  <c r="N648" i="1" s="1"/>
  <c r="O648" i="1"/>
  <c r="P648" i="1"/>
  <c r="Q648" i="1"/>
  <c r="R648" i="1"/>
  <c r="S648" i="1"/>
  <c r="E647" i="1"/>
  <c r="G647" i="1"/>
  <c r="F647" i="1"/>
  <c r="O647" i="1"/>
  <c r="M647" i="1"/>
  <c r="N647" i="1" s="1"/>
  <c r="H647" i="1"/>
  <c r="I647" i="1" s="1"/>
  <c r="J647" i="1" s="1"/>
  <c r="F646" i="1"/>
  <c r="S647" i="1"/>
  <c r="R647" i="1"/>
  <c r="P647" i="1"/>
  <c r="G646" i="1"/>
  <c r="Q647" i="1"/>
  <c r="E646" i="1"/>
  <c r="M646" i="1"/>
  <c r="N646" i="1" s="1"/>
  <c r="O646" i="1"/>
  <c r="H646" i="1"/>
  <c r="I646" i="1" s="1"/>
  <c r="J646" i="1" s="1"/>
  <c r="P646" i="1"/>
  <c r="Q646" i="1"/>
  <c r="R646" i="1"/>
  <c r="G645" i="1"/>
  <c r="F645" i="1"/>
  <c r="E645" i="1"/>
  <c r="S646" i="1"/>
  <c r="H645" i="1"/>
  <c r="I645" i="1" s="1"/>
  <c r="J645" i="1" s="1"/>
  <c r="O645" i="1"/>
  <c r="M645" i="1"/>
  <c r="N645" i="1" s="1"/>
  <c r="P645" i="1"/>
  <c r="Q645" i="1"/>
  <c r="R645" i="1"/>
  <c r="S645" i="1"/>
  <c r="G644" i="1"/>
  <c r="F644" i="1"/>
  <c r="E644" i="1"/>
  <c r="O644" i="1"/>
  <c r="H644" i="1"/>
  <c r="I644" i="1" s="1"/>
  <c r="J644" i="1" s="1"/>
  <c r="M644" i="1"/>
  <c r="N644" i="1" s="1"/>
  <c r="R644" i="1"/>
  <c r="S644" i="1"/>
  <c r="E643" i="1"/>
  <c r="P644" i="1"/>
  <c r="F643" i="1"/>
  <c r="G643" i="1"/>
  <c r="Q644" i="1"/>
  <c r="O643" i="1"/>
  <c r="M643" i="1"/>
  <c r="N643" i="1" s="1"/>
  <c r="H643" i="1"/>
  <c r="I643" i="1" s="1"/>
  <c r="J643" i="1" s="1"/>
  <c r="G642" i="1"/>
  <c r="S643" i="1"/>
  <c r="R643" i="1"/>
  <c r="Q643" i="1"/>
  <c r="P643" i="1"/>
  <c r="E642" i="1"/>
  <c r="F642" i="1"/>
  <c r="O642" i="1"/>
  <c r="M642" i="1"/>
  <c r="N642" i="1" s="1"/>
  <c r="H642" i="1"/>
  <c r="I642" i="1" s="1"/>
  <c r="J642" i="1" s="1"/>
  <c r="R642" i="1"/>
  <c r="Q642" i="1"/>
  <c r="P642" i="1"/>
  <c r="S642" i="1"/>
  <c r="F641" i="1"/>
  <c r="E641" i="1"/>
  <c r="G641" i="1"/>
  <c r="H641" i="1"/>
  <c r="I641" i="1" s="1"/>
  <c r="J641" i="1" s="1"/>
  <c r="O641" i="1"/>
  <c r="M641" i="1"/>
  <c r="N641" i="1" s="1"/>
  <c r="P641" i="1"/>
  <c r="G640" i="1"/>
  <c r="F640" i="1"/>
  <c r="E640" i="1"/>
  <c r="Q641" i="1"/>
  <c r="R641" i="1"/>
  <c r="S641" i="1"/>
  <c r="H640" i="1"/>
  <c r="I640" i="1" s="1"/>
  <c r="J640" i="1" s="1"/>
  <c r="M640" i="1"/>
  <c r="N640" i="1" s="1"/>
  <c r="O640" i="1"/>
  <c r="E639" i="1"/>
  <c r="Q640" i="1"/>
  <c r="F639" i="1"/>
  <c r="R640" i="1"/>
  <c r="S640" i="1"/>
  <c r="G639" i="1"/>
  <c r="P640" i="1"/>
  <c r="M639" i="1"/>
  <c r="N639" i="1" s="1"/>
  <c r="O639" i="1"/>
  <c r="H639" i="1"/>
  <c r="I639" i="1" s="1"/>
  <c r="J639" i="1" s="1"/>
  <c r="F638" i="1"/>
  <c r="G638" i="1"/>
  <c r="P639" i="1"/>
  <c r="Q639" i="1"/>
  <c r="R639" i="1"/>
  <c r="S639" i="1"/>
  <c r="E638" i="1"/>
  <c r="M638" i="1"/>
  <c r="N638" i="1" s="1"/>
  <c r="H638" i="1"/>
  <c r="I638" i="1" s="1"/>
  <c r="J638" i="1" s="1"/>
  <c r="O638" i="1"/>
  <c r="E637" i="1"/>
  <c r="S638" i="1"/>
  <c r="F637" i="1"/>
  <c r="G637" i="1"/>
  <c r="R638" i="1"/>
  <c r="Q638" i="1"/>
  <c r="P638" i="1"/>
  <c r="O637" i="1"/>
  <c r="M637" i="1"/>
  <c r="N637" i="1" s="1"/>
  <c r="H637" i="1"/>
  <c r="I637" i="1" s="1"/>
  <c r="J637" i="1" s="1"/>
  <c r="E636" i="1"/>
  <c r="F636" i="1"/>
  <c r="G636" i="1"/>
  <c r="R637" i="1"/>
  <c r="S637" i="1"/>
  <c r="P637" i="1"/>
  <c r="Q637" i="1"/>
  <c r="H636" i="1"/>
  <c r="I636" i="1" s="1"/>
  <c r="J636" i="1" s="1"/>
  <c r="M636" i="1"/>
  <c r="N636" i="1" s="1"/>
  <c r="O636" i="1"/>
  <c r="P636" i="1"/>
  <c r="E635" i="1"/>
  <c r="S636" i="1"/>
  <c r="F635" i="1"/>
  <c r="Q636" i="1"/>
  <c r="R636" i="1"/>
  <c r="G635" i="1"/>
  <c r="O635" i="1"/>
  <c r="M635" i="1"/>
  <c r="N635" i="1" s="1"/>
  <c r="H635" i="1"/>
  <c r="I635" i="1" s="1"/>
  <c r="J635" i="1" s="1"/>
  <c r="R635" i="1"/>
  <c r="S635" i="1"/>
  <c r="G634" i="1"/>
  <c r="F634" i="1"/>
  <c r="E634" i="1"/>
  <c r="P635" i="1"/>
  <c r="Q635" i="1"/>
  <c r="H634" i="1"/>
  <c r="I634" i="1" s="1"/>
  <c r="J634" i="1" s="1"/>
  <c r="O634" i="1"/>
  <c r="M634" i="1"/>
  <c r="N634" i="1" s="1"/>
  <c r="S634" i="1"/>
  <c r="R634" i="1"/>
  <c r="Q634" i="1"/>
  <c r="P634" i="1"/>
  <c r="G633" i="1"/>
  <c r="E633" i="1"/>
  <c r="F633" i="1"/>
  <c r="O633" i="1"/>
  <c r="H633" i="1"/>
  <c r="I633" i="1" s="1"/>
  <c r="J633" i="1" s="1"/>
  <c r="M633" i="1"/>
  <c r="N633" i="1" s="1"/>
  <c r="P633" i="1"/>
  <c r="S633" i="1"/>
  <c r="F632" i="1"/>
  <c r="E632" i="1"/>
  <c r="G632" i="1"/>
  <c r="Q633" i="1"/>
  <c r="R633" i="1"/>
  <c r="H632" i="1"/>
  <c r="I632" i="1" s="1"/>
  <c r="J632" i="1" s="1"/>
  <c r="M632" i="1"/>
  <c r="N632" i="1" s="1"/>
  <c r="O632" i="1"/>
  <c r="S632" i="1"/>
  <c r="R632" i="1"/>
  <c r="Q632" i="1"/>
  <c r="P632" i="1"/>
  <c r="G631" i="1"/>
  <c r="F631" i="1"/>
  <c r="E631" i="1"/>
  <c r="H631" i="1"/>
  <c r="I631" i="1" s="1"/>
  <c r="J631" i="1" s="1"/>
  <c r="M631" i="1"/>
  <c r="N631" i="1" s="1"/>
  <c r="O631" i="1"/>
  <c r="R631" i="1"/>
  <c r="G630" i="1"/>
  <c r="S631" i="1"/>
  <c r="F630" i="1"/>
  <c r="P631" i="1"/>
  <c r="Q631" i="1"/>
  <c r="E630" i="1"/>
  <c r="H630" i="1"/>
  <c r="I630" i="1" s="1"/>
  <c r="J630" i="1" s="1"/>
  <c r="O630" i="1"/>
  <c r="M630" i="1"/>
  <c r="N630" i="1" s="1"/>
  <c r="E629" i="1"/>
  <c r="R630" i="1"/>
  <c r="Q630" i="1"/>
  <c r="F629" i="1"/>
  <c r="P630" i="1"/>
  <c r="S630" i="1"/>
  <c r="G629" i="1"/>
  <c r="H629" i="1"/>
  <c r="I629" i="1" s="1"/>
  <c r="J629" i="1" s="1"/>
  <c r="M629" i="1"/>
  <c r="N629" i="1" s="1"/>
  <c r="O629" i="1"/>
  <c r="E628" i="1"/>
  <c r="P629" i="1"/>
  <c r="F628" i="1"/>
  <c r="G628" i="1"/>
  <c r="S629" i="1"/>
  <c r="R629" i="1"/>
  <c r="Q629" i="1"/>
  <c r="H628" i="1"/>
  <c r="I628" i="1" s="1"/>
  <c r="J628" i="1" s="1"/>
  <c r="M628" i="1"/>
  <c r="N628" i="1" s="1"/>
  <c r="O628" i="1"/>
  <c r="E627" i="1"/>
  <c r="F627" i="1"/>
  <c r="G627" i="1"/>
  <c r="P628" i="1"/>
  <c r="Q628" i="1"/>
  <c r="R628" i="1"/>
  <c r="S628" i="1"/>
  <c r="M627" i="1"/>
  <c r="N627" i="1" s="1"/>
  <c r="O627" i="1"/>
  <c r="H627" i="1"/>
  <c r="I627" i="1" s="1"/>
  <c r="J627" i="1" s="1"/>
  <c r="Q627" i="1"/>
  <c r="R627" i="1"/>
  <c r="P627" i="1"/>
  <c r="G626" i="1"/>
  <c r="S627" i="1"/>
  <c r="E626" i="1"/>
  <c r="F626" i="1"/>
  <c r="M626" i="1"/>
  <c r="N626" i="1" s="1"/>
  <c r="O626" i="1"/>
  <c r="H626" i="1"/>
  <c r="I626" i="1" s="1"/>
  <c r="J626" i="1" s="1"/>
  <c r="E625" i="1"/>
  <c r="F625" i="1"/>
  <c r="G625" i="1"/>
  <c r="P626" i="1"/>
  <c r="Q626" i="1"/>
  <c r="R626" i="1"/>
  <c r="S626" i="1"/>
  <c r="H625" i="1"/>
  <c r="I625" i="1" s="1"/>
  <c r="J625" i="1" s="1"/>
  <c r="M625" i="1"/>
  <c r="N625" i="1" s="1"/>
  <c r="O625" i="1"/>
  <c r="E624" i="1"/>
  <c r="Q625" i="1"/>
  <c r="R625" i="1"/>
  <c r="S625" i="1"/>
  <c r="P625" i="1"/>
  <c r="G624" i="1"/>
  <c r="F624" i="1"/>
  <c r="O624" i="1"/>
  <c r="M624" i="1"/>
  <c r="N624" i="1" s="1"/>
  <c r="H624" i="1"/>
  <c r="I624" i="1" s="1"/>
  <c r="J624" i="1" s="1"/>
  <c r="R624" i="1"/>
  <c r="G623" i="1"/>
  <c r="S624" i="1"/>
  <c r="F623" i="1"/>
  <c r="P624" i="1"/>
  <c r="Q624" i="1"/>
  <c r="E623" i="1"/>
  <c r="O623" i="1"/>
  <c r="M623" i="1"/>
  <c r="N623" i="1" s="1"/>
  <c r="H623" i="1"/>
  <c r="I623" i="1" s="1"/>
  <c r="J623" i="1" s="1"/>
  <c r="G622" i="1"/>
  <c r="S623" i="1"/>
  <c r="R623" i="1"/>
  <c r="Q623" i="1"/>
  <c r="F622" i="1"/>
  <c r="P623" i="1"/>
  <c r="E622" i="1"/>
  <c r="M622" i="1"/>
  <c r="N622" i="1" s="1"/>
  <c r="H622" i="1"/>
  <c r="I622" i="1" s="1"/>
  <c r="J622" i="1" s="1"/>
  <c r="O622" i="1"/>
  <c r="G621" i="1"/>
  <c r="F621" i="1"/>
  <c r="S622" i="1"/>
  <c r="P622" i="1"/>
  <c r="Q622" i="1"/>
  <c r="R622" i="1"/>
  <c r="E621" i="1"/>
  <c r="H621" i="1"/>
  <c r="I621" i="1" s="1"/>
  <c r="J621" i="1" s="1"/>
  <c r="M621" i="1"/>
  <c r="N621" i="1" s="1"/>
  <c r="O621" i="1"/>
  <c r="G620" i="1"/>
  <c r="R621" i="1"/>
  <c r="Q621" i="1"/>
  <c r="P621" i="1"/>
  <c r="E620" i="1"/>
  <c r="F620" i="1"/>
  <c r="S621" i="1"/>
  <c r="O620" i="1"/>
  <c r="M620" i="1"/>
  <c r="N620" i="1" s="1"/>
  <c r="H620" i="1"/>
  <c r="I620" i="1" s="1"/>
  <c r="J620" i="1" s="1"/>
  <c r="R620" i="1"/>
  <c r="F619" i="1"/>
  <c r="S619" i="1"/>
  <c r="G619" i="1"/>
  <c r="P619" i="1"/>
  <c r="E619" i="1"/>
  <c r="P620" i="1"/>
  <c r="Q620" i="1"/>
  <c r="S620" i="1"/>
  <c r="R619" i="1"/>
  <c r="Q619" i="1"/>
  <c r="O619" i="1"/>
  <c r="H619" i="1"/>
  <c r="I619" i="1" s="1"/>
  <c r="J619" i="1" s="1"/>
  <c r="M619" i="1"/>
  <c r="N619" i="1" s="1"/>
  <c r="F618" i="1"/>
  <c r="G618" i="1"/>
  <c r="O618" i="1"/>
  <c r="H618" i="1"/>
  <c r="I618" i="1" s="1"/>
  <c r="J618" i="1" s="1"/>
  <c r="M618" i="1"/>
  <c r="N618" i="1" s="1"/>
  <c r="F617" i="1"/>
  <c r="G617" i="1"/>
  <c r="O617" i="1"/>
  <c r="H617" i="1"/>
  <c r="I617" i="1" s="1"/>
  <c r="J617" i="1" s="1"/>
  <c r="M617" i="1"/>
  <c r="N617" i="1" s="1"/>
  <c r="S617" i="1"/>
  <c r="G616" i="1"/>
  <c r="Q617" i="1"/>
  <c r="R617" i="1"/>
  <c r="F616" i="1"/>
  <c r="P617" i="1"/>
  <c r="H616" i="1"/>
  <c r="I616" i="1" s="1"/>
  <c r="J616" i="1" s="1"/>
  <c r="M616" i="1"/>
  <c r="N616" i="1" s="1"/>
  <c r="O616" i="1"/>
  <c r="S616" i="1"/>
  <c r="R616" i="1"/>
  <c r="F615" i="1"/>
  <c r="G615" i="1"/>
  <c r="Q616" i="1"/>
  <c r="P616" i="1"/>
  <c r="O615" i="1"/>
  <c r="M615" i="1"/>
  <c r="N615" i="1" s="1"/>
  <c r="H615" i="1"/>
  <c r="I615" i="1" s="1"/>
  <c r="J615" i="1" s="1"/>
  <c r="R615" i="1"/>
  <c r="S615" i="1"/>
  <c r="Q615" i="1"/>
  <c r="G614" i="1"/>
  <c r="F614" i="1"/>
  <c r="P615" i="1"/>
  <c r="M614" i="1"/>
  <c r="N614" i="1" s="1"/>
  <c r="H614" i="1"/>
  <c r="I614" i="1" s="1"/>
  <c r="J614" i="1" s="1"/>
  <c r="O614" i="1"/>
  <c r="R614" i="1"/>
  <c r="Q614" i="1"/>
  <c r="S614" i="1"/>
  <c r="F613" i="1"/>
  <c r="G613" i="1"/>
  <c r="P614" i="1"/>
  <c r="O613" i="1"/>
  <c r="H613" i="1"/>
  <c r="I613" i="1" s="1"/>
  <c r="J613" i="1" s="1"/>
  <c r="M613" i="1"/>
  <c r="N613" i="1" s="1"/>
  <c r="R613" i="1"/>
  <c r="F612" i="1"/>
  <c r="Q613" i="1"/>
  <c r="G612" i="1"/>
  <c r="P613" i="1"/>
  <c r="S613" i="1"/>
  <c r="O612" i="1"/>
  <c r="H612" i="1"/>
  <c r="I612" i="1" s="1"/>
  <c r="J612" i="1" s="1"/>
  <c r="M612" i="1"/>
  <c r="N612" i="1" s="1"/>
  <c r="G611" i="1"/>
  <c r="S612" i="1"/>
  <c r="Q612" i="1"/>
  <c r="R612" i="1"/>
  <c r="P612" i="1"/>
  <c r="F611" i="1"/>
  <c r="O611" i="1"/>
  <c r="H611" i="1"/>
  <c r="I611" i="1" s="1"/>
  <c r="J611" i="1" s="1"/>
  <c r="M611" i="1"/>
  <c r="N611" i="1" s="1"/>
  <c r="G610" i="1"/>
  <c r="P611" i="1"/>
  <c r="Q611" i="1"/>
  <c r="F610" i="1"/>
  <c r="S611" i="1"/>
  <c r="R611" i="1"/>
  <c r="H610" i="1"/>
  <c r="I610" i="1" s="1"/>
  <c r="J610" i="1" s="1"/>
  <c r="O610" i="1"/>
  <c r="M610" i="1"/>
  <c r="N610" i="1" s="1"/>
  <c r="P610" i="1"/>
  <c r="R610" i="1"/>
  <c r="F609" i="1"/>
  <c r="Q610" i="1"/>
  <c r="S610" i="1"/>
  <c r="G609" i="1"/>
  <c r="M609" i="1"/>
  <c r="N609" i="1" s="1"/>
  <c r="H609" i="1"/>
  <c r="I609" i="1" s="1"/>
  <c r="J609" i="1" s="1"/>
  <c r="O609" i="1"/>
  <c r="S609" i="1"/>
  <c r="F608" i="1"/>
  <c r="Q609" i="1"/>
  <c r="G608" i="1"/>
  <c r="R609" i="1"/>
  <c r="P609" i="1"/>
  <c r="O608" i="1"/>
  <c r="M608" i="1"/>
  <c r="N608" i="1" s="1"/>
  <c r="H608" i="1"/>
  <c r="I608" i="1" s="1"/>
  <c r="J608" i="1" s="1"/>
  <c r="Q608" i="1"/>
  <c r="P608" i="1"/>
  <c r="F607" i="1"/>
  <c r="S608" i="1"/>
  <c r="G607" i="1"/>
  <c r="R608" i="1"/>
  <c r="H607" i="1"/>
  <c r="I607" i="1" s="1"/>
  <c r="J607" i="1" s="1"/>
  <c r="O607" i="1"/>
  <c r="M607" i="1"/>
  <c r="N607" i="1" s="1"/>
  <c r="F606" i="1"/>
  <c r="G606" i="1"/>
  <c r="R607" i="1"/>
  <c r="S607" i="1"/>
  <c r="Q607" i="1"/>
  <c r="P607" i="1"/>
  <c r="H606" i="1"/>
  <c r="I606" i="1" s="1"/>
  <c r="J606" i="1" s="1"/>
  <c r="M606" i="1"/>
  <c r="N606" i="1" s="1"/>
  <c r="O606" i="1"/>
  <c r="S606" i="1"/>
  <c r="F605" i="1"/>
  <c r="P606" i="1"/>
  <c r="Q606" i="1"/>
  <c r="R606" i="1"/>
  <c r="G605" i="1"/>
  <c r="H605" i="1"/>
  <c r="I605" i="1" s="1"/>
  <c r="J605" i="1" s="1"/>
  <c r="M605" i="1"/>
  <c r="N605" i="1" s="1"/>
  <c r="O605" i="1"/>
  <c r="S605" i="1"/>
  <c r="F604" i="1"/>
  <c r="P605" i="1"/>
  <c r="G604" i="1"/>
  <c r="Q605" i="1"/>
  <c r="R605" i="1"/>
  <c r="M604" i="1"/>
  <c r="N604" i="1" s="1"/>
  <c r="H604" i="1"/>
  <c r="I604" i="1" s="1"/>
  <c r="J604" i="1" s="1"/>
  <c r="O604" i="1"/>
  <c r="Q604" i="1"/>
  <c r="F603" i="1"/>
  <c r="G603" i="1"/>
  <c r="P604" i="1"/>
  <c r="R604" i="1"/>
  <c r="S604" i="1"/>
  <c r="H603" i="1"/>
  <c r="I603" i="1" s="1"/>
  <c r="J603" i="1" s="1"/>
  <c r="M603" i="1"/>
  <c r="N603" i="1" s="1"/>
  <c r="O603" i="1"/>
  <c r="P603" i="1"/>
  <c r="Q603" i="1"/>
  <c r="R603" i="1"/>
  <c r="S603" i="1"/>
  <c r="G602" i="1"/>
  <c r="F602" i="1"/>
  <c r="H602" i="1"/>
  <c r="I602" i="1" s="1"/>
  <c r="J602" i="1" s="1"/>
  <c r="M602" i="1"/>
  <c r="N602" i="1" s="1"/>
  <c r="O602" i="1"/>
  <c r="F601" i="1"/>
  <c r="G601" i="1"/>
  <c r="R602" i="1"/>
  <c r="P602" i="1"/>
  <c r="Q602" i="1"/>
  <c r="S602" i="1"/>
  <c r="O601" i="1"/>
  <c r="M601" i="1"/>
  <c r="N601" i="1" s="1"/>
  <c r="H601" i="1"/>
  <c r="I601" i="1" s="1"/>
  <c r="J601" i="1" s="1"/>
  <c r="R601" i="1"/>
  <c r="G600" i="1"/>
  <c r="Q601" i="1"/>
  <c r="P601" i="1"/>
  <c r="S601" i="1"/>
  <c r="F600" i="1"/>
  <c r="O600" i="1"/>
  <c r="M600" i="1"/>
  <c r="N600" i="1" s="1"/>
  <c r="H600" i="1"/>
  <c r="I600" i="1" s="1"/>
  <c r="J600" i="1" s="1"/>
  <c r="F599" i="1"/>
  <c r="G599" i="1"/>
  <c r="P600" i="1"/>
  <c r="Q600" i="1"/>
  <c r="R600" i="1"/>
  <c r="S600" i="1"/>
  <c r="O599" i="1"/>
  <c r="H599" i="1"/>
  <c r="I599" i="1" s="1"/>
  <c r="J599" i="1" s="1"/>
  <c r="M599" i="1"/>
  <c r="N599" i="1" s="1"/>
  <c r="F598" i="1"/>
  <c r="P599" i="1"/>
  <c r="S599" i="1"/>
  <c r="R599" i="1"/>
  <c r="Q599" i="1"/>
  <c r="G598" i="1"/>
  <c r="O598" i="1"/>
  <c r="H598" i="1"/>
  <c r="I598" i="1" s="1"/>
  <c r="J598" i="1" s="1"/>
  <c r="M598" i="1"/>
  <c r="N598" i="1" s="1"/>
  <c r="Q598" i="1"/>
  <c r="P598" i="1"/>
  <c r="G597" i="1"/>
  <c r="F597" i="1"/>
  <c r="R598" i="1"/>
  <c r="S598" i="1"/>
  <c r="M597" i="1"/>
  <c r="N597" i="1" s="1"/>
  <c r="H597" i="1"/>
  <c r="I597" i="1" s="1"/>
  <c r="J597" i="1" s="1"/>
  <c r="O597" i="1"/>
  <c r="Q597" i="1"/>
  <c r="R597" i="1"/>
  <c r="S597" i="1"/>
  <c r="G596" i="1"/>
  <c r="F596" i="1"/>
  <c r="P597" i="1"/>
  <c r="M596" i="1"/>
  <c r="N596" i="1" s="1"/>
  <c r="H596" i="1"/>
  <c r="I596" i="1" s="1"/>
  <c r="J596" i="1" s="1"/>
  <c r="O596" i="1"/>
  <c r="S596" i="1"/>
  <c r="R596" i="1"/>
  <c r="Q596" i="1"/>
  <c r="G595" i="1"/>
  <c r="F595" i="1"/>
  <c r="P596" i="1"/>
  <c r="M595" i="1"/>
  <c r="N595" i="1" s="1"/>
  <c r="O595" i="1"/>
  <c r="H595" i="1"/>
  <c r="I595" i="1" s="1"/>
  <c r="J595" i="1" s="1"/>
  <c r="F594" i="1"/>
  <c r="P595" i="1"/>
  <c r="G594" i="1"/>
  <c r="Q595" i="1"/>
  <c r="S595" i="1"/>
  <c r="R595" i="1"/>
  <c r="M594" i="1"/>
  <c r="N594" i="1" s="1"/>
  <c r="O594" i="1"/>
  <c r="H594" i="1"/>
  <c r="I594" i="1" s="1"/>
  <c r="J594" i="1" s="1"/>
  <c r="P594" i="1"/>
  <c r="F593" i="1"/>
  <c r="R594" i="1"/>
  <c r="G593" i="1"/>
  <c r="Q594" i="1"/>
  <c r="S594" i="1"/>
  <c r="H593" i="1"/>
  <c r="I593" i="1" s="1"/>
  <c r="J593" i="1" s="1"/>
  <c r="M593" i="1"/>
  <c r="N593" i="1" s="1"/>
  <c r="O593" i="1"/>
  <c r="R593" i="1"/>
  <c r="Q593" i="1"/>
  <c r="P593" i="1"/>
  <c r="G592" i="1"/>
  <c r="F592" i="1"/>
  <c r="S593" i="1"/>
  <c r="O592" i="1"/>
  <c r="M592" i="1"/>
  <c r="N592" i="1" s="1"/>
  <c r="H592" i="1"/>
  <c r="I592" i="1" s="1"/>
  <c r="J592" i="1" s="1"/>
  <c r="G591" i="1"/>
  <c r="F591" i="1"/>
  <c r="Q592" i="1"/>
  <c r="P592" i="1"/>
  <c r="S592" i="1"/>
  <c r="R592" i="1"/>
  <c r="O591" i="1"/>
  <c r="M591" i="1"/>
  <c r="N591" i="1" s="1"/>
  <c r="H591" i="1"/>
  <c r="I591" i="1" s="1"/>
  <c r="J591" i="1" s="1"/>
  <c r="Q591" i="1"/>
  <c r="P591" i="1"/>
  <c r="S591" i="1"/>
  <c r="G590" i="1"/>
  <c r="F590" i="1"/>
  <c r="R591" i="1"/>
  <c r="O590" i="1"/>
  <c r="M590" i="1"/>
  <c r="N590" i="1" s="1"/>
  <c r="H590" i="1"/>
  <c r="I590" i="1" s="1"/>
  <c r="J590" i="1" s="1"/>
  <c r="E591" i="1"/>
  <c r="S590" i="1"/>
  <c r="R590" i="1"/>
  <c r="Q590" i="1"/>
  <c r="P590" i="1"/>
  <c r="E617" i="1"/>
  <c r="E590" i="1"/>
  <c r="E683" i="1"/>
  <c r="F589" i="1"/>
  <c r="E589" i="1"/>
  <c r="E684" i="1"/>
  <c r="E685" i="1"/>
  <c r="E767" i="1"/>
  <c r="E686" i="1"/>
  <c r="E687" i="1"/>
  <c r="E677" i="1"/>
  <c r="E688" i="1"/>
  <c r="E689" i="1"/>
  <c r="E690" i="1"/>
  <c r="E691" i="1"/>
  <c r="E692" i="1"/>
  <c r="E618" i="1"/>
  <c r="E761" i="1"/>
  <c r="E760" i="1"/>
  <c r="E745" i="1"/>
  <c r="E759" i="1"/>
  <c r="E744" i="1"/>
  <c r="E758" i="1"/>
  <c r="E743" i="1"/>
  <c r="E757" i="1"/>
  <c r="E742" i="1"/>
  <c r="E756" i="1"/>
  <c r="E755" i="1"/>
  <c r="E693" i="1"/>
  <c r="E754" i="1"/>
  <c r="E753" i="1"/>
  <c r="E752" i="1"/>
  <c r="E762" i="1"/>
  <c r="E751" i="1"/>
  <c r="E750" i="1"/>
  <c r="E749" i="1"/>
  <c r="E763" i="1"/>
  <c r="E698" i="1"/>
  <c r="E697" i="1"/>
  <c r="E696" i="1"/>
  <c r="E695" i="1"/>
  <c r="E764" i="1"/>
  <c r="E592" i="1"/>
  <c r="E765" i="1"/>
  <c r="E766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6" i="1"/>
  <c r="E607" i="1"/>
  <c r="E608" i="1"/>
  <c r="E609" i="1"/>
  <c r="E822" i="1"/>
  <c r="E823" i="1"/>
  <c r="E824" i="1"/>
  <c r="E825" i="1"/>
  <c r="E826" i="1"/>
  <c r="E827" i="1"/>
  <c r="E828" i="1"/>
  <c r="E829" i="1"/>
  <c r="E830" i="1"/>
  <c r="E831" i="1"/>
  <c r="E746" i="1"/>
  <c r="E694" i="1"/>
  <c r="E616" i="1"/>
  <c r="E605" i="1"/>
  <c r="E611" i="1"/>
  <c r="E612" i="1"/>
  <c r="E613" i="1"/>
  <c r="E614" i="1"/>
  <c r="E615" i="1"/>
  <c r="E747" i="1"/>
  <c r="E672" i="1"/>
  <c r="E748" i="1"/>
  <c r="E673" i="1"/>
  <c r="E674" i="1"/>
  <c r="E675" i="1"/>
  <c r="E676" i="1"/>
  <c r="E678" i="1"/>
  <c r="E679" i="1"/>
  <c r="E680" i="1"/>
  <c r="E681" i="1"/>
  <c r="E682" i="1"/>
  <c r="E610" i="1"/>
  <c r="M589" i="1"/>
  <c r="N589" i="1" s="1"/>
  <c r="H589" i="1"/>
  <c r="I589" i="1" s="1"/>
  <c r="J589" i="1" s="1"/>
  <c r="G588" i="1"/>
  <c r="E588" i="1"/>
  <c r="F588" i="1"/>
  <c r="M588" i="1"/>
  <c r="N588" i="1" s="1"/>
  <c r="H588" i="1"/>
  <c r="I588" i="1" s="1"/>
  <c r="J588" i="1" s="1"/>
  <c r="O588" i="1"/>
  <c r="S588" i="1"/>
  <c r="R588" i="1"/>
  <c r="Q588" i="1"/>
  <c r="P588" i="1"/>
  <c r="B342" i="1"/>
  <c r="E587" i="1"/>
  <c r="F587" i="1"/>
  <c r="G587" i="1"/>
  <c r="M587" i="1"/>
  <c r="N587" i="1" s="1"/>
  <c r="O587" i="1"/>
  <c r="H587" i="1"/>
  <c r="I587" i="1" s="1"/>
  <c r="J587" i="1" s="1"/>
  <c r="B341" i="1"/>
  <c r="S587" i="1"/>
  <c r="R587" i="1"/>
  <c r="Q587" i="1"/>
  <c r="G586" i="1"/>
  <c r="E586" i="1"/>
  <c r="P587" i="1"/>
  <c r="F586" i="1"/>
  <c r="M586" i="1"/>
  <c r="N586" i="1" s="1"/>
  <c r="O586" i="1"/>
  <c r="H586" i="1"/>
  <c r="I586" i="1" s="1"/>
  <c r="J586" i="1" s="1"/>
  <c r="B340" i="1"/>
  <c r="R586" i="1"/>
  <c r="Q586" i="1"/>
  <c r="P586" i="1"/>
  <c r="G585" i="1"/>
  <c r="F585" i="1"/>
  <c r="E585" i="1"/>
  <c r="S586" i="1"/>
  <c r="M585" i="1"/>
  <c r="N585" i="1" s="1"/>
  <c r="O585" i="1"/>
  <c r="H585" i="1"/>
  <c r="I585" i="1" s="1"/>
  <c r="J585" i="1" s="1"/>
  <c r="P585" i="1"/>
  <c r="R585" i="1"/>
  <c r="E584" i="1"/>
  <c r="S585" i="1"/>
  <c r="F584" i="1"/>
  <c r="G584" i="1"/>
  <c r="Q585" i="1"/>
  <c r="H584" i="1"/>
  <c r="I584" i="1" s="1"/>
  <c r="J584" i="1" s="1"/>
  <c r="M584" i="1"/>
  <c r="N584" i="1" s="1"/>
  <c r="O584" i="1"/>
  <c r="S584" i="1"/>
  <c r="G583" i="1"/>
  <c r="F583" i="1"/>
  <c r="E583" i="1"/>
  <c r="P584" i="1"/>
  <c r="Q584" i="1"/>
  <c r="R584" i="1"/>
  <c r="H583" i="1"/>
  <c r="I583" i="1" s="1"/>
  <c r="J583" i="1" s="1"/>
  <c r="O583" i="1"/>
  <c r="M583" i="1"/>
  <c r="N583" i="1" s="1"/>
  <c r="S583" i="1"/>
  <c r="R583" i="1"/>
  <c r="Q583" i="1"/>
  <c r="G582" i="1"/>
  <c r="F582" i="1"/>
  <c r="E582" i="1"/>
  <c r="P583" i="1"/>
  <c r="H582" i="1"/>
  <c r="I582" i="1" s="1"/>
  <c r="J582" i="1" s="1"/>
  <c r="O582" i="1"/>
  <c r="M582" i="1"/>
  <c r="N582" i="1" s="1"/>
  <c r="Q582" i="1"/>
  <c r="G581" i="1"/>
  <c r="S582" i="1"/>
  <c r="R582" i="1"/>
  <c r="P582" i="1"/>
  <c r="E581" i="1"/>
  <c r="F581" i="1"/>
  <c r="M581" i="1"/>
  <c r="N581" i="1" s="1"/>
  <c r="H581" i="1"/>
  <c r="I581" i="1" s="1"/>
  <c r="J581" i="1" s="1"/>
  <c r="O581" i="1"/>
  <c r="R581" i="1"/>
  <c r="Q581" i="1"/>
  <c r="G580" i="1"/>
  <c r="F580" i="1"/>
  <c r="E580" i="1"/>
  <c r="P581" i="1"/>
  <c r="S581" i="1"/>
  <c r="M580" i="1"/>
  <c r="N580" i="1" s="1"/>
  <c r="O580" i="1"/>
  <c r="H580" i="1"/>
  <c r="I580" i="1" s="1"/>
  <c r="J580" i="1" s="1"/>
  <c r="R580" i="1"/>
  <c r="G579" i="1"/>
  <c r="F579" i="1"/>
  <c r="E579" i="1"/>
  <c r="S580" i="1"/>
  <c r="P580" i="1"/>
  <c r="Q580" i="1"/>
  <c r="H579" i="1"/>
  <c r="I579" i="1" s="1"/>
  <c r="J579" i="1" s="1"/>
  <c r="M579" i="1"/>
  <c r="N579" i="1" s="1"/>
  <c r="O579" i="1"/>
  <c r="P579" i="1"/>
  <c r="G578" i="1"/>
  <c r="F578" i="1"/>
  <c r="E578" i="1"/>
  <c r="S579" i="1"/>
  <c r="R579" i="1"/>
  <c r="Q579" i="1"/>
  <c r="O578" i="1"/>
  <c r="H578" i="1"/>
  <c r="I578" i="1" s="1"/>
  <c r="J578" i="1" s="1"/>
  <c r="M578" i="1"/>
  <c r="N578" i="1" s="1"/>
  <c r="Q578" i="1"/>
  <c r="G577" i="1"/>
  <c r="F577" i="1"/>
  <c r="E577" i="1"/>
  <c r="P578" i="1"/>
  <c r="S578" i="1"/>
  <c r="R578" i="1"/>
  <c r="O577" i="1"/>
  <c r="M577" i="1"/>
  <c r="N577" i="1" s="1"/>
  <c r="H577" i="1"/>
  <c r="I577" i="1" s="1"/>
  <c r="J577" i="1" s="1"/>
  <c r="Q577" i="1"/>
  <c r="P577" i="1"/>
  <c r="G576" i="1"/>
  <c r="F576" i="1"/>
  <c r="E576" i="1"/>
  <c r="S577" i="1"/>
  <c r="R577" i="1"/>
  <c r="H576" i="1"/>
  <c r="I576" i="1" s="1"/>
  <c r="J576" i="1" s="1"/>
  <c r="M576" i="1"/>
  <c r="N576" i="1" s="1"/>
  <c r="O576" i="1"/>
  <c r="S576" i="1"/>
  <c r="F575" i="1"/>
  <c r="P576" i="1"/>
  <c r="G575" i="1"/>
  <c r="R576" i="1"/>
  <c r="E575" i="1"/>
  <c r="Q576" i="1"/>
  <c r="H575" i="1"/>
  <c r="I575" i="1" s="1"/>
  <c r="J575" i="1" s="1"/>
  <c r="O575" i="1"/>
  <c r="M575" i="1"/>
  <c r="N575" i="1" s="1"/>
  <c r="P575" i="1"/>
  <c r="Q575" i="1"/>
  <c r="E574" i="1"/>
  <c r="F574" i="1"/>
  <c r="G574" i="1"/>
  <c r="R575" i="1"/>
  <c r="S575" i="1"/>
  <c r="H574" i="1"/>
  <c r="I574" i="1" s="1"/>
  <c r="J574" i="1" s="1"/>
  <c r="M574" i="1"/>
  <c r="N574" i="1" s="1"/>
  <c r="O574" i="1"/>
  <c r="P574" i="1"/>
  <c r="Q574" i="1"/>
  <c r="R574" i="1"/>
  <c r="S574" i="1"/>
  <c r="G573" i="1"/>
  <c r="F573" i="1"/>
  <c r="E573" i="1"/>
  <c r="O573" i="1"/>
  <c r="M573" i="1"/>
  <c r="N573" i="1" s="1"/>
  <c r="H573" i="1"/>
  <c r="I573" i="1" s="1"/>
  <c r="J573" i="1" s="1"/>
  <c r="Q573" i="1"/>
  <c r="R573" i="1"/>
  <c r="S573" i="1"/>
  <c r="E572" i="1"/>
  <c r="G572" i="1"/>
  <c r="F572" i="1"/>
  <c r="P573" i="1"/>
  <c r="O572" i="1"/>
  <c r="H572" i="1"/>
  <c r="I572" i="1" s="1"/>
  <c r="J572" i="1" s="1"/>
  <c r="M572" i="1"/>
  <c r="N572" i="1" s="1"/>
  <c r="R572" i="1"/>
  <c r="Q572" i="1"/>
  <c r="P572" i="1"/>
  <c r="S572" i="1"/>
  <c r="E571" i="1"/>
  <c r="F571" i="1"/>
  <c r="G571" i="1"/>
  <c r="O571" i="1"/>
  <c r="H571" i="1"/>
  <c r="I571" i="1" s="1"/>
  <c r="J571" i="1" s="1"/>
  <c r="M571" i="1"/>
  <c r="N571" i="1" s="1"/>
  <c r="Q571" i="1"/>
  <c r="S571" i="1"/>
  <c r="P571" i="1"/>
  <c r="E570" i="1"/>
  <c r="F570" i="1"/>
  <c r="G570" i="1"/>
  <c r="R571" i="1"/>
  <c r="H570" i="1"/>
  <c r="I570" i="1" s="1"/>
  <c r="J570" i="1" s="1"/>
  <c r="M570" i="1"/>
  <c r="N570" i="1" s="1"/>
  <c r="O570" i="1"/>
  <c r="G569" i="1"/>
  <c r="S570" i="1"/>
  <c r="P570" i="1"/>
  <c r="Q570" i="1"/>
  <c r="E569" i="1"/>
  <c r="F569" i="1"/>
  <c r="R570" i="1"/>
  <c r="M569" i="1"/>
  <c r="N569" i="1" s="1"/>
  <c r="H569" i="1"/>
  <c r="I569" i="1" s="1"/>
  <c r="J569" i="1" s="1"/>
  <c r="O569" i="1"/>
  <c r="R569" i="1"/>
  <c r="S569" i="1"/>
  <c r="F568" i="1"/>
  <c r="G568" i="1"/>
  <c r="E568" i="1"/>
  <c r="P569" i="1"/>
  <c r="Q569" i="1"/>
  <c r="M568" i="1"/>
  <c r="N568" i="1" s="1"/>
  <c r="O568" i="1"/>
  <c r="H568" i="1"/>
  <c r="I568" i="1" s="1"/>
  <c r="J568" i="1" s="1"/>
  <c r="F567" i="1"/>
  <c r="E567" i="1"/>
  <c r="G567" i="1"/>
  <c r="P568" i="1"/>
  <c r="Q568" i="1"/>
  <c r="R568" i="1"/>
  <c r="S568" i="1"/>
  <c r="M567" i="1"/>
  <c r="N567" i="1" s="1"/>
  <c r="O567" i="1"/>
  <c r="H567" i="1"/>
  <c r="I567" i="1" s="1"/>
  <c r="J567" i="1" s="1"/>
  <c r="G566" i="1"/>
  <c r="F566" i="1"/>
  <c r="E566" i="1"/>
  <c r="S567" i="1"/>
  <c r="R567" i="1"/>
  <c r="Q567" i="1"/>
  <c r="P567" i="1"/>
  <c r="M566" i="1"/>
  <c r="N566" i="1" s="1"/>
  <c r="H566" i="1"/>
  <c r="I566" i="1" s="1"/>
  <c r="J566" i="1" s="1"/>
  <c r="O566" i="1"/>
  <c r="R566" i="1"/>
  <c r="E565" i="1"/>
  <c r="F565" i="1"/>
  <c r="S566" i="1"/>
  <c r="G565" i="1"/>
  <c r="Q566" i="1"/>
  <c r="P566" i="1"/>
  <c r="O565" i="1"/>
  <c r="H565" i="1"/>
  <c r="I565" i="1" s="1"/>
  <c r="J565" i="1" s="1"/>
  <c r="M565" i="1"/>
  <c r="N565" i="1" s="1"/>
  <c r="F564" i="1"/>
  <c r="G564" i="1"/>
  <c r="E564" i="1"/>
  <c r="S565" i="1"/>
  <c r="R565" i="1"/>
  <c r="Q565" i="1"/>
  <c r="P565" i="1"/>
  <c r="M564" i="1"/>
  <c r="N564" i="1" s="1"/>
  <c r="O564" i="1"/>
  <c r="H564" i="1"/>
  <c r="I564" i="1" s="1"/>
  <c r="J564" i="1" s="1"/>
  <c r="G563" i="1"/>
  <c r="Q564" i="1"/>
  <c r="E563" i="1"/>
  <c r="F563" i="1"/>
  <c r="P564" i="1"/>
  <c r="R564" i="1"/>
  <c r="S564" i="1"/>
  <c r="H563" i="1"/>
  <c r="I563" i="1" s="1"/>
  <c r="J563" i="1" s="1"/>
  <c r="O563" i="1"/>
  <c r="M563" i="1"/>
  <c r="N563" i="1" s="1"/>
  <c r="R563" i="1"/>
  <c r="S563" i="1"/>
  <c r="P563" i="1"/>
  <c r="Q563" i="1"/>
  <c r="G562" i="1"/>
  <c r="E562" i="1"/>
  <c r="F562" i="1"/>
  <c r="M562" i="1"/>
  <c r="N562" i="1" s="1"/>
  <c r="O562" i="1"/>
  <c r="H562" i="1"/>
  <c r="I562" i="1" s="1"/>
  <c r="J562" i="1" s="1"/>
  <c r="P562" i="1"/>
  <c r="R562" i="1"/>
  <c r="S562" i="1"/>
  <c r="Q562" i="1"/>
  <c r="E561" i="1"/>
  <c r="F561" i="1"/>
  <c r="G561" i="1"/>
  <c r="H561" i="1"/>
  <c r="I561" i="1" s="1"/>
  <c r="J561" i="1" s="1"/>
  <c r="M561" i="1"/>
  <c r="N561" i="1" s="1"/>
  <c r="O561" i="1"/>
  <c r="F560" i="1"/>
  <c r="G560" i="1"/>
  <c r="Q561" i="1"/>
  <c r="P561" i="1"/>
  <c r="E560" i="1"/>
  <c r="S561" i="1"/>
  <c r="R561" i="1"/>
  <c r="O560" i="1"/>
  <c r="H560" i="1"/>
  <c r="I560" i="1" s="1"/>
  <c r="J560" i="1" s="1"/>
  <c r="M560" i="1"/>
  <c r="N560" i="1" s="1"/>
  <c r="Q560" i="1"/>
  <c r="R560" i="1"/>
  <c r="S560" i="1"/>
  <c r="P560" i="1"/>
  <c r="E559" i="1"/>
  <c r="F559" i="1"/>
  <c r="G559" i="1"/>
  <c r="M559" i="1"/>
  <c r="N559" i="1" s="1"/>
  <c r="H559" i="1"/>
  <c r="I559" i="1" s="1"/>
  <c r="J559" i="1" s="1"/>
  <c r="O559" i="1"/>
  <c r="F558" i="1"/>
  <c r="S559" i="1"/>
  <c r="R559" i="1"/>
  <c r="P559" i="1"/>
  <c r="G558" i="1"/>
  <c r="Q559" i="1"/>
  <c r="E558" i="1"/>
  <c r="M558" i="1"/>
  <c r="N558" i="1" s="1"/>
  <c r="H558" i="1"/>
  <c r="I558" i="1" s="1"/>
  <c r="J558" i="1" s="1"/>
  <c r="O558" i="1"/>
  <c r="P558" i="1"/>
  <c r="G557" i="1"/>
  <c r="R558" i="1"/>
  <c r="S558" i="1"/>
  <c r="Q558" i="1"/>
  <c r="F557" i="1"/>
  <c r="E557" i="1"/>
  <c r="H557" i="1"/>
  <c r="I557" i="1" s="1"/>
  <c r="J557" i="1" s="1"/>
  <c r="M557" i="1"/>
  <c r="N557" i="1" s="1"/>
  <c r="O557" i="1"/>
  <c r="P557" i="1"/>
  <c r="Q557" i="1"/>
  <c r="F556" i="1"/>
  <c r="E556" i="1"/>
  <c r="S557" i="1"/>
  <c r="G556" i="1"/>
  <c r="R557" i="1"/>
  <c r="O556" i="1"/>
  <c r="M556" i="1"/>
  <c r="N556" i="1" s="1"/>
  <c r="H556" i="1"/>
  <c r="I556" i="1" s="1"/>
  <c r="J556" i="1" s="1"/>
  <c r="P556" i="1"/>
  <c r="E555" i="1"/>
  <c r="F555" i="1"/>
  <c r="G555" i="1"/>
  <c r="Q556" i="1"/>
  <c r="R556" i="1"/>
  <c r="S556" i="1"/>
  <c r="H555" i="1"/>
  <c r="I555" i="1" s="1"/>
  <c r="J555" i="1" s="1"/>
  <c r="M555" i="1"/>
  <c r="N555" i="1" s="1"/>
  <c r="O555" i="1"/>
  <c r="Q555" i="1"/>
  <c r="S555" i="1"/>
  <c r="R555" i="1"/>
  <c r="P555" i="1"/>
  <c r="E554" i="1"/>
  <c r="G554" i="1"/>
  <c r="F554" i="1"/>
  <c r="M554" i="1"/>
  <c r="N554" i="1" s="1"/>
  <c r="O554" i="1"/>
  <c r="H554" i="1"/>
  <c r="I554" i="1" s="1"/>
  <c r="J554" i="1" s="1"/>
  <c r="F553" i="1"/>
  <c r="G553" i="1"/>
  <c r="P554" i="1"/>
  <c r="S554" i="1"/>
  <c r="R554" i="1"/>
  <c r="Q554" i="1"/>
  <c r="E553" i="1"/>
  <c r="O553" i="1"/>
  <c r="M553" i="1"/>
  <c r="N553" i="1" s="1"/>
  <c r="H553" i="1"/>
  <c r="I553" i="1" s="1"/>
  <c r="J553" i="1" s="1"/>
  <c r="R553" i="1"/>
  <c r="F552" i="1"/>
  <c r="S553" i="1"/>
  <c r="Q553" i="1"/>
  <c r="E552" i="1"/>
  <c r="G552" i="1"/>
  <c r="P553" i="1"/>
  <c r="O552" i="1"/>
  <c r="M552" i="1"/>
  <c r="N552" i="1" s="1"/>
  <c r="H552" i="1"/>
  <c r="I552" i="1" s="1"/>
  <c r="J552" i="1" s="1"/>
  <c r="F551" i="1"/>
  <c r="G551" i="1"/>
  <c r="P552" i="1"/>
  <c r="R552" i="1"/>
  <c r="S552" i="1"/>
  <c r="Q552" i="1"/>
  <c r="E551" i="1"/>
  <c r="O551" i="1"/>
  <c r="H551" i="1"/>
  <c r="I551" i="1" s="1"/>
  <c r="J551" i="1" s="1"/>
  <c r="M551" i="1"/>
  <c r="N551" i="1" s="1"/>
  <c r="G550" i="1"/>
  <c r="E550" i="1"/>
  <c r="F550" i="1"/>
  <c r="P551" i="1"/>
  <c r="Q551" i="1"/>
  <c r="R551" i="1"/>
  <c r="S551" i="1"/>
  <c r="O550" i="1"/>
  <c r="H550" i="1"/>
  <c r="I550" i="1" s="1"/>
  <c r="J550" i="1" s="1"/>
  <c r="M550" i="1"/>
  <c r="N550" i="1" s="1"/>
  <c r="E549" i="1"/>
  <c r="P550" i="1"/>
  <c r="F549" i="1"/>
  <c r="S550" i="1"/>
  <c r="R550" i="1"/>
  <c r="G549" i="1"/>
  <c r="Q550" i="1"/>
  <c r="H549" i="1"/>
  <c r="I549" i="1" s="1"/>
  <c r="J549" i="1" s="1"/>
  <c r="M549" i="1"/>
  <c r="N549" i="1" s="1"/>
  <c r="O549" i="1"/>
  <c r="P549" i="1"/>
  <c r="R549" i="1"/>
  <c r="S549" i="1"/>
  <c r="Q549" i="1"/>
  <c r="G548" i="1"/>
  <c r="F548" i="1"/>
  <c r="E548" i="1"/>
  <c r="H548" i="1"/>
  <c r="I548" i="1" s="1"/>
  <c r="J548" i="1" s="1"/>
  <c r="O548" i="1"/>
  <c r="M548" i="1"/>
  <c r="N548" i="1" s="1"/>
  <c r="E547" i="1"/>
  <c r="S548" i="1"/>
  <c r="R548" i="1"/>
  <c r="Q548" i="1"/>
  <c r="P548" i="1"/>
  <c r="F547" i="1"/>
  <c r="G547" i="1"/>
  <c r="M547" i="1"/>
  <c r="N547" i="1" s="1"/>
  <c r="H547" i="1"/>
  <c r="I547" i="1" s="1"/>
  <c r="J547" i="1" s="1"/>
  <c r="O547" i="1"/>
  <c r="G546" i="1"/>
  <c r="F546" i="1"/>
  <c r="E546" i="1"/>
  <c r="Q547" i="1"/>
  <c r="S547" i="1"/>
  <c r="P547" i="1"/>
  <c r="R547" i="1"/>
  <c r="O546" i="1"/>
  <c r="M546" i="1"/>
  <c r="N546" i="1" s="1"/>
  <c r="H546" i="1"/>
  <c r="I546" i="1" s="1"/>
  <c r="J546" i="1" s="1"/>
  <c r="F545" i="1"/>
  <c r="Q546" i="1"/>
  <c r="G545" i="1"/>
  <c r="E545" i="1"/>
  <c r="S546" i="1"/>
  <c r="R546" i="1"/>
  <c r="P546" i="1"/>
  <c r="H545" i="1"/>
  <c r="I545" i="1" s="1"/>
  <c r="J545" i="1" s="1"/>
  <c r="O545" i="1"/>
  <c r="M545" i="1"/>
  <c r="N545" i="1" s="1"/>
  <c r="E544" i="1"/>
  <c r="G544" i="1"/>
  <c r="P545" i="1"/>
  <c r="Q545" i="1"/>
  <c r="R545" i="1"/>
  <c r="S545" i="1"/>
  <c r="F544" i="1"/>
  <c r="O544" i="1"/>
  <c r="M544" i="1"/>
  <c r="N544" i="1" s="1"/>
  <c r="H544" i="1"/>
  <c r="I544" i="1" s="1"/>
  <c r="J544" i="1" s="1"/>
  <c r="E543" i="1"/>
  <c r="Q544" i="1"/>
  <c r="P544" i="1"/>
  <c r="G543" i="1"/>
  <c r="S544" i="1"/>
  <c r="R544" i="1"/>
  <c r="F543" i="1"/>
  <c r="M543" i="1"/>
  <c r="N543" i="1" s="1"/>
  <c r="H543" i="1"/>
  <c r="I543" i="1" s="1"/>
  <c r="J543" i="1" s="1"/>
  <c r="O543" i="1"/>
  <c r="F542" i="1"/>
  <c r="E542" i="1"/>
  <c r="S543" i="1"/>
  <c r="Q543" i="1"/>
  <c r="P543" i="1"/>
  <c r="R543" i="1"/>
  <c r="G542" i="1"/>
  <c r="O542" i="1"/>
  <c r="M542" i="1"/>
  <c r="N542" i="1" s="1"/>
  <c r="H542" i="1"/>
  <c r="I542" i="1" s="1"/>
  <c r="J542" i="1" s="1"/>
  <c r="E541" i="1"/>
  <c r="G541" i="1"/>
  <c r="F541" i="1"/>
  <c r="P542" i="1"/>
  <c r="Q542" i="1"/>
  <c r="R542" i="1"/>
  <c r="S542" i="1"/>
  <c r="H541" i="1"/>
  <c r="I541" i="1" s="1"/>
  <c r="J541" i="1" s="1"/>
  <c r="M541" i="1"/>
  <c r="N541" i="1" s="1"/>
  <c r="O541" i="1"/>
  <c r="E540" i="1"/>
  <c r="S541" i="1"/>
  <c r="R541" i="1"/>
  <c r="Q541" i="1"/>
  <c r="F540" i="1"/>
  <c r="P541" i="1"/>
  <c r="G540" i="1"/>
  <c r="H540" i="1"/>
  <c r="I540" i="1" s="1"/>
  <c r="J540" i="1" s="1"/>
  <c r="M540" i="1"/>
  <c r="N540" i="1" s="1"/>
  <c r="O540" i="1"/>
  <c r="S540" i="1"/>
  <c r="R540" i="1"/>
  <c r="P540" i="1"/>
  <c r="E539" i="1"/>
  <c r="Q540" i="1"/>
  <c r="G539" i="1"/>
  <c r="F539" i="1"/>
  <c r="H539" i="1"/>
  <c r="I539" i="1" s="1"/>
  <c r="J539" i="1" s="1"/>
  <c r="M539" i="1"/>
  <c r="N539" i="1" s="1"/>
  <c r="O539" i="1"/>
  <c r="R539" i="1"/>
  <c r="P539" i="1"/>
  <c r="E538" i="1"/>
  <c r="G538" i="1"/>
  <c r="Q539" i="1"/>
  <c r="S539" i="1"/>
  <c r="F538" i="1"/>
  <c r="H538" i="1"/>
  <c r="I538" i="1" s="1"/>
  <c r="J538" i="1" s="1"/>
  <c r="O538" i="1"/>
  <c r="M538" i="1"/>
  <c r="N538" i="1" s="1"/>
  <c r="G537" i="1"/>
  <c r="E537" i="1"/>
  <c r="P538" i="1"/>
  <c r="R538" i="1"/>
  <c r="Q538" i="1"/>
  <c r="S538" i="1"/>
  <c r="F537" i="1"/>
  <c r="O537" i="1"/>
  <c r="H537" i="1"/>
  <c r="I537" i="1" s="1"/>
  <c r="J537" i="1" s="1"/>
  <c r="M537" i="1"/>
  <c r="N537" i="1" s="1"/>
  <c r="P537" i="1"/>
  <c r="S537" i="1"/>
  <c r="Q537" i="1"/>
  <c r="R537" i="1"/>
  <c r="G536" i="1"/>
  <c r="E536" i="1"/>
  <c r="F536" i="1"/>
  <c r="O536" i="1"/>
  <c r="H536" i="1"/>
  <c r="I536" i="1" s="1"/>
  <c r="J536" i="1" s="1"/>
  <c r="M536" i="1"/>
  <c r="N536" i="1" s="1"/>
  <c r="F535" i="1"/>
  <c r="Q536" i="1"/>
  <c r="E535" i="1"/>
  <c r="G535" i="1"/>
  <c r="S536" i="1"/>
  <c r="P536" i="1"/>
  <c r="R536" i="1"/>
  <c r="M535" i="1"/>
  <c r="N535" i="1" s="1"/>
  <c r="O535" i="1"/>
  <c r="H535" i="1"/>
  <c r="I535" i="1" s="1"/>
  <c r="J535" i="1" s="1"/>
  <c r="R535" i="1"/>
  <c r="S535" i="1"/>
  <c r="P535" i="1"/>
  <c r="G534" i="1"/>
  <c r="Q535" i="1"/>
  <c r="F534" i="1"/>
  <c r="E534" i="1"/>
  <c r="H534" i="1"/>
  <c r="I534" i="1" s="1"/>
  <c r="J534" i="1" s="1"/>
  <c r="O534" i="1"/>
  <c r="M534" i="1"/>
  <c r="N534" i="1" s="1"/>
  <c r="S534" i="1"/>
  <c r="Q534" i="1"/>
  <c r="R534" i="1"/>
  <c r="G533" i="1"/>
  <c r="E533" i="1"/>
  <c r="F533" i="1"/>
  <c r="P534" i="1"/>
  <c r="H533" i="1"/>
  <c r="I533" i="1" s="1"/>
  <c r="J533" i="1" s="1"/>
  <c r="O533" i="1"/>
  <c r="M533" i="1"/>
  <c r="N533" i="1" s="1"/>
  <c r="F532" i="1"/>
  <c r="S533" i="1"/>
  <c r="P533" i="1"/>
  <c r="E532" i="1"/>
  <c r="G532" i="1"/>
  <c r="R533" i="1"/>
  <c r="Q533" i="1"/>
  <c r="O532" i="1"/>
  <c r="H532" i="1"/>
  <c r="I532" i="1" s="1"/>
  <c r="J532" i="1" s="1"/>
  <c r="M532" i="1"/>
  <c r="N532" i="1" s="1"/>
  <c r="Q532" i="1"/>
  <c r="R532" i="1"/>
  <c r="P532" i="1"/>
  <c r="F531" i="1"/>
  <c r="S532" i="1"/>
  <c r="G531" i="1"/>
  <c r="E531" i="1"/>
  <c r="M531" i="1"/>
  <c r="N531" i="1" s="1"/>
  <c r="H531" i="1"/>
  <c r="I531" i="1" s="1"/>
  <c r="J531" i="1" s="1"/>
  <c r="O531" i="1"/>
  <c r="R531" i="1"/>
  <c r="F530" i="1"/>
  <c r="E530" i="1"/>
  <c r="Q531" i="1"/>
  <c r="P531" i="1"/>
  <c r="S531" i="1"/>
  <c r="G530" i="1"/>
  <c r="H530" i="1"/>
  <c r="I530" i="1" s="1"/>
  <c r="J530" i="1" s="1"/>
  <c r="O530" i="1"/>
  <c r="M530" i="1"/>
  <c r="N530" i="1" s="1"/>
  <c r="G529" i="1"/>
  <c r="P530" i="1"/>
  <c r="R530" i="1"/>
  <c r="Q530" i="1"/>
  <c r="S530" i="1"/>
  <c r="F529" i="1"/>
  <c r="E529" i="1"/>
  <c r="H529" i="1"/>
  <c r="I529" i="1" s="1"/>
  <c r="J529" i="1" s="1"/>
  <c r="M529" i="1"/>
  <c r="N529" i="1" s="1"/>
  <c r="O529" i="1"/>
  <c r="G528" i="1"/>
  <c r="S529" i="1"/>
  <c r="F528" i="1"/>
  <c r="P529" i="1"/>
  <c r="Q529" i="1"/>
  <c r="R529" i="1"/>
  <c r="E528" i="1"/>
  <c r="O528" i="1"/>
  <c r="H528" i="1"/>
  <c r="I528" i="1" s="1"/>
  <c r="J528" i="1" s="1"/>
  <c r="M528" i="1"/>
  <c r="N528" i="1" s="1"/>
  <c r="R528" i="1"/>
  <c r="P528" i="1"/>
  <c r="E527" i="1"/>
  <c r="S528" i="1"/>
  <c r="G527" i="1"/>
  <c r="F527" i="1"/>
  <c r="Q528" i="1"/>
  <c r="M527" i="1"/>
  <c r="N527" i="1" s="1"/>
  <c r="H527" i="1"/>
  <c r="I527" i="1" s="1"/>
  <c r="J527" i="1" s="1"/>
  <c r="O527" i="1"/>
  <c r="F526" i="1"/>
  <c r="Q527" i="1"/>
  <c r="R527" i="1"/>
  <c r="G526" i="1"/>
  <c r="S527" i="1"/>
  <c r="E526" i="1"/>
  <c r="P527" i="1"/>
  <c r="H526" i="1"/>
  <c r="I526" i="1" s="1"/>
  <c r="J526" i="1" s="1"/>
  <c r="M526" i="1"/>
  <c r="N526" i="1" s="1"/>
  <c r="O526" i="1"/>
  <c r="R526" i="1"/>
  <c r="E525" i="1"/>
  <c r="Q526" i="1"/>
  <c r="F525" i="1"/>
  <c r="S526" i="1"/>
  <c r="P526" i="1"/>
  <c r="G525" i="1"/>
  <c r="H525" i="1"/>
  <c r="I525" i="1" s="1"/>
  <c r="J525" i="1" s="1"/>
  <c r="O525" i="1"/>
  <c r="M525" i="1"/>
  <c r="N525" i="1" s="1"/>
  <c r="S525" i="1"/>
  <c r="G524" i="1"/>
  <c r="F524" i="1"/>
  <c r="Q525" i="1"/>
  <c r="R525" i="1"/>
  <c r="E524" i="1"/>
  <c r="P525" i="1"/>
  <c r="O524" i="1"/>
  <c r="H524" i="1"/>
  <c r="I524" i="1" s="1"/>
  <c r="J524" i="1" s="1"/>
  <c r="M524" i="1"/>
  <c r="N524" i="1" s="1"/>
  <c r="Q524" i="1"/>
  <c r="R524" i="1"/>
  <c r="G523" i="1"/>
  <c r="F523" i="1"/>
  <c r="P524" i="1"/>
  <c r="E523" i="1"/>
  <c r="S524" i="1"/>
  <c r="M523" i="1"/>
  <c r="N523" i="1" s="1"/>
  <c r="O523" i="1"/>
  <c r="H523" i="1"/>
  <c r="I523" i="1" s="1"/>
  <c r="J523" i="1" s="1"/>
  <c r="P523" i="1"/>
  <c r="F522" i="1"/>
  <c r="R523" i="1"/>
  <c r="Q523" i="1"/>
  <c r="S523" i="1"/>
  <c r="G522" i="1"/>
  <c r="E522" i="1"/>
  <c r="M522" i="1"/>
  <c r="N522" i="1" s="1"/>
  <c r="H522" i="1"/>
  <c r="I522" i="1" s="1"/>
  <c r="J522" i="1" s="1"/>
  <c r="O522" i="1"/>
  <c r="G521" i="1"/>
  <c r="P522" i="1"/>
  <c r="R522" i="1"/>
  <c r="Q522" i="1"/>
  <c r="F521" i="1"/>
  <c r="S522" i="1"/>
  <c r="E521" i="1"/>
  <c r="H521" i="1"/>
  <c r="I521" i="1" s="1"/>
  <c r="J521" i="1" s="1"/>
  <c r="O521" i="1"/>
  <c r="M521" i="1"/>
  <c r="N521" i="1" s="1"/>
  <c r="S521" i="1"/>
  <c r="F520" i="1"/>
  <c r="Q521" i="1"/>
  <c r="E520" i="1"/>
  <c r="P521" i="1"/>
  <c r="R521" i="1"/>
  <c r="G520" i="1"/>
  <c r="M520" i="1"/>
  <c r="N520" i="1" s="1"/>
  <c r="H520" i="1"/>
  <c r="I520" i="1" s="1"/>
  <c r="J520" i="1" s="1"/>
  <c r="O520" i="1"/>
  <c r="P520" i="1"/>
  <c r="F519" i="1"/>
  <c r="G519" i="1"/>
  <c r="R520" i="1"/>
  <c r="E519" i="1"/>
  <c r="Q520" i="1"/>
  <c r="S520" i="1"/>
  <c r="O519" i="1"/>
  <c r="H519" i="1"/>
  <c r="I519" i="1" s="1"/>
  <c r="J519" i="1" s="1"/>
  <c r="M519" i="1"/>
  <c r="N519" i="1" s="1"/>
  <c r="E518" i="1"/>
  <c r="S519" i="1"/>
  <c r="G518" i="1"/>
  <c r="P519" i="1"/>
  <c r="F518" i="1"/>
  <c r="Q519" i="1"/>
  <c r="R519" i="1"/>
  <c r="H518" i="1"/>
  <c r="I518" i="1" s="1"/>
  <c r="J518" i="1" s="1"/>
  <c r="O518" i="1"/>
  <c r="M518" i="1"/>
  <c r="N518" i="1" s="1"/>
  <c r="S518" i="1"/>
  <c r="R518" i="1"/>
  <c r="P518" i="1"/>
  <c r="Q518" i="1"/>
  <c r="E517" i="1"/>
  <c r="G517" i="1"/>
  <c r="F517" i="1"/>
  <c r="H517" i="1"/>
  <c r="I517" i="1" s="1"/>
  <c r="J517" i="1" s="1"/>
  <c r="O517" i="1"/>
  <c r="M517" i="1"/>
  <c r="N517" i="1" s="1"/>
  <c r="F516" i="1"/>
  <c r="S517" i="1"/>
  <c r="G516" i="1"/>
  <c r="R517" i="1"/>
  <c r="P517" i="1"/>
  <c r="E516" i="1"/>
  <c r="Q517" i="1"/>
  <c r="H516" i="1"/>
  <c r="I516" i="1" s="1"/>
  <c r="J516" i="1" s="1"/>
  <c r="O516" i="1"/>
  <c r="M516" i="1"/>
  <c r="N516" i="1" s="1"/>
  <c r="R516" i="1"/>
  <c r="P516" i="1"/>
  <c r="E515" i="1"/>
  <c r="Q516" i="1"/>
  <c r="S516" i="1"/>
  <c r="G515" i="1"/>
  <c r="F515" i="1"/>
  <c r="O515" i="1"/>
  <c r="H515" i="1"/>
  <c r="I515" i="1" s="1"/>
  <c r="J515" i="1" s="1"/>
  <c r="M515" i="1"/>
  <c r="N515" i="1" s="1"/>
  <c r="P515" i="1"/>
  <c r="S515" i="1"/>
  <c r="Q515" i="1"/>
  <c r="R515" i="1"/>
  <c r="F514" i="1"/>
  <c r="E514" i="1"/>
  <c r="G514" i="1"/>
  <c r="H514" i="1"/>
  <c r="I514" i="1" s="1"/>
  <c r="J514" i="1" s="1"/>
  <c r="O514" i="1"/>
  <c r="M514" i="1"/>
  <c r="N514" i="1" s="1"/>
  <c r="R514" i="1"/>
  <c r="F513" i="1"/>
  <c r="G513" i="1"/>
  <c r="Q514" i="1"/>
  <c r="E513" i="1"/>
  <c r="P514" i="1"/>
  <c r="S514" i="1"/>
  <c r="H513" i="1"/>
  <c r="I513" i="1" s="1"/>
  <c r="J513" i="1" s="1"/>
  <c r="O513" i="1"/>
  <c r="M513" i="1"/>
  <c r="N513" i="1" s="1"/>
  <c r="S513" i="1"/>
  <c r="Q513" i="1"/>
  <c r="G512" i="1"/>
  <c r="E512" i="1"/>
  <c r="R513" i="1"/>
  <c r="F512" i="1"/>
  <c r="P513" i="1"/>
  <c r="H512" i="1"/>
  <c r="I512" i="1" s="1"/>
  <c r="J512" i="1" s="1"/>
  <c r="M512" i="1"/>
  <c r="N512" i="1" s="1"/>
  <c r="O512" i="1"/>
  <c r="P512" i="1"/>
  <c r="S512" i="1"/>
  <c r="R512" i="1"/>
  <c r="G511" i="1"/>
  <c r="E511" i="1"/>
  <c r="F511" i="1"/>
  <c r="Q512" i="1"/>
  <c r="O511" i="1"/>
  <c r="M511" i="1"/>
  <c r="N511" i="1" s="1"/>
  <c r="H511" i="1"/>
  <c r="I511" i="1" s="1"/>
  <c r="J511" i="1" s="1"/>
  <c r="Q511" i="1"/>
  <c r="R511" i="1"/>
  <c r="S511" i="1"/>
  <c r="G510" i="1"/>
  <c r="F510" i="1"/>
  <c r="P511" i="1"/>
  <c r="E510" i="1"/>
  <c r="O510" i="1"/>
  <c r="M510" i="1"/>
  <c r="N510" i="1" s="1"/>
  <c r="H510" i="1"/>
  <c r="I510" i="1" s="1"/>
  <c r="J510" i="1" s="1"/>
  <c r="F509" i="1"/>
  <c r="G509" i="1"/>
  <c r="S510" i="1"/>
  <c r="P510" i="1"/>
  <c r="R510" i="1"/>
  <c r="Q510" i="1"/>
  <c r="E509" i="1"/>
  <c r="O509" i="1"/>
  <c r="M509" i="1"/>
  <c r="N509" i="1" s="1"/>
  <c r="H509" i="1"/>
  <c r="I509" i="1" s="1"/>
  <c r="J509" i="1" s="1"/>
  <c r="G508" i="1"/>
  <c r="Q509" i="1"/>
  <c r="F508" i="1"/>
  <c r="R509" i="1"/>
  <c r="S509" i="1"/>
  <c r="E508" i="1"/>
  <c r="P509" i="1"/>
  <c r="O508" i="1"/>
  <c r="H508" i="1"/>
  <c r="I508" i="1" s="1"/>
  <c r="J508" i="1" s="1"/>
  <c r="M508" i="1"/>
  <c r="N508" i="1" s="1"/>
  <c r="F507" i="1"/>
  <c r="S508" i="1"/>
  <c r="R508" i="1"/>
  <c r="Q508" i="1"/>
  <c r="P508" i="1"/>
  <c r="E507" i="1"/>
  <c r="G507" i="1"/>
  <c r="O507" i="1"/>
  <c r="H507" i="1"/>
  <c r="I507" i="1" s="1"/>
  <c r="J507" i="1" s="1"/>
  <c r="M507" i="1"/>
  <c r="N507" i="1" s="1"/>
  <c r="S507" i="1"/>
  <c r="R507" i="1"/>
  <c r="F506" i="1"/>
  <c r="Q507" i="1"/>
  <c r="G506" i="1"/>
  <c r="E506" i="1"/>
  <c r="P507" i="1"/>
  <c r="O506" i="1"/>
  <c r="H506" i="1"/>
  <c r="I506" i="1" s="1"/>
  <c r="J506" i="1" s="1"/>
  <c r="M506" i="1"/>
  <c r="N506" i="1" s="1"/>
  <c r="P506" i="1"/>
  <c r="G505" i="1"/>
  <c r="F505" i="1"/>
  <c r="Q506" i="1"/>
  <c r="S506" i="1"/>
  <c r="R506" i="1"/>
  <c r="E505" i="1"/>
  <c r="M505" i="1"/>
  <c r="N505" i="1" s="1"/>
  <c r="H505" i="1"/>
  <c r="I505" i="1" s="1"/>
  <c r="J505" i="1" s="1"/>
  <c r="O505" i="1"/>
  <c r="E504" i="1"/>
  <c r="G504" i="1"/>
  <c r="R505" i="1"/>
  <c r="Q505" i="1"/>
  <c r="S505" i="1"/>
  <c r="F504" i="1"/>
  <c r="P505" i="1"/>
  <c r="O504" i="1"/>
  <c r="H504" i="1"/>
  <c r="I504" i="1" s="1"/>
  <c r="J504" i="1" s="1"/>
  <c r="M504" i="1"/>
  <c r="N504" i="1" s="1"/>
  <c r="S504" i="1"/>
  <c r="Q504" i="1"/>
  <c r="E503" i="1"/>
  <c r="G503" i="1"/>
  <c r="R504" i="1"/>
  <c r="P504" i="1"/>
  <c r="B258" i="1"/>
  <c r="F503" i="1"/>
  <c r="O503" i="1"/>
  <c r="M503" i="1"/>
  <c r="N503" i="1" s="1"/>
  <c r="H503" i="1"/>
  <c r="I503" i="1" s="1"/>
  <c r="J503" i="1" s="1"/>
  <c r="G502" i="1"/>
  <c r="R503" i="1"/>
  <c r="B257" i="1"/>
  <c r="F502" i="1"/>
  <c r="P503" i="1"/>
  <c r="E502" i="1"/>
  <c r="S503" i="1"/>
  <c r="Q503" i="1"/>
  <c r="M502" i="1"/>
  <c r="N502" i="1" s="1"/>
  <c r="H502" i="1"/>
  <c r="I502" i="1" s="1"/>
  <c r="J502" i="1" s="1"/>
  <c r="O502" i="1"/>
  <c r="E501" i="1"/>
  <c r="F501" i="1"/>
  <c r="R502" i="1"/>
  <c r="S502" i="1"/>
  <c r="B256" i="1"/>
  <c r="G501" i="1"/>
  <c r="P502" i="1"/>
  <c r="Q502" i="1"/>
  <c r="H501" i="1"/>
  <c r="I501" i="1" s="1"/>
  <c r="J501" i="1" s="1"/>
  <c r="M501" i="1"/>
  <c r="N501" i="1" s="1"/>
  <c r="O501" i="1"/>
  <c r="B255" i="1"/>
  <c r="G500" i="1"/>
  <c r="Q501" i="1"/>
  <c r="R501" i="1"/>
  <c r="F500" i="1"/>
  <c r="P501" i="1"/>
  <c r="S501" i="1"/>
  <c r="M500" i="1"/>
  <c r="N500" i="1" s="1"/>
  <c r="H500" i="1"/>
  <c r="I500" i="1" s="1"/>
  <c r="J500" i="1" s="1"/>
  <c r="O500" i="1"/>
  <c r="P500" i="1"/>
  <c r="G499" i="1"/>
  <c r="Q500" i="1"/>
  <c r="F499" i="1"/>
  <c r="E499" i="1"/>
  <c r="R500" i="1"/>
  <c r="S500" i="1"/>
  <c r="B254" i="1"/>
  <c r="M499" i="1"/>
  <c r="N499" i="1" s="1"/>
  <c r="H499" i="1"/>
  <c r="I499" i="1" s="1"/>
  <c r="J499" i="1" s="1"/>
  <c r="O499" i="1"/>
  <c r="G498" i="1"/>
  <c r="E498" i="1"/>
  <c r="Q499" i="1"/>
  <c r="R499" i="1"/>
  <c r="P499" i="1"/>
  <c r="L498" i="1"/>
  <c r="B253" i="1"/>
  <c r="S499" i="1"/>
  <c r="F498" i="1"/>
  <c r="M498" i="1"/>
  <c r="N498" i="1" s="1"/>
  <c r="O498" i="1"/>
  <c r="H498" i="1"/>
  <c r="I498" i="1" s="1"/>
  <c r="J498" i="1" s="1"/>
  <c r="L497" i="1"/>
  <c r="E497" i="1"/>
  <c r="S498" i="1"/>
  <c r="G497" i="1"/>
  <c r="P498" i="1"/>
  <c r="R498" i="1"/>
  <c r="Q498" i="1"/>
  <c r="B252" i="1"/>
  <c r="F497" i="1"/>
  <c r="M497" i="1"/>
  <c r="N497" i="1" s="1"/>
  <c r="H497" i="1"/>
  <c r="I497" i="1" s="1"/>
  <c r="J497" i="1" s="1"/>
  <c r="O497" i="1"/>
  <c r="P497" i="1"/>
  <c r="R497" i="1"/>
  <c r="F496" i="1"/>
  <c r="Q497" i="1"/>
  <c r="B251" i="1"/>
  <c r="S497" i="1"/>
  <c r="G496" i="1"/>
  <c r="E496" i="1"/>
  <c r="M496" i="1"/>
  <c r="N496" i="1" s="1"/>
  <c r="H496" i="1"/>
  <c r="I496" i="1" s="1"/>
  <c r="J496" i="1" s="1"/>
  <c r="O496" i="1"/>
  <c r="Q496" i="1"/>
  <c r="L495" i="1"/>
  <c r="F495" i="1"/>
  <c r="G495" i="1"/>
  <c r="E495" i="1"/>
  <c r="B250" i="1"/>
  <c r="S496" i="1"/>
  <c r="P496" i="1"/>
  <c r="R496" i="1"/>
  <c r="O495" i="1"/>
  <c r="M495" i="1"/>
  <c r="N495" i="1" s="1"/>
  <c r="H495" i="1"/>
  <c r="I495" i="1" s="1"/>
  <c r="J495" i="1" s="1"/>
  <c r="P495" i="1"/>
  <c r="E494" i="1"/>
  <c r="B249" i="1"/>
  <c r="G494" i="1"/>
  <c r="S495" i="1"/>
  <c r="Q495" i="1"/>
  <c r="R495" i="1"/>
  <c r="F494" i="1"/>
  <c r="M494" i="1"/>
  <c r="N494" i="1" s="1"/>
  <c r="H494" i="1"/>
  <c r="I494" i="1" s="1"/>
  <c r="J494" i="1" s="1"/>
  <c r="O494" i="1"/>
  <c r="R494" i="1"/>
  <c r="G493" i="1"/>
  <c r="S494" i="1"/>
  <c r="P494" i="1"/>
  <c r="Q494" i="1"/>
  <c r="E493" i="1"/>
  <c r="F493" i="1"/>
  <c r="B248" i="1"/>
  <c r="H493" i="1"/>
  <c r="I493" i="1" s="1"/>
  <c r="J493" i="1" s="1"/>
  <c r="O493" i="1"/>
  <c r="M493" i="1"/>
  <c r="N493" i="1" s="1"/>
  <c r="G492" i="1"/>
  <c r="E492" i="1"/>
  <c r="L492" i="1"/>
  <c r="S493" i="1"/>
  <c r="Q493" i="1"/>
  <c r="R493" i="1"/>
  <c r="P493" i="1"/>
  <c r="B247" i="1"/>
  <c r="F492" i="1"/>
  <c r="O492" i="1"/>
  <c r="M492" i="1"/>
  <c r="N492" i="1" s="1"/>
  <c r="H492" i="1"/>
  <c r="I492" i="1" s="1"/>
  <c r="J492" i="1" s="1"/>
  <c r="B246" i="1"/>
  <c r="Q492" i="1"/>
  <c r="F491" i="1"/>
  <c r="G491" i="1"/>
  <c r="E491" i="1"/>
  <c r="S492" i="1"/>
  <c r="P492" i="1"/>
  <c r="R492" i="1"/>
  <c r="L491" i="1"/>
  <c r="O491" i="1"/>
  <c r="M491" i="1"/>
  <c r="N491" i="1" s="1"/>
  <c r="H491" i="1"/>
  <c r="I491" i="1" s="1"/>
  <c r="J491" i="1" s="1"/>
  <c r="R491" i="1"/>
  <c r="G490" i="1"/>
  <c r="Q491" i="1"/>
  <c r="F490" i="1"/>
  <c r="E490" i="1"/>
  <c r="S491" i="1"/>
  <c r="P491" i="1"/>
  <c r="B245" i="1"/>
  <c r="H490" i="1"/>
  <c r="I490" i="1" s="1"/>
  <c r="J490" i="1" s="1"/>
  <c r="M490" i="1"/>
  <c r="N490" i="1" s="1"/>
  <c r="O490" i="1"/>
  <c r="G489" i="1"/>
  <c r="S490" i="1"/>
  <c r="Q490" i="1"/>
  <c r="B244" i="1"/>
  <c r="F489" i="1"/>
  <c r="L489" i="1"/>
  <c r="E489" i="1"/>
  <c r="P490" i="1"/>
  <c r="R490" i="1"/>
  <c r="H489" i="1"/>
  <c r="I489" i="1" s="1"/>
  <c r="J489" i="1" s="1"/>
  <c r="O489" i="1"/>
  <c r="M489" i="1"/>
  <c r="N489" i="1" s="1"/>
  <c r="F488" i="1"/>
  <c r="E488" i="1"/>
  <c r="R489" i="1"/>
  <c r="P489" i="1"/>
  <c r="S489" i="1"/>
  <c r="B243" i="1"/>
  <c r="Q489" i="1"/>
  <c r="G488" i="1"/>
  <c r="H488" i="1"/>
  <c r="I488" i="1" s="1"/>
  <c r="J488" i="1" s="1"/>
  <c r="O488" i="1"/>
  <c r="M488" i="1"/>
  <c r="N488" i="1" s="1"/>
  <c r="Q488" i="1"/>
  <c r="R488" i="1"/>
  <c r="S488" i="1"/>
  <c r="P488" i="1"/>
  <c r="E487" i="1"/>
  <c r="F487" i="1"/>
  <c r="B242" i="1"/>
  <c r="G487" i="1"/>
  <c r="H487" i="1"/>
  <c r="I487" i="1" s="1"/>
  <c r="J487" i="1" s="1"/>
  <c r="M487" i="1"/>
  <c r="N487" i="1" s="1"/>
  <c r="O487" i="1"/>
  <c r="F486" i="1"/>
  <c r="P487" i="1"/>
  <c r="E486" i="1"/>
  <c r="S487" i="1"/>
  <c r="Q487" i="1"/>
  <c r="B241" i="1"/>
  <c r="R487" i="1"/>
  <c r="G486" i="1"/>
  <c r="H486" i="1"/>
  <c r="I486" i="1" s="1"/>
  <c r="J486" i="1" s="1"/>
  <c r="O486" i="1"/>
  <c r="M486" i="1"/>
  <c r="N486" i="1" s="1"/>
  <c r="P486" i="1"/>
  <c r="F485" i="1"/>
  <c r="S486" i="1"/>
  <c r="G485" i="1"/>
  <c r="R486" i="1"/>
  <c r="B240" i="1"/>
  <c r="E485" i="1"/>
  <c r="Q486" i="1"/>
  <c r="H485" i="1"/>
  <c r="I485" i="1" s="1"/>
  <c r="J485" i="1" s="1"/>
  <c r="O485" i="1"/>
  <c r="M485" i="1"/>
  <c r="N485" i="1" s="1"/>
  <c r="E484" i="1"/>
  <c r="P485" i="1"/>
  <c r="B239" i="1"/>
  <c r="F484" i="1"/>
  <c r="R485" i="1"/>
  <c r="G484" i="1"/>
  <c r="S485" i="1"/>
  <c r="Q485" i="1"/>
  <c r="H484" i="1"/>
  <c r="I484" i="1" s="1"/>
  <c r="J484" i="1" s="1"/>
  <c r="O484" i="1"/>
  <c r="M484" i="1"/>
  <c r="N484" i="1" s="1"/>
  <c r="B238" i="1"/>
  <c r="F483" i="1"/>
  <c r="E483" i="1"/>
  <c r="P484" i="1"/>
  <c r="Q484" i="1"/>
  <c r="S484" i="1"/>
  <c r="R484" i="1"/>
  <c r="G483" i="1"/>
  <c r="M483" i="1"/>
  <c r="N483" i="1" s="1"/>
  <c r="O483" i="1"/>
  <c r="H483" i="1"/>
  <c r="I483" i="1" s="1"/>
  <c r="J483" i="1" s="1"/>
  <c r="F482" i="1"/>
  <c r="S483" i="1"/>
  <c r="Q483" i="1"/>
  <c r="E482" i="1"/>
  <c r="G482" i="1"/>
  <c r="P483" i="1"/>
  <c r="B237" i="1"/>
  <c r="R483" i="1"/>
  <c r="O482" i="1"/>
  <c r="M482" i="1"/>
  <c r="N482" i="1" s="1"/>
  <c r="H482" i="1"/>
  <c r="I482" i="1" s="1"/>
  <c r="J482" i="1" s="1"/>
  <c r="Q482" i="1"/>
  <c r="F481" i="1"/>
  <c r="S482" i="1"/>
  <c r="P482" i="1"/>
  <c r="R482" i="1"/>
  <c r="B236" i="1"/>
  <c r="E481" i="1"/>
  <c r="G481" i="1"/>
  <c r="O481" i="1"/>
  <c r="M481" i="1"/>
  <c r="N481" i="1" s="1"/>
  <c r="H481" i="1"/>
  <c r="I481" i="1" s="1"/>
  <c r="J481" i="1" s="1"/>
  <c r="B235" i="1"/>
  <c r="R481" i="1"/>
  <c r="E480" i="1"/>
  <c r="F480" i="1"/>
  <c r="Q481" i="1"/>
  <c r="G480" i="1"/>
  <c r="P481" i="1"/>
  <c r="S481" i="1"/>
  <c r="M480" i="1"/>
  <c r="N480" i="1" s="1"/>
  <c r="O480" i="1"/>
  <c r="H480" i="1"/>
  <c r="I480" i="1" s="1"/>
  <c r="J480" i="1" s="1"/>
  <c r="P480" i="1"/>
  <c r="Q480" i="1"/>
  <c r="R480" i="1"/>
  <c r="G479" i="1"/>
  <c r="B234" i="1"/>
  <c r="F479" i="1"/>
  <c r="S480" i="1"/>
  <c r="E479" i="1"/>
  <c r="H479" i="1"/>
  <c r="I479" i="1" s="1"/>
  <c r="J479" i="1" s="1"/>
  <c r="O479" i="1"/>
  <c r="M479" i="1"/>
  <c r="N479" i="1" s="1"/>
  <c r="S479" i="1"/>
  <c r="E478" i="1"/>
  <c r="G478" i="1"/>
  <c r="P479" i="1"/>
  <c r="R479" i="1"/>
  <c r="B233" i="1"/>
  <c r="Q479" i="1"/>
  <c r="F478" i="1"/>
  <c r="O478" i="1"/>
  <c r="H478" i="1"/>
  <c r="I478" i="1" s="1"/>
  <c r="J478" i="1" s="1"/>
  <c r="M478" i="1"/>
  <c r="N478" i="1" s="1"/>
  <c r="B232" i="1"/>
  <c r="G477" i="1"/>
  <c r="F477" i="1"/>
  <c r="E477" i="1"/>
  <c r="S478" i="1"/>
  <c r="Q478" i="1"/>
  <c r="P478" i="1"/>
  <c r="R478" i="1"/>
  <c r="H477" i="1"/>
  <c r="I477" i="1" s="1"/>
  <c r="J477" i="1" s="1"/>
  <c r="M477" i="1"/>
  <c r="N477" i="1" s="1"/>
  <c r="O477" i="1"/>
  <c r="Q477" i="1"/>
  <c r="G476" i="1"/>
  <c r="F476" i="1"/>
  <c r="E476" i="1"/>
  <c r="S477" i="1"/>
  <c r="B231" i="1"/>
  <c r="R477" i="1"/>
  <c r="P477" i="1"/>
  <c r="M476" i="1"/>
  <c r="N476" i="1" s="1"/>
  <c r="H476" i="1"/>
  <c r="I476" i="1" s="1"/>
  <c r="J476" i="1" s="1"/>
  <c r="O476" i="1"/>
  <c r="E475" i="1"/>
  <c r="F475" i="1"/>
  <c r="G475" i="1"/>
  <c r="R476" i="1"/>
  <c r="Q476" i="1"/>
  <c r="B230" i="1"/>
  <c r="P476" i="1"/>
  <c r="S476" i="1"/>
  <c r="M475" i="1"/>
  <c r="N475" i="1" s="1"/>
  <c r="H475" i="1"/>
  <c r="I475" i="1" s="1"/>
  <c r="J475" i="1" s="1"/>
  <c r="O475" i="1"/>
  <c r="E474" i="1"/>
  <c r="G474" i="1"/>
  <c r="F474" i="1"/>
  <c r="B229" i="1"/>
  <c r="Q475" i="1"/>
  <c r="P475" i="1"/>
  <c r="S475" i="1"/>
  <c r="M474" i="1"/>
  <c r="N474" i="1" s="1"/>
  <c r="O474" i="1"/>
  <c r="H474" i="1"/>
  <c r="I474" i="1" s="1"/>
  <c r="J474" i="1" s="1"/>
  <c r="R474" i="1"/>
  <c r="S474" i="1"/>
  <c r="P474" i="1"/>
  <c r="Q474" i="1"/>
  <c r="G473" i="1"/>
  <c r="F473" i="1"/>
  <c r="E473" i="1"/>
  <c r="N473" i="1"/>
  <c r="B228" i="1"/>
  <c r="H473" i="1"/>
  <c r="I473" i="1" s="1"/>
  <c r="J473" i="1" s="1"/>
  <c r="O473" i="1"/>
  <c r="Q473" i="1"/>
  <c r="F472" i="1"/>
  <c r="P473" i="1"/>
  <c r="E472" i="1"/>
  <c r="G472" i="1"/>
  <c r="R473" i="1"/>
  <c r="S473" i="1"/>
  <c r="B227" i="1"/>
  <c r="H472" i="1"/>
  <c r="I472" i="1" s="1"/>
  <c r="J472" i="1" s="1"/>
  <c r="O472" i="1"/>
  <c r="M472" i="1"/>
  <c r="N472" i="1" s="1"/>
  <c r="Q472" i="1"/>
  <c r="E471" i="1"/>
  <c r="G471" i="1"/>
  <c r="P472" i="1"/>
  <c r="R472" i="1"/>
  <c r="S472" i="1"/>
  <c r="F471" i="1"/>
  <c r="B226" i="1"/>
  <c r="M471" i="1"/>
  <c r="N471" i="1" s="1"/>
  <c r="H471" i="1"/>
  <c r="I471" i="1" s="1"/>
  <c r="J471" i="1" s="1"/>
  <c r="O471" i="1"/>
  <c r="P471" i="1"/>
  <c r="E470" i="1"/>
  <c r="R471" i="1"/>
  <c r="F470" i="1"/>
  <c r="S471" i="1"/>
  <c r="Q471" i="1"/>
  <c r="G470" i="1"/>
  <c r="B225" i="1"/>
  <c r="M470" i="1"/>
  <c r="N470" i="1" s="1"/>
  <c r="H470" i="1"/>
  <c r="I470" i="1" s="1"/>
  <c r="J470" i="1" s="1"/>
  <c r="O470" i="1"/>
  <c r="S470" i="1"/>
  <c r="G469" i="1"/>
  <c r="E469" i="1"/>
  <c r="P470" i="1"/>
  <c r="F469" i="1"/>
  <c r="R470" i="1"/>
  <c r="B224" i="1"/>
  <c r="H469" i="1"/>
  <c r="I469" i="1" s="1"/>
  <c r="J469" i="1" s="1"/>
  <c r="M469" i="1"/>
  <c r="N469" i="1" s="1"/>
  <c r="O469" i="1"/>
  <c r="G468" i="1"/>
  <c r="E468" i="1"/>
  <c r="P469" i="1"/>
  <c r="F468" i="1"/>
  <c r="R469" i="1"/>
  <c r="S469" i="1"/>
  <c r="Q469" i="1"/>
  <c r="B223" i="1"/>
  <c r="O468" i="1"/>
  <c r="M468" i="1"/>
  <c r="N468" i="1" s="1"/>
  <c r="H468" i="1"/>
  <c r="I468" i="1" s="1"/>
  <c r="J468" i="1" s="1"/>
  <c r="S468" i="1"/>
  <c r="R468" i="1"/>
  <c r="Q468" i="1"/>
  <c r="E467" i="1"/>
  <c r="F467" i="1"/>
  <c r="G467" i="1"/>
  <c r="P468" i="1"/>
  <c r="B222" i="1"/>
  <c r="H467" i="1"/>
  <c r="I467" i="1" s="1"/>
  <c r="J467" i="1" s="1"/>
  <c r="M467" i="1"/>
  <c r="N467" i="1" s="1"/>
  <c r="O467" i="1"/>
  <c r="P467" i="1"/>
  <c r="F466" i="1"/>
  <c r="Q467" i="1"/>
  <c r="E466" i="1"/>
  <c r="R467" i="1"/>
  <c r="S467" i="1"/>
  <c r="G466" i="1"/>
  <c r="B221" i="1"/>
  <c r="M466" i="1"/>
  <c r="N466" i="1" s="1"/>
  <c r="H466" i="1"/>
  <c r="I466" i="1" s="1"/>
  <c r="J466" i="1" s="1"/>
  <c r="O466" i="1"/>
  <c r="Q466" i="1"/>
  <c r="S466" i="1"/>
  <c r="P466" i="1"/>
  <c r="R466" i="1"/>
  <c r="B220" i="1"/>
  <c r="E465" i="1"/>
  <c r="F465" i="1"/>
  <c r="G465" i="1"/>
  <c r="O465" i="1"/>
  <c r="H465" i="1"/>
  <c r="I465" i="1" s="1"/>
  <c r="J465" i="1" s="1"/>
  <c r="M465" i="1"/>
  <c r="N465" i="1" s="1"/>
  <c r="P465" i="1"/>
  <c r="S465" i="1"/>
  <c r="G464" i="1"/>
  <c r="F464" i="1"/>
  <c r="Q465" i="1"/>
  <c r="B219" i="1"/>
  <c r="R465" i="1"/>
  <c r="E464" i="1"/>
  <c r="H464" i="1"/>
  <c r="I464" i="1" s="1"/>
  <c r="J464" i="1" s="1"/>
  <c r="O464" i="1"/>
  <c r="M464" i="1"/>
  <c r="N464" i="1" s="1"/>
  <c r="P464" i="1"/>
  <c r="R464" i="1"/>
  <c r="Q464" i="1"/>
  <c r="G463" i="1"/>
  <c r="E463" i="1"/>
  <c r="F463" i="1"/>
  <c r="S464" i="1"/>
  <c r="B218" i="1"/>
  <c r="O463" i="1"/>
  <c r="M463" i="1"/>
  <c r="N463" i="1" s="1"/>
  <c r="H463" i="1"/>
  <c r="I463" i="1" s="1"/>
  <c r="J463" i="1" s="1"/>
  <c r="Q463" i="1"/>
  <c r="P463" i="1"/>
  <c r="F462" i="1"/>
  <c r="G462" i="1"/>
  <c r="E462" i="1"/>
  <c r="R463" i="1"/>
  <c r="S463" i="1"/>
  <c r="B217" i="1"/>
  <c r="O462" i="1"/>
  <c r="H462" i="1"/>
  <c r="I462" i="1" s="1"/>
  <c r="J462" i="1" s="1"/>
  <c r="M462" i="1"/>
  <c r="N462" i="1" s="1"/>
  <c r="P462" i="1"/>
  <c r="R462" i="1"/>
  <c r="S462" i="1"/>
  <c r="Q462" i="1"/>
  <c r="E461" i="1"/>
  <c r="B216" i="1"/>
  <c r="F461" i="1"/>
  <c r="G461" i="1"/>
  <c r="H461" i="1"/>
  <c r="I461" i="1" s="1"/>
  <c r="J461" i="1" s="1"/>
  <c r="M461" i="1"/>
  <c r="N461" i="1" s="1"/>
  <c r="O461" i="1"/>
  <c r="B215" i="1"/>
  <c r="E460" i="1"/>
  <c r="G460" i="1"/>
  <c r="P461" i="1"/>
  <c r="Q461" i="1"/>
  <c r="S461" i="1"/>
  <c r="F460" i="1"/>
  <c r="R461" i="1"/>
  <c r="H460" i="1"/>
  <c r="I460" i="1" s="1"/>
  <c r="J460" i="1" s="1"/>
  <c r="O460" i="1"/>
  <c r="M460" i="1"/>
  <c r="N460" i="1" s="1"/>
  <c r="S460" i="1"/>
  <c r="B214" i="1"/>
  <c r="F459" i="1"/>
  <c r="Q460" i="1"/>
  <c r="P460" i="1"/>
  <c r="R460" i="1"/>
  <c r="E459" i="1"/>
  <c r="G459" i="1"/>
  <c r="O459" i="1"/>
  <c r="M459" i="1"/>
  <c r="N459" i="1" s="1"/>
  <c r="H459" i="1"/>
  <c r="I459" i="1" s="1"/>
  <c r="J459" i="1" s="1"/>
  <c r="B212" i="1"/>
  <c r="Q459" i="1"/>
  <c r="E458" i="1"/>
  <c r="P459" i="1"/>
  <c r="R459" i="1"/>
  <c r="P458" i="1"/>
  <c r="S459" i="1"/>
  <c r="R458" i="1"/>
  <c r="B18" i="1"/>
  <c r="B213" i="1"/>
  <c r="F458" i="1"/>
  <c r="S458" i="1"/>
  <c r="Q458" i="1"/>
  <c r="G458" i="1"/>
  <c r="H458" i="1"/>
  <c r="I458" i="1" s="1"/>
  <c r="J458" i="1" s="1"/>
  <c r="M458" i="1"/>
  <c r="N458" i="1" s="1"/>
  <c r="O458" i="1"/>
  <c r="G457" i="1"/>
  <c r="F457" i="1"/>
  <c r="O457" i="1"/>
  <c r="H457" i="1"/>
  <c r="I457" i="1" s="1"/>
  <c r="J457" i="1" s="1"/>
  <c r="M457" i="1"/>
  <c r="N457" i="1" s="1"/>
  <c r="P457" i="1"/>
  <c r="F456" i="1"/>
  <c r="R457" i="1"/>
  <c r="Q457" i="1"/>
  <c r="G456" i="1"/>
  <c r="S457" i="1"/>
  <c r="H456" i="1"/>
  <c r="I456" i="1" s="1"/>
  <c r="J456" i="1" s="1"/>
  <c r="O456" i="1"/>
  <c r="M456" i="1"/>
  <c r="N456" i="1" s="1"/>
  <c r="G455" i="1"/>
  <c r="S456" i="1"/>
  <c r="F455" i="1"/>
  <c r="R456" i="1"/>
  <c r="Q456" i="1"/>
  <c r="P456" i="1"/>
  <c r="H455" i="1"/>
  <c r="I455" i="1" s="1"/>
  <c r="J455" i="1" s="1"/>
  <c r="M455" i="1"/>
  <c r="N455" i="1" s="1"/>
  <c r="O455" i="1"/>
  <c r="R455" i="1"/>
  <c r="S455" i="1"/>
  <c r="F454" i="1"/>
  <c r="G454" i="1"/>
  <c r="Q455" i="1"/>
  <c r="P455" i="1"/>
  <c r="M454" i="1"/>
  <c r="N454" i="1" s="1"/>
  <c r="H454" i="1"/>
  <c r="I454" i="1" s="1"/>
  <c r="J454" i="1" s="1"/>
  <c r="O454" i="1"/>
  <c r="G453" i="1"/>
  <c r="Q454" i="1"/>
  <c r="P454" i="1"/>
  <c r="S454" i="1"/>
  <c r="F453" i="1"/>
  <c r="R454" i="1"/>
  <c r="O453" i="1"/>
  <c r="H453" i="1"/>
  <c r="I453" i="1" s="1"/>
  <c r="J453" i="1" s="1"/>
  <c r="M453" i="1"/>
  <c r="N453" i="1" s="1"/>
  <c r="R453" i="1"/>
  <c r="F452" i="1"/>
  <c r="Q453" i="1"/>
  <c r="P453" i="1"/>
  <c r="S453" i="1"/>
  <c r="G452" i="1"/>
  <c r="O452" i="1"/>
  <c r="H452" i="1"/>
  <c r="I452" i="1" s="1"/>
  <c r="J452" i="1" s="1"/>
  <c r="M452" i="1"/>
  <c r="N452" i="1" s="1"/>
  <c r="S452" i="1"/>
  <c r="Q452" i="1"/>
  <c r="P452" i="1"/>
  <c r="F451" i="1"/>
  <c r="G451" i="1"/>
  <c r="R452" i="1"/>
  <c r="O451" i="1"/>
  <c r="M451" i="1"/>
  <c r="N451" i="1" s="1"/>
  <c r="H451" i="1"/>
  <c r="I451" i="1" s="1"/>
  <c r="J451" i="1" s="1"/>
  <c r="P451" i="1"/>
  <c r="G450" i="1"/>
  <c r="F450" i="1"/>
  <c r="Q451" i="1"/>
  <c r="S451" i="1"/>
  <c r="R451" i="1"/>
  <c r="O450" i="1"/>
  <c r="H450" i="1"/>
  <c r="I450" i="1" s="1"/>
  <c r="J450" i="1" s="1"/>
  <c r="M450" i="1"/>
  <c r="N450" i="1" s="1"/>
  <c r="R450" i="1"/>
  <c r="Q450" i="1"/>
  <c r="P450" i="1"/>
  <c r="G449" i="1"/>
  <c r="F449" i="1"/>
  <c r="S450" i="1"/>
  <c r="O449" i="1"/>
  <c r="M449" i="1"/>
  <c r="N449" i="1" s="1"/>
  <c r="H449" i="1"/>
  <c r="I449" i="1" s="1"/>
  <c r="J449" i="1" s="1"/>
  <c r="S449" i="1"/>
  <c r="F448" i="1"/>
  <c r="G448" i="1"/>
  <c r="P449" i="1"/>
  <c r="Q449" i="1"/>
  <c r="R449" i="1"/>
  <c r="O448" i="1"/>
  <c r="M448" i="1"/>
  <c r="N448" i="1" s="1"/>
  <c r="H448" i="1"/>
  <c r="I448" i="1" s="1"/>
  <c r="J448" i="1" s="1"/>
  <c r="F447" i="1"/>
  <c r="G447" i="1"/>
  <c r="P448" i="1"/>
  <c r="Q448" i="1"/>
  <c r="R448" i="1"/>
  <c r="S448" i="1"/>
  <c r="H447" i="1"/>
  <c r="I447" i="1" s="1"/>
  <c r="J447" i="1" s="1"/>
  <c r="M447" i="1"/>
  <c r="N447" i="1" s="1"/>
  <c r="O447" i="1"/>
  <c r="S447" i="1"/>
  <c r="G446" i="1"/>
  <c r="R447" i="1"/>
  <c r="P447" i="1"/>
  <c r="Q447" i="1"/>
  <c r="F446" i="1"/>
  <c r="M446" i="1"/>
  <c r="N446" i="1" s="1"/>
  <c r="H446" i="1"/>
  <c r="I446" i="1" s="1"/>
  <c r="J446" i="1" s="1"/>
  <c r="O446" i="1"/>
  <c r="S446" i="1"/>
  <c r="G445" i="1"/>
  <c r="F445" i="1"/>
  <c r="R446" i="1"/>
  <c r="Q446" i="1"/>
  <c r="P446" i="1"/>
  <c r="O445" i="1"/>
  <c r="H445" i="1"/>
  <c r="I445" i="1" s="1"/>
  <c r="J445" i="1" s="1"/>
  <c r="M445" i="1"/>
  <c r="N445" i="1" s="1"/>
  <c r="S445" i="1"/>
  <c r="R445" i="1"/>
  <c r="Q445" i="1"/>
  <c r="F444" i="1"/>
  <c r="P445" i="1"/>
  <c r="G444" i="1"/>
  <c r="O444" i="1"/>
  <c r="M444" i="1"/>
  <c r="N444" i="1" s="1"/>
  <c r="H444" i="1"/>
  <c r="I444" i="1" s="1"/>
  <c r="J444" i="1" s="1"/>
  <c r="Q444" i="1"/>
  <c r="S444" i="1"/>
  <c r="P444" i="1"/>
  <c r="R444" i="1"/>
  <c r="F443" i="1"/>
  <c r="G443" i="1"/>
  <c r="O443" i="1"/>
  <c r="H443" i="1"/>
  <c r="I443" i="1" s="1"/>
  <c r="J443" i="1" s="1"/>
  <c r="M443" i="1"/>
  <c r="N443" i="1" s="1"/>
  <c r="S443" i="1"/>
  <c r="F442" i="1"/>
  <c r="G442" i="1"/>
  <c r="Q443" i="1"/>
  <c r="P443" i="1"/>
  <c r="R443" i="1"/>
  <c r="M442" i="1"/>
  <c r="N442" i="1" s="1"/>
  <c r="O442" i="1"/>
  <c r="H442" i="1"/>
  <c r="I442" i="1" s="1"/>
  <c r="J442" i="1" s="1"/>
  <c r="R442" i="1"/>
  <c r="F441" i="1"/>
  <c r="G441" i="1"/>
  <c r="P442" i="1"/>
  <c r="S442" i="1"/>
  <c r="Q442" i="1"/>
  <c r="H441" i="1"/>
  <c r="I441" i="1" s="1"/>
  <c r="J441" i="1" s="1"/>
  <c r="M441" i="1"/>
  <c r="N441" i="1" s="1"/>
  <c r="O441" i="1"/>
  <c r="F440" i="1"/>
  <c r="R441" i="1"/>
  <c r="G440" i="1"/>
  <c r="Q441" i="1"/>
  <c r="S441" i="1"/>
  <c r="P441" i="1"/>
  <c r="O440" i="1"/>
  <c r="H440" i="1"/>
  <c r="I440" i="1" s="1"/>
  <c r="J440" i="1" s="1"/>
  <c r="M440" i="1"/>
  <c r="N440" i="1" s="1"/>
  <c r="S440" i="1"/>
  <c r="R440" i="1"/>
  <c r="Q440" i="1"/>
  <c r="P440" i="1"/>
  <c r="F439" i="1"/>
  <c r="G439" i="1"/>
  <c r="O439" i="1"/>
  <c r="M439" i="1"/>
  <c r="N439" i="1" s="1"/>
  <c r="H439" i="1"/>
  <c r="I439" i="1" s="1"/>
  <c r="J439" i="1" s="1"/>
  <c r="Q439" i="1"/>
  <c r="S439" i="1"/>
  <c r="F438" i="1"/>
  <c r="R439" i="1"/>
  <c r="G438" i="1"/>
  <c r="P439" i="1"/>
  <c r="O438" i="1"/>
  <c r="M438" i="1"/>
  <c r="N438" i="1" s="1"/>
  <c r="H438" i="1"/>
  <c r="I438" i="1" s="1"/>
  <c r="J438" i="1" s="1"/>
  <c r="Q438" i="1"/>
  <c r="P438" i="1"/>
  <c r="R438" i="1"/>
  <c r="S438" i="1"/>
  <c r="G437" i="1"/>
  <c r="F437" i="1"/>
  <c r="O437" i="1"/>
  <c r="M437" i="1"/>
  <c r="N437" i="1" s="1"/>
  <c r="H437" i="1"/>
  <c r="I437" i="1" s="1"/>
  <c r="J437" i="1" s="1"/>
  <c r="R437" i="1"/>
  <c r="Q437" i="1"/>
  <c r="P437" i="1"/>
  <c r="G436" i="1"/>
  <c r="F436" i="1"/>
  <c r="S437" i="1"/>
  <c r="O436" i="1"/>
  <c r="H436" i="1"/>
  <c r="I436" i="1" s="1"/>
  <c r="J436" i="1" s="1"/>
  <c r="M436" i="1"/>
  <c r="N436" i="1" s="1"/>
  <c r="Q436" i="1"/>
  <c r="P436" i="1"/>
  <c r="S436" i="1"/>
  <c r="G435" i="1"/>
  <c r="F435" i="1"/>
  <c r="R436" i="1"/>
  <c r="O435" i="1"/>
  <c r="M435" i="1"/>
  <c r="N435" i="1" s="1"/>
  <c r="H435" i="1"/>
  <c r="I435" i="1" s="1"/>
  <c r="J435" i="1" s="1"/>
  <c r="F434" i="1"/>
  <c r="R435" i="1"/>
  <c r="Q435" i="1"/>
  <c r="P435" i="1"/>
  <c r="L434" i="1"/>
  <c r="G434" i="1"/>
  <c r="S435" i="1"/>
  <c r="H434" i="1"/>
  <c r="I434" i="1" s="1"/>
  <c r="J434" i="1" s="1"/>
  <c r="M434" i="1"/>
  <c r="N434" i="1" s="1"/>
  <c r="O434" i="1"/>
  <c r="E433" i="1"/>
  <c r="S434" i="1"/>
  <c r="R434" i="1"/>
  <c r="Q434" i="1"/>
  <c r="P434" i="1"/>
  <c r="L433" i="1"/>
  <c r="G433" i="1"/>
  <c r="F433" i="1"/>
  <c r="H433" i="1"/>
  <c r="I433" i="1" s="1"/>
  <c r="J433" i="1" s="1"/>
  <c r="O433" i="1"/>
  <c r="M433" i="1"/>
  <c r="N433" i="1" s="1"/>
  <c r="G432" i="1"/>
  <c r="Q433" i="1"/>
  <c r="P433" i="1"/>
  <c r="R433" i="1"/>
  <c r="F432" i="1"/>
  <c r="E432" i="1"/>
  <c r="S433" i="1"/>
  <c r="L432" i="1"/>
  <c r="H432" i="1"/>
  <c r="I432" i="1" s="1"/>
  <c r="J432" i="1" s="1"/>
  <c r="O432" i="1"/>
  <c r="M432" i="1"/>
  <c r="N432" i="1" s="1"/>
  <c r="P432" i="1"/>
  <c r="Q432" i="1"/>
  <c r="E431" i="1"/>
  <c r="G431" i="1"/>
  <c r="L431" i="1"/>
  <c r="S432" i="1"/>
  <c r="R432" i="1"/>
  <c r="F431" i="1"/>
  <c r="O431" i="1"/>
  <c r="M431" i="1"/>
  <c r="N431" i="1" s="1"/>
  <c r="H431" i="1"/>
  <c r="I431" i="1" s="1"/>
  <c r="J431" i="1" s="1"/>
  <c r="P431" i="1"/>
  <c r="G430" i="1"/>
  <c r="F430" i="1"/>
  <c r="S431" i="1"/>
  <c r="R431" i="1"/>
  <c r="E430" i="1"/>
  <c r="Q431" i="1"/>
  <c r="L430" i="1"/>
  <c r="O430" i="1"/>
  <c r="M430" i="1"/>
  <c r="N430" i="1" s="1"/>
  <c r="H430" i="1"/>
  <c r="I430" i="1" s="1"/>
  <c r="J430" i="1" s="1"/>
  <c r="F429" i="1"/>
  <c r="G429" i="1"/>
  <c r="L429" i="1"/>
  <c r="S430" i="1"/>
  <c r="R430" i="1"/>
  <c r="Q430" i="1"/>
  <c r="P430" i="1"/>
  <c r="E429" i="1"/>
  <c r="O429" i="1"/>
  <c r="H429" i="1"/>
  <c r="I429" i="1" s="1"/>
  <c r="J429" i="1" s="1"/>
  <c r="M429" i="1"/>
  <c r="N429" i="1" s="1"/>
  <c r="F428" i="1"/>
  <c r="S429" i="1"/>
  <c r="R429" i="1"/>
  <c r="Q429" i="1"/>
  <c r="P429" i="1"/>
  <c r="E428" i="1"/>
  <c r="G428" i="1"/>
  <c r="O428" i="1"/>
  <c r="M428" i="1"/>
  <c r="N428" i="1" s="1"/>
  <c r="H428" i="1"/>
  <c r="I428" i="1" s="1"/>
  <c r="J428" i="1" s="1"/>
  <c r="G427" i="1"/>
  <c r="E427" i="1"/>
  <c r="R428" i="1"/>
  <c r="Q428" i="1"/>
  <c r="P428" i="1"/>
  <c r="F427" i="1"/>
  <c r="S428" i="1"/>
  <c r="H427" i="1"/>
  <c r="I427" i="1" s="1"/>
  <c r="J427" i="1" s="1"/>
  <c r="O427" i="1"/>
  <c r="M427" i="1"/>
  <c r="N427" i="1" s="1"/>
  <c r="G426" i="1"/>
  <c r="F426" i="1"/>
  <c r="E426" i="1"/>
  <c r="S427" i="1"/>
  <c r="R427" i="1"/>
  <c r="Q427" i="1"/>
  <c r="P427" i="1"/>
  <c r="O426" i="1"/>
  <c r="M426" i="1"/>
  <c r="N426" i="1" s="1"/>
  <c r="H426" i="1"/>
  <c r="I426" i="1" s="1"/>
  <c r="J426" i="1" s="1"/>
  <c r="G425" i="1"/>
  <c r="S426" i="1"/>
  <c r="R426" i="1"/>
  <c r="Q426" i="1"/>
  <c r="P426" i="1"/>
  <c r="F425" i="1"/>
  <c r="E425" i="1"/>
  <c r="M425" i="1"/>
  <c r="N425" i="1" s="1"/>
  <c r="H425" i="1"/>
  <c r="I425" i="1" s="1"/>
  <c r="J425" i="1" s="1"/>
  <c r="O425" i="1"/>
  <c r="G424" i="1"/>
  <c r="F424" i="1"/>
  <c r="S425" i="1"/>
  <c r="Q425" i="1"/>
  <c r="R425" i="1"/>
  <c r="P425" i="1"/>
  <c r="E424" i="1"/>
  <c r="O424" i="1"/>
  <c r="M424" i="1"/>
  <c r="N424" i="1" s="1"/>
  <c r="H424" i="1"/>
  <c r="I424" i="1" s="1"/>
  <c r="J424" i="1" s="1"/>
  <c r="S424" i="1"/>
  <c r="E423" i="1"/>
  <c r="F423" i="1"/>
  <c r="G423" i="1"/>
  <c r="R424" i="1"/>
  <c r="Q424" i="1"/>
  <c r="P424" i="1"/>
  <c r="M423" i="1"/>
  <c r="N423" i="1" s="1"/>
  <c r="H423" i="1"/>
  <c r="I423" i="1" s="1"/>
  <c r="J423" i="1" s="1"/>
  <c r="O423" i="1"/>
  <c r="Q423" i="1"/>
  <c r="E422" i="1"/>
  <c r="S423" i="1"/>
  <c r="R423" i="1"/>
  <c r="P423" i="1"/>
  <c r="G422" i="1"/>
  <c r="F422" i="1"/>
  <c r="M422" i="1"/>
  <c r="N422" i="1" s="1"/>
  <c r="O422" i="1"/>
  <c r="H422" i="1"/>
  <c r="I422" i="1" s="1"/>
  <c r="J422" i="1" s="1"/>
  <c r="R422" i="1"/>
  <c r="P422" i="1"/>
  <c r="E421" i="1"/>
  <c r="G421" i="1"/>
  <c r="F421" i="1"/>
  <c r="S422" i="1"/>
  <c r="Q422" i="1"/>
  <c r="M421" i="1"/>
  <c r="N421" i="1" s="1"/>
  <c r="O421" i="1"/>
  <c r="H421" i="1"/>
  <c r="I421" i="1" s="1"/>
  <c r="J421" i="1" s="1"/>
  <c r="G420" i="1"/>
  <c r="E420" i="1"/>
  <c r="F420" i="1"/>
  <c r="S421" i="1"/>
  <c r="R421" i="1"/>
  <c r="Q421" i="1"/>
  <c r="P421" i="1"/>
  <c r="H420" i="1"/>
  <c r="I420" i="1" s="1"/>
  <c r="J420" i="1" s="1"/>
  <c r="O420" i="1"/>
  <c r="M420" i="1"/>
  <c r="N420" i="1" s="1"/>
  <c r="P420" i="1"/>
  <c r="G419" i="1"/>
  <c r="F419" i="1"/>
  <c r="E419" i="1"/>
  <c r="S420" i="1"/>
  <c r="R420" i="1"/>
  <c r="Q420" i="1"/>
  <c r="M419" i="1"/>
  <c r="N419" i="1" s="1"/>
  <c r="H419" i="1"/>
  <c r="I419" i="1" s="1"/>
  <c r="J419" i="1" s="1"/>
  <c r="O419" i="1"/>
  <c r="Q419" i="1"/>
  <c r="P419" i="1"/>
  <c r="S419" i="1"/>
  <c r="R419" i="1"/>
  <c r="E418" i="1"/>
  <c r="F418" i="1"/>
  <c r="G418" i="1"/>
  <c r="M418" i="1"/>
  <c r="N418" i="1" s="1"/>
  <c r="H418" i="1"/>
  <c r="I418" i="1" s="1"/>
  <c r="J418" i="1" s="1"/>
  <c r="O418" i="1"/>
  <c r="P418" i="1"/>
  <c r="Q418" i="1"/>
  <c r="E417" i="1"/>
  <c r="S418" i="1"/>
  <c r="R418" i="1"/>
  <c r="F417" i="1"/>
  <c r="G417" i="1"/>
  <c r="H417" i="1"/>
  <c r="I417" i="1" s="1"/>
  <c r="J417" i="1" s="1"/>
  <c r="M417" i="1"/>
  <c r="N417" i="1" s="1"/>
  <c r="O417" i="1"/>
  <c r="G416" i="1"/>
  <c r="E416" i="1"/>
  <c r="F416" i="1"/>
  <c r="P417" i="1"/>
  <c r="S417" i="1"/>
  <c r="R417" i="1"/>
  <c r="Q417" i="1"/>
  <c r="O416" i="1"/>
  <c r="M416" i="1"/>
  <c r="N416" i="1" s="1"/>
  <c r="H416" i="1"/>
  <c r="I416" i="1" s="1"/>
  <c r="J416" i="1" s="1"/>
  <c r="E415" i="1"/>
  <c r="G415" i="1"/>
  <c r="S416" i="1"/>
  <c r="Q416" i="1"/>
  <c r="P416" i="1"/>
  <c r="R416" i="1"/>
  <c r="F415" i="1"/>
  <c r="O415" i="1"/>
  <c r="H415" i="1"/>
  <c r="I415" i="1" s="1"/>
  <c r="J415" i="1" s="1"/>
  <c r="M415" i="1"/>
  <c r="N415" i="1" s="1"/>
  <c r="Q415" i="1"/>
  <c r="S415" i="1"/>
  <c r="E414" i="1"/>
  <c r="P415" i="1"/>
  <c r="R415" i="1"/>
  <c r="F414" i="1"/>
  <c r="G414" i="1"/>
  <c r="M414" i="1"/>
  <c r="N414" i="1" s="1"/>
  <c r="O414" i="1"/>
  <c r="H414" i="1"/>
  <c r="I414" i="1" s="1"/>
  <c r="J414" i="1" s="1"/>
  <c r="S414" i="1"/>
  <c r="G413" i="1"/>
  <c r="F413" i="1"/>
  <c r="E413" i="1"/>
  <c r="P414" i="1"/>
  <c r="Q414" i="1"/>
  <c r="R414" i="1"/>
  <c r="H413" i="1"/>
  <c r="I413" i="1" s="1"/>
  <c r="J413" i="1" s="1"/>
  <c r="O413" i="1"/>
  <c r="M413" i="1"/>
  <c r="N413" i="1" s="1"/>
  <c r="G412" i="1"/>
  <c r="F412" i="1"/>
  <c r="E412" i="1"/>
  <c r="S413" i="1"/>
  <c r="R413" i="1"/>
  <c r="Q413" i="1"/>
  <c r="P413" i="1"/>
  <c r="M412" i="1"/>
  <c r="N412" i="1" s="1"/>
  <c r="H412" i="1"/>
  <c r="I412" i="1" s="1"/>
  <c r="J412" i="1" s="1"/>
  <c r="O412" i="1"/>
  <c r="P412" i="1"/>
  <c r="Q412" i="1"/>
  <c r="R412" i="1"/>
  <c r="S412" i="1"/>
  <c r="E411" i="1"/>
  <c r="F411" i="1"/>
  <c r="G411" i="1"/>
  <c r="H411" i="1"/>
  <c r="I411" i="1" s="1"/>
  <c r="J411" i="1" s="1"/>
  <c r="M411" i="1"/>
  <c r="N411" i="1" s="1"/>
  <c r="O411" i="1"/>
  <c r="R411" i="1"/>
  <c r="S411" i="1"/>
  <c r="F410" i="1"/>
  <c r="E410" i="1"/>
  <c r="Q411" i="1"/>
  <c r="P411" i="1"/>
  <c r="G410" i="1"/>
  <c r="H410" i="1"/>
  <c r="I410" i="1" s="1"/>
  <c r="J410" i="1" s="1"/>
  <c r="M410" i="1"/>
  <c r="N410" i="1" s="1"/>
  <c r="O410" i="1"/>
  <c r="E409" i="1"/>
  <c r="F409" i="1"/>
  <c r="G409" i="1"/>
  <c r="P410" i="1"/>
  <c r="S410" i="1"/>
  <c r="R410" i="1"/>
  <c r="Q410" i="1"/>
  <c r="H409" i="1"/>
  <c r="I409" i="1" s="1"/>
  <c r="J409" i="1" s="1"/>
  <c r="O409" i="1"/>
  <c r="M409" i="1"/>
  <c r="N409" i="1" s="1"/>
  <c r="F408" i="1"/>
  <c r="P409" i="1"/>
  <c r="Q409" i="1"/>
  <c r="G408" i="1"/>
  <c r="S409" i="1"/>
  <c r="R409" i="1"/>
  <c r="E408" i="1"/>
  <c r="M408" i="1"/>
  <c r="N408" i="1" s="1"/>
  <c r="O408" i="1"/>
  <c r="H408" i="1"/>
  <c r="I408" i="1" s="1"/>
  <c r="J408" i="1" s="1"/>
  <c r="F407" i="1"/>
  <c r="E407" i="1"/>
  <c r="R408" i="1"/>
  <c r="P408" i="1"/>
  <c r="Q408" i="1"/>
  <c r="S408" i="1"/>
  <c r="G407" i="1"/>
  <c r="M407" i="1"/>
  <c r="N407" i="1" s="1"/>
  <c r="H407" i="1"/>
  <c r="I407" i="1" s="1"/>
  <c r="J407" i="1" s="1"/>
  <c r="O407" i="1"/>
  <c r="F406" i="1"/>
  <c r="S407" i="1"/>
  <c r="R407" i="1"/>
  <c r="Q407" i="1"/>
  <c r="E406" i="1"/>
  <c r="G406" i="1"/>
  <c r="P407" i="1"/>
  <c r="H406" i="1"/>
  <c r="I406" i="1" s="1"/>
  <c r="J406" i="1" s="1"/>
  <c r="M406" i="1"/>
  <c r="N406" i="1" s="1"/>
  <c r="O406" i="1"/>
  <c r="R406" i="1"/>
  <c r="S406" i="1"/>
  <c r="Q406" i="1"/>
  <c r="P406" i="1"/>
  <c r="G405" i="1"/>
  <c r="F405" i="1"/>
  <c r="E405" i="1"/>
  <c r="M405" i="1"/>
  <c r="N405" i="1" s="1"/>
  <c r="H405" i="1"/>
  <c r="I405" i="1" s="1"/>
  <c r="J405" i="1" s="1"/>
  <c r="O405" i="1"/>
  <c r="G404" i="1"/>
  <c r="F404" i="1"/>
  <c r="R405" i="1"/>
  <c r="E404" i="1"/>
  <c r="S405" i="1"/>
  <c r="Q405" i="1"/>
  <c r="P405" i="1"/>
  <c r="M404" i="1"/>
  <c r="N404" i="1" s="1"/>
  <c r="H404" i="1"/>
  <c r="I404" i="1" s="1"/>
  <c r="J404" i="1" s="1"/>
  <c r="O404" i="1"/>
  <c r="P404" i="1"/>
  <c r="Q404" i="1"/>
  <c r="R404" i="1"/>
  <c r="S404" i="1"/>
  <c r="F403" i="1"/>
  <c r="E403" i="1"/>
  <c r="G403" i="1"/>
  <c r="O403" i="1"/>
  <c r="M403" i="1"/>
  <c r="N403" i="1" s="1"/>
  <c r="H403" i="1"/>
  <c r="I403" i="1" s="1"/>
  <c r="J403" i="1" s="1"/>
  <c r="Q403" i="1"/>
  <c r="P403" i="1"/>
  <c r="R403" i="1"/>
  <c r="E402" i="1"/>
  <c r="F402" i="1"/>
  <c r="G402" i="1"/>
  <c r="S403" i="1"/>
  <c r="H402" i="1"/>
  <c r="I402" i="1" s="1"/>
  <c r="J402" i="1" s="1"/>
  <c r="M402" i="1"/>
  <c r="N402" i="1" s="1"/>
  <c r="O402" i="1"/>
  <c r="E401" i="1"/>
  <c r="F401" i="1"/>
  <c r="P402" i="1"/>
  <c r="Q402" i="1"/>
  <c r="R402" i="1"/>
  <c r="S402" i="1"/>
  <c r="G401" i="1"/>
  <c r="O401" i="1"/>
  <c r="M401" i="1"/>
  <c r="N401" i="1" s="1"/>
  <c r="H401" i="1"/>
  <c r="I401" i="1" s="1"/>
  <c r="J401" i="1" s="1"/>
  <c r="S401" i="1"/>
  <c r="R401" i="1"/>
  <c r="P401" i="1"/>
  <c r="Q401" i="1"/>
  <c r="G400" i="1"/>
  <c r="F400" i="1"/>
  <c r="E400" i="1"/>
  <c r="M400" i="1"/>
  <c r="N400" i="1" s="1"/>
  <c r="O400" i="1"/>
  <c r="H400" i="1"/>
  <c r="I400" i="1" s="1"/>
  <c r="J400" i="1" s="1"/>
  <c r="R400" i="1"/>
  <c r="Q400" i="1"/>
  <c r="P400" i="1"/>
  <c r="S400" i="1"/>
  <c r="G399" i="1"/>
  <c r="F399" i="1"/>
  <c r="E399" i="1"/>
  <c r="O399" i="1"/>
  <c r="M399" i="1"/>
  <c r="N399" i="1" s="1"/>
  <c r="H399" i="1"/>
  <c r="I399" i="1" s="1"/>
  <c r="J399" i="1" s="1"/>
  <c r="S399" i="1"/>
  <c r="R399" i="1"/>
  <c r="Q399" i="1"/>
  <c r="P399" i="1"/>
  <c r="G398" i="1"/>
  <c r="F398" i="1"/>
  <c r="E398" i="1"/>
  <c r="M398" i="1"/>
  <c r="N398" i="1" s="1"/>
  <c r="O398" i="1"/>
  <c r="H398" i="1"/>
  <c r="I398" i="1" s="1"/>
  <c r="J398" i="1" s="1"/>
  <c r="S398" i="1"/>
  <c r="R398" i="1"/>
  <c r="P398" i="1"/>
  <c r="Q398" i="1"/>
  <c r="F397" i="1"/>
  <c r="E397" i="1"/>
  <c r="G397" i="1"/>
  <c r="O397" i="1"/>
  <c r="H397" i="1"/>
  <c r="I397" i="1" s="1"/>
  <c r="J397" i="1" s="1"/>
  <c r="M397" i="1"/>
  <c r="N397" i="1" s="1"/>
  <c r="S397" i="1"/>
  <c r="R397" i="1"/>
  <c r="Q397" i="1"/>
  <c r="P397" i="1"/>
  <c r="E396" i="1"/>
  <c r="F396" i="1"/>
  <c r="G396" i="1"/>
  <c r="O396" i="1"/>
  <c r="M396" i="1"/>
  <c r="N396" i="1" s="1"/>
  <c r="H396" i="1"/>
  <c r="I396" i="1" s="1"/>
  <c r="J396" i="1" s="1"/>
  <c r="S396" i="1"/>
  <c r="P396" i="1"/>
  <c r="Q396" i="1"/>
  <c r="R396" i="1"/>
  <c r="G395" i="1"/>
  <c r="E395" i="1"/>
  <c r="F395" i="1"/>
  <c r="H395" i="1"/>
  <c r="I395" i="1" s="1"/>
  <c r="J395" i="1" s="1"/>
  <c r="O395" i="1"/>
  <c r="M395" i="1"/>
  <c r="N395" i="1" s="1"/>
  <c r="S395" i="1"/>
  <c r="R395" i="1"/>
  <c r="E394" i="1"/>
  <c r="Q395" i="1"/>
  <c r="F394" i="1"/>
  <c r="G394" i="1"/>
  <c r="P395" i="1"/>
  <c r="O394" i="1"/>
  <c r="M394" i="1"/>
  <c r="N394" i="1" s="1"/>
  <c r="H394" i="1"/>
  <c r="I394" i="1" s="1"/>
  <c r="J394" i="1" s="1"/>
  <c r="G393" i="1"/>
  <c r="E393" i="1"/>
  <c r="F393" i="1"/>
  <c r="P394" i="1"/>
  <c r="Q394" i="1"/>
  <c r="R394" i="1"/>
  <c r="S394" i="1"/>
  <c r="O393" i="1"/>
  <c r="H393" i="1"/>
  <c r="I393" i="1" s="1"/>
  <c r="J393" i="1" s="1"/>
  <c r="M393" i="1"/>
  <c r="N393" i="1" s="1"/>
  <c r="P393" i="1"/>
  <c r="Q393" i="1"/>
  <c r="R393" i="1"/>
  <c r="E392" i="1"/>
  <c r="S393" i="1"/>
  <c r="G392" i="1"/>
  <c r="F392" i="1"/>
  <c r="O392" i="1"/>
  <c r="M392" i="1"/>
  <c r="N392" i="1" s="1"/>
  <c r="H392" i="1"/>
  <c r="I392" i="1" s="1"/>
  <c r="J392" i="1" s="1"/>
  <c r="E391" i="1"/>
  <c r="S392" i="1"/>
  <c r="R392" i="1"/>
  <c r="Q392" i="1"/>
  <c r="P392" i="1"/>
  <c r="G391" i="1"/>
  <c r="F391" i="1"/>
  <c r="O391" i="1"/>
  <c r="H391" i="1"/>
  <c r="I391" i="1" s="1"/>
  <c r="J391" i="1" s="1"/>
  <c r="M391" i="1"/>
  <c r="N391" i="1" s="1"/>
  <c r="R391" i="1"/>
  <c r="P391" i="1"/>
  <c r="E390" i="1"/>
  <c r="F390" i="1"/>
  <c r="Q391" i="1"/>
  <c r="G390" i="1"/>
  <c r="S391" i="1"/>
  <c r="H390" i="1"/>
  <c r="I390" i="1" s="1"/>
  <c r="J390" i="1" s="1"/>
  <c r="M390" i="1"/>
  <c r="N390" i="1" s="1"/>
  <c r="O390" i="1"/>
  <c r="Q390" i="1"/>
  <c r="S390" i="1"/>
  <c r="R390" i="1"/>
  <c r="G389" i="1"/>
  <c r="F389" i="1"/>
  <c r="E389" i="1"/>
  <c r="P390" i="1"/>
  <c r="M389" i="1"/>
  <c r="N389" i="1" s="1"/>
  <c r="H389" i="1"/>
  <c r="I389" i="1" s="1"/>
  <c r="J389" i="1" s="1"/>
  <c r="O389" i="1"/>
  <c r="F388" i="1"/>
  <c r="S389" i="1"/>
  <c r="E388" i="1"/>
  <c r="G388" i="1"/>
  <c r="R389" i="1"/>
  <c r="Q389" i="1"/>
  <c r="P389" i="1"/>
  <c r="O388" i="1"/>
  <c r="M388" i="1"/>
  <c r="N388" i="1" s="1"/>
  <c r="H388" i="1"/>
  <c r="I388" i="1" s="1"/>
  <c r="J388" i="1" s="1"/>
  <c r="S388" i="1"/>
  <c r="R388" i="1"/>
  <c r="P388" i="1"/>
  <c r="Q388" i="1"/>
  <c r="G387" i="1"/>
  <c r="E387" i="1"/>
  <c r="F387" i="1"/>
  <c r="H387" i="1"/>
  <c r="I387" i="1" s="1"/>
  <c r="J387" i="1" s="1"/>
  <c r="M387" i="1"/>
  <c r="N387" i="1" s="1"/>
  <c r="O387" i="1"/>
  <c r="F386" i="1"/>
  <c r="P387" i="1"/>
  <c r="Q387" i="1"/>
  <c r="R387" i="1"/>
  <c r="S387" i="1"/>
  <c r="E386" i="1"/>
  <c r="G386" i="1"/>
  <c r="M386" i="1"/>
  <c r="N386" i="1" s="1"/>
  <c r="O386" i="1"/>
  <c r="H386" i="1"/>
  <c r="I386" i="1" s="1"/>
  <c r="J386" i="1" s="1"/>
  <c r="R386" i="1"/>
  <c r="S386" i="1"/>
  <c r="F385" i="1"/>
  <c r="E385" i="1"/>
  <c r="G385" i="1"/>
  <c r="P386" i="1"/>
  <c r="Q386" i="1"/>
  <c r="O385" i="1"/>
  <c r="M385" i="1"/>
  <c r="N385" i="1" s="1"/>
  <c r="H385" i="1"/>
  <c r="I385" i="1" s="1"/>
  <c r="J385" i="1" s="1"/>
  <c r="R385" i="1"/>
  <c r="Q385" i="1"/>
  <c r="P385" i="1"/>
  <c r="S385" i="1"/>
  <c r="G384" i="1"/>
  <c r="F384" i="1"/>
  <c r="E384" i="1"/>
  <c r="O384" i="1"/>
  <c r="M384" i="1"/>
  <c r="N384" i="1" s="1"/>
  <c r="H384" i="1"/>
  <c r="I384" i="1" s="1"/>
  <c r="J384" i="1" s="1"/>
  <c r="G383" i="1"/>
  <c r="F383" i="1"/>
  <c r="E383" i="1"/>
  <c r="S384" i="1"/>
  <c r="R384" i="1"/>
  <c r="Q384" i="1"/>
  <c r="P384" i="1"/>
  <c r="M383" i="1"/>
  <c r="N383" i="1" s="1"/>
  <c r="H383" i="1"/>
  <c r="I383" i="1" s="1"/>
  <c r="J383" i="1" s="1"/>
  <c r="O383" i="1"/>
  <c r="S383" i="1"/>
  <c r="E382" i="1"/>
  <c r="F382" i="1"/>
  <c r="G382" i="1"/>
  <c r="P383" i="1"/>
  <c r="Q383" i="1"/>
  <c r="R383" i="1"/>
  <c r="H382" i="1"/>
  <c r="I382" i="1" s="1"/>
  <c r="J382" i="1" s="1"/>
  <c r="O382" i="1"/>
  <c r="M382" i="1"/>
  <c r="N382" i="1" s="1"/>
  <c r="Q382" i="1"/>
  <c r="E381" i="1"/>
  <c r="P382" i="1"/>
  <c r="F381" i="1"/>
  <c r="G381" i="1"/>
  <c r="S382" i="1"/>
  <c r="R382" i="1"/>
  <c r="M381" i="1"/>
  <c r="N381" i="1" s="1"/>
  <c r="O381" i="1"/>
  <c r="H381" i="1"/>
  <c r="I381" i="1" s="1"/>
  <c r="J381" i="1" s="1"/>
  <c r="R381" i="1"/>
  <c r="Q381" i="1"/>
  <c r="P381" i="1"/>
  <c r="S381" i="1"/>
  <c r="E380" i="1"/>
  <c r="F380" i="1"/>
  <c r="G380" i="1"/>
  <c r="H380" i="1"/>
  <c r="I380" i="1" s="1"/>
  <c r="J380" i="1" s="1"/>
  <c r="O380" i="1"/>
  <c r="M380" i="1"/>
  <c r="N380" i="1" s="1"/>
  <c r="E379" i="1"/>
  <c r="G379" i="1"/>
  <c r="F379" i="1"/>
  <c r="S380" i="1"/>
  <c r="R380" i="1"/>
  <c r="Q380" i="1"/>
  <c r="P380" i="1"/>
  <c r="M379" i="1"/>
  <c r="N379" i="1" s="1"/>
  <c r="H379" i="1"/>
  <c r="I379" i="1" s="1"/>
  <c r="J379" i="1" s="1"/>
  <c r="O379" i="1"/>
  <c r="R379" i="1"/>
  <c r="S379" i="1"/>
  <c r="P378" i="1"/>
  <c r="P379" i="1"/>
  <c r="R378" i="1"/>
  <c r="Q378" i="1"/>
  <c r="E378" i="1"/>
  <c r="F378" i="1"/>
  <c r="G378" i="1"/>
  <c r="S378" i="1"/>
  <c r="Q379" i="1"/>
  <c r="H378" i="1"/>
  <c r="I378" i="1" s="1"/>
  <c r="J378" i="1" s="1"/>
  <c r="M378" i="1"/>
  <c r="N378" i="1" s="1"/>
  <c r="O378" i="1"/>
  <c r="G377" i="1"/>
  <c r="F377" i="1"/>
  <c r="H377" i="1"/>
  <c r="I377" i="1" s="1"/>
  <c r="J377" i="1" s="1"/>
  <c r="M377" i="1"/>
  <c r="N377" i="1" s="1"/>
  <c r="O377" i="1"/>
  <c r="G376" i="1"/>
  <c r="F376" i="1"/>
  <c r="P377" i="1"/>
  <c r="O376" i="1"/>
  <c r="M376" i="1"/>
  <c r="N376" i="1" s="1"/>
  <c r="H376" i="1"/>
  <c r="I376" i="1" s="1"/>
  <c r="J376" i="1" s="1"/>
  <c r="R376" i="1"/>
  <c r="Q376" i="1"/>
  <c r="P376" i="1"/>
  <c r="F375" i="1"/>
  <c r="G375" i="1"/>
  <c r="S376" i="1"/>
  <c r="H375" i="1"/>
  <c r="I375" i="1" s="1"/>
  <c r="J375" i="1" s="1"/>
  <c r="O375" i="1"/>
  <c r="M375" i="1"/>
  <c r="N375" i="1" s="1"/>
  <c r="F374" i="1"/>
  <c r="S375" i="1"/>
  <c r="R375" i="1"/>
  <c r="Q375" i="1"/>
  <c r="P375" i="1"/>
  <c r="G374" i="1"/>
  <c r="H374" i="1"/>
  <c r="I374" i="1" s="1"/>
  <c r="J374" i="1" s="1"/>
  <c r="O374" i="1"/>
  <c r="M374" i="1"/>
  <c r="N374" i="1" s="1"/>
  <c r="S374" i="1"/>
  <c r="Q374" i="1"/>
  <c r="P374" i="1"/>
  <c r="R374" i="1"/>
  <c r="G373" i="1"/>
  <c r="F373" i="1"/>
  <c r="O373" i="1"/>
  <c r="M373" i="1"/>
  <c r="N373" i="1" s="1"/>
  <c r="H373" i="1"/>
  <c r="I373" i="1" s="1"/>
  <c r="J373" i="1" s="1"/>
  <c r="S373" i="1"/>
  <c r="P373" i="1"/>
  <c r="Q373" i="1"/>
  <c r="G372" i="1"/>
  <c r="F372" i="1"/>
  <c r="R373" i="1"/>
  <c r="H372" i="1"/>
  <c r="I372" i="1" s="1"/>
  <c r="J372" i="1" s="1"/>
  <c r="O372" i="1"/>
  <c r="M372" i="1"/>
  <c r="N372" i="1" s="1"/>
  <c r="G371" i="1"/>
  <c r="F371" i="1"/>
  <c r="P372" i="1"/>
  <c r="S372" i="1"/>
  <c r="R372" i="1"/>
  <c r="Q372" i="1"/>
  <c r="M371" i="1"/>
  <c r="N371" i="1" s="1"/>
  <c r="O371" i="1"/>
  <c r="H371" i="1"/>
  <c r="I371" i="1" s="1"/>
  <c r="J371" i="1" s="1"/>
  <c r="P371" i="1"/>
  <c r="S371" i="1"/>
  <c r="G370" i="1"/>
  <c r="R371" i="1"/>
  <c r="F370" i="1"/>
  <c r="Q371" i="1"/>
  <c r="H370" i="1"/>
  <c r="I370" i="1" s="1"/>
  <c r="J370" i="1" s="1"/>
  <c r="M370" i="1"/>
  <c r="N370" i="1" s="1"/>
  <c r="O370" i="1"/>
  <c r="P370" i="1"/>
  <c r="Q370" i="1"/>
  <c r="R370" i="1"/>
  <c r="S370" i="1"/>
  <c r="G369" i="1"/>
  <c r="F369" i="1"/>
  <c r="M369" i="1"/>
  <c r="N369" i="1" s="1"/>
  <c r="O369" i="1"/>
  <c r="H369" i="1"/>
  <c r="I369" i="1" s="1"/>
  <c r="J369" i="1" s="1"/>
  <c r="P369" i="1"/>
  <c r="R369" i="1"/>
  <c r="S369" i="1"/>
  <c r="Q369" i="1"/>
  <c r="F368" i="1"/>
  <c r="G368" i="1"/>
  <c r="M368" i="1"/>
  <c r="N368" i="1" s="1"/>
  <c r="H368" i="1"/>
  <c r="I368" i="1" s="1"/>
  <c r="J368" i="1" s="1"/>
  <c r="O368" i="1"/>
  <c r="Q368" i="1"/>
  <c r="R368" i="1"/>
  <c r="S368" i="1"/>
  <c r="B122" i="1"/>
  <c r="F367" i="1"/>
  <c r="G367" i="1"/>
  <c r="P368" i="1"/>
  <c r="O367" i="1"/>
  <c r="M367" i="1"/>
  <c r="N367" i="1" s="1"/>
  <c r="H367" i="1"/>
  <c r="I367" i="1" s="1"/>
  <c r="J367" i="1" s="1"/>
  <c r="R367" i="1"/>
  <c r="Q367" i="1"/>
  <c r="P367" i="1"/>
  <c r="G366" i="1"/>
  <c r="F366" i="1"/>
  <c r="S367" i="1"/>
  <c r="O366" i="1"/>
  <c r="M366" i="1"/>
  <c r="N366" i="1" s="1"/>
  <c r="H366" i="1"/>
  <c r="I366" i="1" s="1"/>
  <c r="J366" i="1" s="1"/>
  <c r="S366" i="1"/>
  <c r="R366" i="1"/>
  <c r="Q366" i="1"/>
  <c r="P366" i="1"/>
  <c r="G365" i="1"/>
  <c r="F365" i="1"/>
  <c r="H365" i="1"/>
  <c r="I365" i="1" s="1"/>
  <c r="J365" i="1" s="1"/>
  <c r="O365" i="1"/>
  <c r="M365" i="1"/>
  <c r="N365" i="1" s="1"/>
  <c r="F364" i="1"/>
  <c r="S365" i="1"/>
  <c r="R365" i="1"/>
  <c r="Q365" i="1"/>
  <c r="P365" i="1"/>
  <c r="G364" i="1"/>
  <c r="O364" i="1"/>
  <c r="M364" i="1"/>
  <c r="N364" i="1" s="1"/>
  <c r="H364" i="1"/>
  <c r="I364" i="1" s="1"/>
  <c r="J364" i="1" s="1"/>
  <c r="Q364" i="1"/>
  <c r="P364" i="1"/>
  <c r="R364" i="1"/>
  <c r="S364" i="1"/>
  <c r="G363" i="1"/>
  <c r="F363" i="1"/>
  <c r="O363" i="1"/>
  <c r="M363" i="1"/>
  <c r="N363" i="1" s="1"/>
  <c r="H363" i="1"/>
  <c r="I363" i="1" s="1"/>
  <c r="J363" i="1" s="1"/>
  <c r="S363" i="1"/>
  <c r="R363" i="1"/>
  <c r="Q363" i="1"/>
  <c r="P363" i="1"/>
  <c r="F362" i="1"/>
  <c r="G362" i="1"/>
  <c r="H362" i="1"/>
  <c r="I362" i="1" s="1"/>
  <c r="J362" i="1" s="1"/>
  <c r="M362" i="1"/>
  <c r="N362" i="1" s="1"/>
  <c r="O362" i="1"/>
  <c r="F361" i="1"/>
  <c r="P362" i="1"/>
  <c r="Q362" i="1"/>
  <c r="R362" i="1"/>
  <c r="S362" i="1"/>
  <c r="G361" i="1"/>
  <c r="H361" i="1"/>
  <c r="I361" i="1" s="1"/>
  <c r="J361" i="1" s="1"/>
  <c r="M361" i="1"/>
  <c r="N361" i="1" s="1"/>
  <c r="O361" i="1"/>
  <c r="S361" i="1"/>
  <c r="F360" i="1"/>
  <c r="G360" i="1"/>
  <c r="R361" i="1"/>
  <c r="P361" i="1"/>
  <c r="Q361" i="1"/>
  <c r="H360" i="1"/>
  <c r="I360" i="1" s="1"/>
  <c r="J360" i="1" s="1"/>
  <c r="M360" i="1"/>
  <c r="N360" i="1" s="1"/>
  <c r="O360" i="1"/>
  <c r="G359" i="1"/>
  <c r="P360" i="1"/>
  <c r="Q360" i="1"/>
  <c r="R360" i="1"/>
  <c r="S360" i="1"/>
  <c r="F359" i="1"/>
  <c r="O359" i="1"/>
  <c r="M359" i="1"/>
  <c r="N359" i="1" s="1"/>
  <c r="H359" i="1"/>
  <c r="I359" i="1" s="1"/>
  <c r="J359" i="1" s="1"/>
  <c r="R359" i="1"/>
  <c r="Q359" i="1"/>
  <c r="L358" i="1"/>
  <c r="P359" i="1"/>
  <c r="S359" i="1"/>
  <c r="F358" i="1"/>
  <c r="G358" i="1"/>
  <c r="O358" i="1"/>
  <c r="M358" i="1"/>
  <c r="N358" i="1" s="1"/>
  <c r="H358" i="1"/>
  <c r="I358" i="1" s="1"/>
  <c r="J358" i="1" s="1"/>
  <c r="Q358" i="1"/>
  <c r="F357" i="1"/>
  <c r="G357" i="1"/>
  <c r="L357" i="1"/>
  <c r="P358" i="1"/>
  <c r="R358" i="1"/>
  <c r="S358" i="1"/>
  <c r="H357" i="1"/>
  <c r="I357" i="1" s="1"/>
  <c r="J357" i="1" s="1"/>
  <c r="M357" i="1"/>
  <c r="N357" i="1" s="1"/>
  <c r="O357" i="1"/>
  <c r="S357" i="1"/>
  <c r="P357" i="1"/>
  <c r="Q357" i="1"/>
  <c r="R357" i="1"/>
  <c r="L356" i="1"/>
  <c r="G356" i="1"/>
  <c r="F356" i="1"/>
  <c r="H356" i="1"/>
  <c r="I356" i="1" s="1"/>
  <c r="J356" i="1" s="1"/>
  <c r="M356" i="1"/>
  <c r="N356" i="1" s="1"/>
  <c r="O356" i="1"/>
  <c r="L355" i="1"/>
  <c r="S356" i="1"/>
  <c r="R356" i="1"/>
  <c r="G355" i="1"/>
  <c r="P356" i="1"/>
  <c r="F355" i="1"/>
  <c r="Q356" i="1"/>
  <c r="O355" i="1"/>
  <c r="H355" i="1"/>
  <c r="I355" i="1" s="1"/>
  <c r="J355" i="1" s="1"/>
  <c r="M355" i="1"/>
  <c r="N355" i="1" s="1"/>
  <c r="F354" i="1"/>
  <c r="G354" i="1"/>
  <c r="S355" i="1"/>
  <c r="R355" i="1"/>
  <c r="Q355" i="1"/>
  <c r="P355" i="1"/>
  <c r="O354" i="1"/>
  <c r="H354" i="1"/>
  <c r="I354" i="1" s="1"/>
  <c r="J354" i="1" s="1"/>
  <c r="M354" i="1"/>
  <c r="N354" i="1" s="1"/>
  <c r="Q354" i="1"/>
  <c r="P354" i="1"/>
  <c r="G353" i="1"/>
  <c r="S354" i="1"/>
  <c r="R354" i="1"/>
  <c r="F353" i="1"/>
  <c r="O353" i="1"/>
  <c r="M353" i="1"/>
  <c r="N353" i="1" s="1"/>
  <c r="H353" i="1"/>
  <c r="I353" i="1" s="1"/>
  <c r="J353" i="1" s="1"/>
  <c r="S353" i="1"/>
  <c r="G352" i="1"/>
  <c r="F352" i="1"/>
  <c r="Q353" i="1"/>
  <c r="P353" i="1"/>
  <c r="R353" i="1"/>
  <c r="O352" i="1"/>
  <c r="M352" i="1"/>
  <c r="N352" i="1" s="1"/>
  <c r="H352" i="1"/>
  <c r="I352" i="1" s="1"/>
  <c r="J352" i="1" s="1"/>
  <c r="P352" i="1"/>
  <c r="S352" i="1"/>
  <c r="R352" i="1"/>
  <c r="G351" i="1"/>
  <c r="F351" i="1"/>
  <c r="Q352" i="1"/>
  <c r="M351" i="1"/>
  <c r="N351" i="1" s="1"/>
  <c r="O351" i="1"/>
  <c r="H351" i="1"/>
  <c r="I351" i="1" s="1"/>
  <c r="J351" i="1" s="1"/>
  <c r="G350" i="1"/>
  <c r="P351" i="1"/>
  <c r="Q351" i="1"/>
  <c r="R351" i="1"/>
  <c r="F350" i="1"/>
  <c r="S351" i="1"/>
  <c r="M350" i="1"/>
  <c r="N350" i="1" s="1"/>
  <c r="H350" i="1"/>
  <c r="I350" i="1" s="1"/>
  <c r="J350" i="1" s="1"/>
  <c r="O350" i="1"/>
  <c r="P350" i="1"/>
  <c r="Q350" i="1"/>
  <c r="F349" i="1"/>
  <c r="R350" i="1"/>
  <c r="G349" i="1"/>
  <c r="S350" i="1"/>
  <c r="H349" i="1"/>
  <c r="I349" i="1" s="1"/>
  <c r="J349" i="1" s="1"/>
  <c r="M349" i="1"/>
  <c r="N349" i="1" s="1"/>
  <c r="O349" i="1"/>
  <c r="G348" i="1"/>
  <c r="F348" i="1"/>
  <c r="P349" i="1"/>
  <c r="Q349" i="1"/>
  <c r="R349" i="1"/>
  <c r="S349" i="1"/>
  <c r="H348" i="1"/>
  <c r="I348" i="1" s="1"/>
  <c r="J348" i="1" s="1"/>
  <c r="O348" i="1"/>
  <c r="M348" i="1"/>
  <c r="N348" i="1" s="1"/>
  <c r="E360" i="1"/>
  <c r="E361" i="1"/>
  <c r="E443" i="1"/>
  <c r="E448" i="1"/>
  <c r="E369" i="1"/>
  <c r="E375" i="1"/>
  <c r="E449" i="1"/>
  <c r="E376" i="1"/>
  <c r="P348" i="1"/>
  <c r="Q348" i="1"/>
  <c r="E442" i="1"/>
  <c r="R348" i="1"/>
  <c r="E435" i="1"/>
  <c r="E349" i="1"/>
  <c r="E368" i="1"/>
  <c r="E441" i="1"/>
  <c r="E367" i="1"/>
  <c r="E350" i="1"/>
  <c r="S348" i="1"/>
  <c r="E440" i="1"/>
  <c r="E366" i="1"/>
  <c r="E351" i="1"/>
  <c r="E374" i="1"/>
  <c r="E348" i="1"/>
  <c r="E447" i="1"/>
  <c r="F347" i="1"/>
  <c r="E439" i="1"/>
  <c r="E347" i="1"/>
  <c r="E365" i="1"/>
  <c r="E354" i="1"/>
  <c r="E373" i="1"/>
  <c r="E454" i="1"/>
  <c r="E352" i="1"/>
  <c r="E446" i="1"/>
  <c r="E372" i="1"/>
  <c r="E377" i="1"/>
  <c r="E450" i="1"/>
  <c r="E451" i="1"/>
  <c r="E445" i="1"/>
  <c r="E371" i="1"/>
  <c r="E438" i="1"/>
  <c r="E364" i="1"/>
  <c r="E355" i="1"/>
  <c r="E455" i="1"/>
  <c r="E356" i="1"/>
  <c r="E444" i="1"/>
  <c r="E362" i="1"/>
  <c r="E357" i="1"/>
  <c r="E436" i="1"/>
  <c r="E353" i="1"/>
  <c r="E456" i="1"/>
  <c r="E453" i="1"/>
  <c r="E452" i="1"/>
  <c r="E363" i="1"/>
  <c r="E437" i="1"/>
  <c r="E358" i="1"/>
  <c r="E370" i="1"/>
  <c r="E457" i="1"/>
  <c r="E359" i="1"/>
  <c r="E434" i="1"/>
  <c r="H347" i="1"/>
  <c r="I347" i="1" s="1"/>
  <c r="J347" i="1" s="1"/>
  <c r="M347" i="1"/>
  <c r="N347" i="1" s="1"/>
  <c r="K324" i="1"/>
  <c r="J324" i="1"/>
  <c r="J323" i="1"/>
  <c r="K323" i="1"/>
  <c r="K322" i="1"/>
  <c r="J322" i="1"/>
  <c r="J321" i="1"/>
  <c r="K321" i="1"/>
  <c r="K319" i="1"/>
  <c r="J319" i="1"/>
  <c r="J318" i="1"/>
  <c r="K318" i="1"/>
  <c r="J317" i="1"/>
  <c r="K317" i="1"/>
  <c r="K316" i="1"/>
  <c r="J316" i="1"/>
  <c r="K287" i="1"/>
  <c r="J287" i="1"/>
  <c r="J286" i="1"/>
  <c r="K286" i="1"/>
  <c r="K285" i="1"/>
  <c r="J285" i="1"/>
  <c r="J284" i="1"/>
  <c r="K284" i="1"/>
  <c r="J283" i="1"/>
  <c r="K283" i="1"/>
  <c r="J282" i="1"/>
  <c r="K282" i="1"/>
  <c r="J281" i="1"/>
  <c r="K281" i="1"/>
  <c r="J280" i="1"/>
  <c r="K280" i="1"/>
  <c r="J279" i="1"/>
  <c r="K279" i="1"/>
  <c r="K278" i="1"/>
  <c r="J278" i="1"/>
  <c r="J277" i="1"/>
  <c r="K277" i="1"/>
  <c r="J276" i="1"/>
  <c r="K276" i="1"/>
  <c r="K275" i="1"/>
  <c r="J275" i="1"/>
  <c r="J274" i="1"/>
  <c r="K274" i="1"/>
  <c r="K273" i="1"/>
  <c r="J273" i="1"/>
  <c r="K272" i="1"/>
  <c r="J272" i="1"/>
  <c r="K271" i="1"/>
  <c r="J271" i="1"/>
  <c r="K270" i="1"/>
  <c r="J270" i="1"/>
  <c r="J269" i="1"/>
  <c r="K269" i="1"/>
  <c r="K268" i="1"/>
  <c r="J268" i="1"/>
  <c r="K267" i="1"/>
  <c r="J267" i="1"/>
  <c r="J266" i="1"/>
  <c r="K266" i="1"/>
  <c r="J265" i="1"/>
  <c r="K265" i="1"/>
  <c r="K264" i="1"/>
  <c r="J264" i="1"/>
  <c r="K263" i="1"/>
  <c r="J263" i="1"/>
  <c r="K262" i="1"/>
  <c r="J262" i="1"/>
  <c r="K261" i="1"/>
  <c r="J261" i="1"/>
  <c r="K260" i="1"/>
  <c r="J260" i="1"/>
  <c r="K259" i="1"/>
  <c r="J259" i="1"/>
  <c r="J209" i="1"/>
  <c r="K209" i="1"/>
  <c r="J207" i="1"/>
  <c r="K207" i="1"/>
  <c r="K206" i="1"/>
  <c r="J206" i="1"/>
  <c r="K205" i="1"/>
  <c r="J205" i="1"/>
  <c r="K204" i="1"/>
  <c r="J204" i="1"/>
  <c r="K203" i="1"/>
  <c r="J203" i="1"/>
  <c r="K202" i="1"/>
  <c r="J202" i="1"/>
  <c r="K201" i="1"/>
  <c r="J201" i="1"/>
  <c r="K200" i="1"/>
  <c r="J200" i="1"/>
  <c r="K199" i="1"/>
  <c r="J199" i="1"/>
  <c r="K198" i="1"/>
  <c r="J198" i="1"/>
  <c r="J197" i="1"/>
  <c r="K197" i="1"/>
  <c r="K196" i="1"/>
  <c r="J196" i="1"/>
  <c r="K195" i="1"/>
  <c r="J195" i="1"/>
  <c r="J194" i="1"/>
  <c r="K194" i="1"/>
  <c r="K193" i="1"/>
  <c r="J193" i="1"/>
  <c r="K192" i="1"/>
  <c r="J192" i="1"/>
  <c r="J191" i="1"/>
  <c r="K191" i="1"/>
  <c r="K190" i="1"/>
  <c r="J190" i="1"/>
  <c r="K189" i="1"/>
  <c r="J189" i="1"/>
  <c r="K188" i="1"/>
  <c r="J188" i="1"/>
  <c r="J187" i="1"/>
  <c r="K187" i="1"/>
  <c r="K186" i="1"/>
  <c r="J186" i="1"/>
  <c r="K185" i="1"/>
  <c r="J185" i="1"/>
  <c r="K184" i="1"/>
  <c r="J184" i="1"/>
  <c r="K183" i="1"/>
  <c r="J183" i="1"/>
  <c r="K182" i="1"/>
  <c r="J182" i="1"/>
  <c r="J181" i="1"/>
  <c r="K181" i="1"/>
  <c r="J180" i="1"/>
  <c r="K180" i="1"/>
  <c r="J179" i="1"/>
  <c r="K179" i="1"/>
  <c r="K178" i="1"/>
  <c r="J178" i="1"/>
  <c r="J177" i="1"/>
  <c r="K177" i="1"/>
  <c r="J176" i="1"/>
  <c r="K176" i="1"/>
  <c r="K175" i="1"/>
  <c r="J175" i="1"/>
  <c r="J174" i="1"/>
  <c r="K174" i="1"/>
  <c r="J173" i="1"/>
  <c r="K173" i="1"/>
  <c r="J172" i="1"/>
  <c r="K172" i="1"/>
  <c r="J171" i="1"/>
  <c r="K171" i="1"/>
  <c r="J170" i="1"/>
  <c r="K170" i="1"/>
  <c r="K169" i="1"/>
  <c r="J169" i="1"/>
  <c r="K168" i="1"/>
  <c r="J168" i="1"/>
  <c r="K167" i="1"/>
  <c r="J167" i="1"/>
  <c r="J166" i="1"/>
  <c r="K166" i="1"/>
  <c r="K165" i="1"/>
  <c r="J165" i="1"/>
  <c r="K164" i="1"/>
  <c r="J164" i="1"/>
  <c r="K163" i="1"/>
  <c r="J163" i="1"/>
  <c r="K162" i="1"/>
  <c r="J162" i="1"/>
  <c r="K161" i="1"/>
  <c r="J161" i="1"/>
  <c r="K160" i="1"/>
  <c r="J160" i="1"/>
  <c r="J159" i="1"/>
  <c r="K159" i="1"/>
  <c r="K158" i="1"/>
  <c r="J158" i="1"/>
  <c r="K157" i="1"/>
  <c r="J157" i="1"/>
  <c r="K156" i="1"/>
  <c r="J156" i="1"/>
  <c r="J155" i="1"/>
  <c r="K155" i="1"/>
  <c r="K154" i="1"/>
  <c r="J154" i="1"/>
  <c r="K153" i="1"/>
  <c r="J153" i="1"/>
  <c r="K152" i="1"/>
  <c r="J152" i="1"/>
  <c r="J151" i="1"/>
  <c r="K151" i="1"/>
  <c r="J150" i="1"/>
  <c r="K150" i="1"/>
  <c r="K149" i="1"/>
  <c r="J149" i="1"/>
  <c r="K148" i="1"/>
  <c r="J148" i="1"/>
  <c r="J147" i="1"/>
  <c r="K147" i="1"/>
  <c r="J146" i="1"/>
  <c r="K146" i="1"/>
  <c r="K145" i="1"/>
  <c r="J145" i="1"/>
  <c r="J142" i="1"/>
  <c r="K142" i="1"/>
  <c r="K141" i="1"/>
  <c r="J141" i="1"/>
  <c r="J140" i="1"/>
  <c r="K140" i="1"/>
  <c r="K139" i="1"/>
  <c r="J139" i="1"/>
  <c r="J138" i="1"/>
  <c r="K138" i="1"/>
  <c r="J137" i="1"/>
  <c r="K137" i="1"/>
  <c r="J136" i="1"/>
  <c r="K136" i="1"/>
  <c r="J135" i="1"/>
  <c r="K135" i="1"/>
  <c r="K134" i="1"/>
  <c r="J134" i="1"/>
  <c r="J133" i="1"/>
  <c r="K133" i="1"/>
  <c r="K132" i="1"/>
  <c r="J132" i="1"/>
  <c r="J131" i="1"/>
  <c r="K131" i="1"/>
  <c r="K130" i="1"/>
  <c r="J130" i="1"/>
  <c r="K129" i="1"/>
  <c r="J129" i="1"/>
  <c r="J128" i="1"/>
  <c r="K128" i="1"/>
  <c r="J127" i="1"/>
  <c r="K127" i="1"/>
  <c r="J126" i="1"/>
  <c r="K126" i="1"/>
  <c r="K125" i="1"/>
  <c r="J125" i="1"/>
  <c r="K124" i="1"/>
  <c r="J124" i="1"/>
  <c r="K123" i="1"/>
  <c r="J123" i="1"/>
  <c r="K121" i="1"/>
  <c r="J121" i="1"/>
  <c r="K120" i="1"/>
  <c r="J120" i="1"/>
  <c r="K119" i="1"/>
  <c r="J119" i="1"/>
  <c r="K118" i="1"/>
  <c r="J118" i="1"/>
  <c r="K117" i="1"/>
  <c r="J117" i="1"/>
  <c r="K116" i="1"/>
  <c r="J116" i="1"/>
  <c r="J115" i="1"/>
  <c r="K115" i="1"/>
  <c r="J114" i="1"/>
  <c r="K114" i="1"/>
  <c r="J113" i="1"/>
  <c r="K113" i="1"/>
  <c r="K112" i="1"/>
  <c r="J112" i="1"/>
  <c r="J111" i="1"/>
  <c r="K111" i="1"/>
  <c r="J110" i="1"/>
  <c r="K110" i="1"/>
  <c r="J109" i="1"/>
  <c r="K109" i="1"/>
  <c r="J108" i="1"/>
  <c r="K108" i="1"/>
  <c r="J107" i="1"/>
  <c r="K107" i="1"/>
  <c r="J106" i="1"/>
  <c r="K106" i="1"/>
  <c r="J105" i="1"/>
  <c r="K105" i="1"/>
  <c r="K104" i="1"/>
  <c r="J104" i="1"/>
  <c r="K1099" i="1"/>
  <c r="L1099" i="1" s="1"/>
  <c r="K1096" i="1"/>
  <c r="L1096" i="1" s="1"/>
  <c r="K1088" i="1"/>
  <c r="L1088" i="1" s="1"/>
  <c r="K1089" i="1"/>
  <c r="L1089" i="1" s="1"/>
  <c r="K1092" i="1"/>
  <c r="L1092" i="1" s="1"/>
  <c r="K1100" i="1"/>
  <c r="L1100" i="1" s="1"/>
  <c r="K1095" i="1"/>
  <c r="L1095" i="1" s="1"/>
  <c r="K1094" i="1"/>
  <c r="L1094" i="1" s="1"/>
  <c r="K1093" i="1"/>
  <c r="L1093" i="1" s="1"/>
  <c r="K1097" i="1"/>
  <c r="L1097" i="1" s="1"/>
  <c r="K1091" i="1"/>
  <c r="L1091" i="1" s="1"/>
  <c r="K1090" i="1"/>
  <c r="L1090" i="1" s="1"/>
  <c r="K1098" i="1"/>
  <c r="L1098" i="1" s="1"/>
  <c r="K1085" i="1"/>
  <c r="L1085" i="1" s="1"/>
  <c r="K1086" i="1"/>
  <c r="L1086" i="1" s="1"/>
  <c r="K1081" i="1"/>
  <c r="L1081" i="1" s="1"/>
  <c r="K1080" i="1"/>
  <c r="L1080" i="1" s="1"/>
  <c r="K1079" i="1"/>
  <c r="L1079" i="1" s="1"/>
  <c r="K1087" i="1"/>
  <c r="L1087" i="1" s="1"/>
  <c r="K1084" i="1"/>
  <c r="L1084" i="1" s="1"/>
  <c r="K1075" i="1"/>
  <c r="L1075" i="1" s="1"/>
  <c r="K1076" i="1"/>
  <c r="L1076" i="1" s="1"/>
  <c r="K1077" i="1"/>
  <c r="L1077" i="1" s="1"/>
  <c r="K1082" i="1"/>
  <c r="L1082" i="1" s="1"/>
  <c r="K1078" i="1"/>
  <c r="L1078" i="1" s="1"/>
  <c r="K1083" i="1"/>
  <c r="L1083" i="1" s="1"/>
  <c r="K684" i="1"/>
  <c r="L684" i="1" s="1"/>
  <c r="K497" i="1"/>
  <c r="K492" i="1"/>
  <c r="K434" i="1"/>
  <c r="K489" i="1"/>
  <c r="K383" i="1"/>
  <c r="L383" i="1" s="1"/>
  <c r="K374" i="1"/>
  <c r="L374" i="1" s="1"/>
  <c r="K358" i="1"/>
  <c r="K482" i="1"/>
  <c r="L482" i="1" s="1"/>
  <c r="K478" i="1"/>
  <c r="L478" i="1" s="1"/>
  <c r="K397" i="1"/>
  <c r="L397" i="1" s="1"/>
  <c r="K473" i="1"/>
  <c r="L473" i="1" s="1"/>
  <c r="K454" i="1"/>
  <c r="L454" i="1" s="1"/>
  <c r="K410" i="1"/>
  <c r="L410" i="1" s="1"/>
  <c r="K588" i="1"/>
  <c r="L588" i="1" s="1"/>
  <c r="K587" i="1"/>
  <c r="L587" i="1" s="1"/>
  <c r="K444" i="1"/>
  <c r="L444" i="1" s="1"/>
  <c r="K422" i="1"/>
  <c r="L422" i="1" s="1"/>
  <c r="K586" i="1"/>
  <c r="L586" i="1" s="1"/>
  <c r="K585" i="1"/>
  <c r="L585" i="1" s="1"/>
  <c r="K584" i="1"/>
  <c r="L584" i="1" s="1"/>
  <c r="K357" i="1"/>
  <c r="K373" i="1"/>
  <c r="L373" i="1" s="1"/>
  <c r="K382" i="1"/>
  <c r="L382" i="1" s="1"/>
  <c r="K583" i="1"/>
  <c r="L583" i="1" s="1"/>
  <c r="K582" i="1"/>
  <c r="L582" i="1" s="1"/>
  <c r="K433" i="1"/>
  <c r="K396" i="1"/>
  <c r="L396" i="1" s="1"/>
  <c r="K581" i="1"/>
  <c r="L581" i="1" s="1"/>
  <c r="K580" i="1"/>
  <c r="L580" i="1" s="1"/>
  <c r="K579" i="1"/>
  <c r="L579" i="1" s="1"/>
  <c r="K409" i="1"/>
  <c r="L409" i="1" s="1"/>
  <c r="K578" i="1"/>
  <c r="L578" i="1" s="1"/>
  <c r="K577" i="1"/>
  <c r="L577" i="1" s="1"/>
  <c r="K576" i="1"/>
  <c r="L576" i="1" s="1"/>
  <c r="K356" i="1"/>
  <c r="K453" i="1"/>
  <c r="L453" i="1" s="1"/>
  <c r="K372" i="1"/>
  <c r="L372" i="1" s="1"/>
  <c r="K421" i="1"/>
  <c r="L421" i="1" s="1"/>
  <c r="K381" i="1"/>
  <c r="L381" i="1" s="1"/>
  <c r="K575" i="1"/>
  <c r="L575" i="1" s="1"/>
  <c r="K443" i="1"/>
  <c r="L443" i="1" s="1"/>
  <c r="K574" i="1"/>
  <c r="L574" i="1" s="1"/>
  <c r="K573" i="1"/>
  <c r="L573" i="1" s="1"/>
  <c r="K395" i="1"/>
  <c r="L395" i="1" s="1"/>
  <c r="K572" i="1"/>
  <c r="L572" i="1" s="1"/>
  <c r="K571" i="1"/>
  <c r="L571" i="1" s="1"/>
  <c r="K432" i="1"/>
  <c r="K570" i="1"/>
  <c r="L570" i="1" s="1"/>
  <c r="K355" i="1"/>
  <c r="K408" i="1"/>
  <c r="L408" i="1" s="1"/>
  <c r="K569" i="1"/>
  <c r="L569" i="1" s="1"/>
  <c r="K371" i="1"/>
  <c r="L371" i="1" s="1"/>
  <c r="K491" i="1"/>
  <c r="K568" i="1"/>
  <c r="L568" i="1" s="1"/>
  <c r="K567" i="1"/>
  <c r="L567" i="1" s="1"/>
  <c r="K380" i="1"/>
  <c r="L380" i="1" s="1"/>
  <c r="K566" i="1"/>
  <c r="L566" i="1" s="1"/>
  <c r="K565" i="1"/>
  <c r="L565" i="1" s="1"/>
  <c r="K420" i="1"/>
  <c r="L420" i="1" s="1"/>
  <c r="K564" i="1"/>
  <c r="L564" i="1" s="1"/>
  <c r="K563" i="1"/>
  <c r="L563" i="1" s="1"/>
  <c r="K394" i="1"/>
  <c r="L394" i="1" s="1"/>
  <c r="K452" i="1"/>
  <c r="L452" i="1" s="1"/>
  <c r="K354" i="1"/>
  <c r="L354" i="1" s="1"/>
  <c r="K442" i="1"/>
  <c r="L442" i="1" s="1"/>
  <c r="K562" i="1"/>
  <c r="L562" i="1" s="1"/>
  <c r="K561" i="1"/>
  <c r="L561" i="1" s="1"/>
  <c r="K370" i="1"/>
  <c r="L370" i="1" s="1"/>
  <c r="K560" i="1"/>
  <c r="L560" i="1" s="1"/>
  <c r="K407" i="1"/>
  <c r="L407" i="1" s="1"/>
  <c r="K431" i="1"/>
  <c r="K379" i="1"/>
  <c r="L379" i="1" s="1"/>
  <c r="K559" i="1"/>
  <c r="L559" i="1" s="1"/>
  <c r="K558" i="1"/>
  <c r="L558" i="1" s="1"/>
  <c r="K557" i="1"/>
  <c r="L557" i="1" s="1"/>
  <c r="K495" i="1"/>
  <c r="K556" i="1"/>
  <c r="L556" i="1" s="1"/>
  <c r="K555" i="1"/>
  <c r="L555" i="1" s="1"/>
  <c r="K353" i="1"/>
  <c r="L353" i="1" s="1"/>
  <c r="K419" i="1"/>
  <c r="L419" i="1" s="1"/>
  <c r="K393" i="1"/>
  <c r="L393" i="1" s="1"/>
  <c r="K463" i="1"/>
  <c r="L463" i="1" s="1"/>
  <c r="K554" i="1"/>
  <c r="L554" i="1" s="1"/>
  <c r="K553" i="1"/>
  <c r="L553" i="1" s="1"/>
  <c r="K369" i="1"/>
  <c r="L369" i="1" s="1"/>
  <c r="K552" i="1"/>
  <c r="L552" i="1" s="1"/>
  <c r="K551" i="1"/>
  <c r="L551" i="1" s="1"/>
  <c r="K550" i="1"/>
  <c r="L550" i="1" s="1"/>
  <c r="K441" i="1"/>
  <c r="L441" i="1" s="1"/>
  <c r="K378" i="1"/>
  <c r="L378" i="1" s="1"/>
  <c r="K406" i="1"/>
  <c r="L406" i="1" s="1"/>
  <c r="K451" i="1"/>
  <c r="L451" i="1" s="1"/>
  <c r="K352" i="1"/>
  <c r="L352" i="1" s="1"/>
  <c r="K549" i="1"/>
  <c r="L549" i="1" s="1"/>
  <c r="K430" i="1"/>
  <c r="K548" i="1"/>
  <c r="L548" i="1" s="1"/>
  <c r="K547" i="1"/>
  <c r="L547" i="1" s="1"/>
  <c r="K546" i="1"/>
  <c r="L546" i="1" s="1"/>
  <c r="K392" i="1"/>
  <c r="L392" i="1" s="1"/>
  <c r="K368" i="1"/>
  <c r="L368" i="1" s="1"/>
  <c r="K545" i="1"/>
  <c r="L545" i="1" s="1"/>
  <c r="K418" i="1"/>
  <c r="L418" i="1" s="1"/>
  <c r="K474" i="1"/>
  <c r="L474" i="1" s="1"/>
  <c r="K544" i="1"/>
  <c r="L544" i="1" s="1"/>
  <c r="K543" i="1"/>
  <c r="L543" i="1" s="1"/>
  <c r="K475" i="1"/>
  <c r="L475" i="1" s="1"/>
  <c r="K542" i="1"/>
  <c r="L542" i="1" s="1"/>
  <c r="K541" i="1"/>
  <c r="L541" i="1" s="1"/>
  <c r="K351" i="1"/>
  <c r="L351" i="1" s="1"/>
  <c r="K540" i="1"/>
  <c r="L540" i="1" s="1"/>
  <c r="K405" i="1"/>
  <c r="L405" i="1" s="1"/>
  <c r="K536" i="1"/>
  <c r="L536" i="1" s="1"/>
  <c r="K534" i="1"/>
  <c r="L534" i="1" s="1"/>
  <c r="K440" i="1"/>
  <c r="L440" i="1" s="1"/>
  <c r="K519" i="1"/>
  <c r="L519" i="1" s="1"/>
  <c r="K429" i="1"/>
  <c r="K367" i="1"/>
  <c r="L367" i="1" s="1"/>
  <c r="K391" i="1"/>
  <c r="L391" i="1" s="1"/>
  <c r="K450" i="1"/>
  <c r="L450" i="1" s="1"/>
  <c r="K505" i="1"/>
  <c r="L505" i="1" s="1"/>
  <c r="K479" i="1"/>
  <c r="L479" i="1" s="1"/>
  <c r="K498" i="1"/>
  <c r="K417" i="1"/>
  <c r="L417" i="1" s="1"/>
  <c r="K350" i="1"/>
  <c r="L350" i="1" s="1"/>
  <c r="K464" i="1"/>
  <c r="L464" i="1" s="1"/>
  <c r="H1097" i="1"/>
  <c r="I1097" i="1" s="1"/>
  <c r="J1097" i="1" s="1"/>
  <c r="H1094" i="1"/>
  <c r="I1094" i="1" s="1"/>
  <c r="J1094" i="1" s="1"/>
  <c r="H1095" i="1"/>
  <c r="I1095" i="1" s="1"/>
  <c r="J1095" i="1" s="1"/>
  <c r="H1096" i="1"/>
  <c r="I1096" i="1" s="1"/>
  <c r="J1096" i="1" s="1"/>
  <c r="H1088" i="1"/>
  <c r="I1088" i="1" s="1"/>
  <c r="J1088" i="1" s="1"/>
  <c r="H1089" i="1"/>
  <c r="I1089" i="1" s="1"/>
  <c r="J1089" i="1" s="1"/>
  <c r="H1090" i="1"/>
  <c r="I1090" i="1" s="1"/>
  <c r="J1090" i="1" s="1"/>
  <c r="H1091" i="1"/>
  <c r="I1091" i="1" s="1"/>
  <c r="J1091" i="1" s="1"/>
  <c r="H1092" i="1"/>
  <c r="I1092" i="1" s="1"/>
  <c r="J1092" i="1" s="1"/>
  <c r="H1093" i="1"/>
  <c r="I1093" i="1" s="1"/>
  <c r="J1093" i="1" s="1"/>
  <c r="H1100" i="1"/>
  <c r="I1100" i="1" s="1"/>
  <c r="J1100" i="1" s="1"/>
  <c r="H1098" i="1"/>
  <c r="I1098" i="1" s="1"/>
  <c r="J1098" i="1" s="1"/>
  <c r="H1099" i="1"/>
  <c r="I1099" i="1" s="1"/>
  <c r="J1099" i="1" s="1"/>
  <c r="H1085" i="1"/>
  <c r="I1085" i="1" s="1"/>
  <c r="J1085" i="1" s="1"/>
  <c r="H1075" i="1"/>
  <c r="I1075" i="1" s="1"/>
  <c r="J1075" i="1" s="1"/>
  <c r="H1076" i="1"/>
  <c r="I1076" i="1" s="1"/>
  <c r="J1076" i="1" s="1"/>
  <c r="H1086" i="1"/>
  <c r="I1086" i="1" s="1"/>
  <c r="J1086" i="1" s="1"/>
  <c r="H1087" i="1"/>
  <c r="I1087" i="1" s="1"/>
  <c r="J1087" i="1" s="1"/>
  <c r="H1084" i="1"/>
  <c r="I1084" i="1" s="1"/>
  <c r="J1084" i="1" s="1"/>
  <c r="H1077" i="1"/>
  <c r="I1077" i="1" s="1"/>
  <c r="J1077" i="1" s="1"/>
  <c r="H1078" i="1"/>
  <c r="I1078" i="1" s="1"/>
  <c r="J1078" i="1" s="1"/>
  <c r="H1079" i="1"/>
  <c r="I1079" i="1" s="1"/>
  <c r="J1079" i="1" s="1"/>
  <c r="H1080" i="1"/>
  <c r="I1080" i="1" s="1"/>
  <c r="J1080" i="1" s="1"/>
  <c r="H1081" i="1"/>
  <c r="I1081" i="1" s="1"/>
  <c r="J1081" i="1" s="1"/>
  <c r="H1082" i="1"/>
  <c r="I1082" i="1" s="1"/>
  <c r="J1082" i="1" s="1"/>
  <c r="H1083" i="1"/>
  <c r="I1083" i="1" s="1"/>
  <c r="J1083" i="1" s="1"/>
  <c r="C35" i="1"/>
  <c r="B35" i="1"/>
  <c r="D35" i="1"/>
  <c r="D8" i="1" l="1"/>
  <c r="J339" i="1"/>
  <c r="K339" i="1"/>
  <c r="J338" i="1"/>
  <c r="K338" i="1"/>
  <c r="J337" i="1"/>
  <c r="K337" i="1"/>
  <c r="J336" i="1"/>
  <c r="K336" i="1"/>
  <c r="J335" i="1"/>
  <c r="K335" i="1"/>
  <c r="J334" i="1"/>
  <c r="K334" i="1"/>
  <c r="K333" i="1"/>
  <c r="J333" i="1"/>
  <c r="K332" i="1"/>
  <c r="J332" i="1"/>
  <c r="K331" i="1"/>
  <c r="J331" i="1"/>
  <c r="J330" i="1"/>
  <c r="K330" i="1"/>
  <c r="J329" i="1"/>
  <c r="K329" i="1"/>
  <c r="J328" i="1"/>
  <c r="K328" i="1"/>
  <c r="K327" i="1"/>
  <c r="J327" i="1"/>
  <c r="J294" i="1"/>
  <c r="K294" i="1"/>
  <c r="K288" i="1"/>
  <c r="J288" i="1"/>
  <c r="K289" i="1"/>
  <c r="J289" i="1"/>
  <c r="J208" i="1"/>
  <c r="K208" i="1"/>
  <c r="K320" i="1"/>
  <c r="J320" i="1"/>
  <c r="K210" i="1"/>
  <c r="J210" i="1"/>
  <c r="K292" i="1"/>
  <c r="J292" i="1"/>
  <c r="K325" i="1"/>
  <c r="J325" i="1"/>
  <c r="K326" i="1"/>
  <c r="J326" i="1"/>
  <c r="K144" i="1"/>
  <c r="J144" i="1"/>
  <c r="J143" i="1"/>
  <c r="K143" i="1"/>
  <c r="J103" i="1"/>
  <c r="K103" i="1"/>
  <c r="K102" i="1"/>
  <c r="J102" i="1"/>
  <c r="J296" i="1"/>
  <c r="K296" i="1"/>
  <c r="K295" i="1"/>
  <c r="J295" i="1"/>
  <c r="J293" i="1"/>
  <c r="K293" i="1"/>
  <c r="K290" i="1"/>
  <c r="J290" i="1"/>
  <c r="C8" i="1"/>
  <c r="K721" i="1"/>
  <c r="L721" i="1" s="1"/>
  <c r="K704" i="1"/>
  <c r="L704" i="1" s="1"/>
  <c r="K609" i="1"/>
  <c r="L609" i="1" s="1"/>
  <c r="K705" i="1"/>
  <c r="L705" i="1" s="1"/>
  <c r="K744" i="1"/>
  <c r="L744" i="1" s="1"/>
  <c r="K745" i="1"/>
  <c r="L745" i="1" s="1"/>
  <c r="K618" i="1"/>
  <c r="L618" i="1" s="1"/>
  <c r="K706" i="1"/>
  <c r="L706" i="1" s="1"/>
  <c r="K707" i="1"/>
  <c r="L707" i="1" s="1"/>
  <c r="K708" i="1"/>
  <c r="L708" i="1" s="1"/>
  <c r="K709" i="1"/>
  <c r="L709" i="1" s="1"/>
  <c r="K710" i="1"/>
  <c r="L710" i="1" s="1"/>
  <c r="K711" i="1"/>
  <c r="L711" i="1" s="1"/>
  <c r="K617" i="1"/>
  <c r="L617" i="1" s="1"/>
  <c r="K755" i="1"/>
  <c r="L755" i="1" s="1"/>
  <c r="K616" i="1"/>
  <c r="L616" i="1" s="1"/>
  <c r="K615" i="1"/>
  <c r="L615" i="1" s="1"/>
  <c r="K614" i="1"/>
  <c r="L614" i="1" s="1"/>
  <c r="K613" i="1"/>
  <c r="L613" i="1" s="1"/>
  <c r="K612" i="1"/>
  <c r="L612" i="1" s="1"/>
  <c r="K611" i="1"/>
  <c r="L611" i="1" s="1"/>
  <c r="K610" i="1"/>
  <c r="L610" i="1" s="1"/>
  <c r="K592" i="1"/>
  <c r="L592" i="1" s="1"/>
  <c r="K591" i="1"/>
  <c r="L591" i="1" s="1"/>
  <c r="K590" i="1"/>
  <c r="L590" i="1" s="1"/>
  <c r="K589" i="1"/>
  <c r="L589" i="1" s="1"/>
  <c r="K746" i="1"/>
  <c r="L746" i="1" s="1"/>
  <c r="K747" i="1"/>
  <c r="L747" i="1" s="1"/>
  <c r="K748" i="1"/>
  <c r="L748" i="1" s="1"/>
  <c r="K749" i="1"/>
  <c r="L749" i="1" s="1"/>
  <c r="K750" i="1"/>
  <c r="L750" i="1" s="1"/>
  <c r="K751" i="1"/>
  <c r="L751" i="1" s="1"/>
  <c r="K752" i="1"/>
  <c r="L752" i="1" s="1"/>
  <c r="K593" i="1"/>
  <c r="L593" i="1" s="1"/>
  <c r="K663" i="1"/>
  <c r="L663" i="1" s="1"/>
  <c r="K712" i="1"/>
  <c r="L712" i="1" s="1"/>
  <c r="K713" i="1"/>
  <c r="L713" i="1" s="1"/>
  <c r="K714" i="1"/>
  <c r="L714" i="1" s="1"/>
  <c r="K594" i="1"/>
  <c r="L594" i="1" s="1"/>
  <c r="K715" i="1"/>
  <c r="L715" i="1" s="1"/>
  <c r="K716" i="1"/>
  <c r="L716" i="1" s="1"/>
  <c r="K717" i="1"/>
  <c r="L717" i="1" s="1"/>
  <c r="K718" i="1"/>
  <c r="L718" i="1" s="1"/>
  <c r="K719" i="1"/>
  <c r="L719" i="1" s="1"/>
  <c r="K595" i="1"/>
  <c r="L595" i="1" s="1"/>
  <c r="K720" i="1"/>
  <c r="L720" i="1" s="1"/>
  <c r="K696" i="1"/>
  <c r="L696" i="1" s="1"/>
  <c r="K722" i="1"/>
  <c r="L722" i="1" s="1"/>
  <c r="K723" i="1"/>
  <c r="L723" i="1" s="1"/>
  <c r="K724" i="1"/>
  <c r="L724" i="1" s="1"/>
  <c r="K596" i="1"/>
  <c r="L596" i="1" s="1"/>
  <c r="K725" i="1"/>
  <c r="L725" i="1" s="1"/>
  <c r="K726" i="1"/>
  <c r="L726" i="1" s="1"/>
  <c r="K727" i="1"/>
  <c r="L727" i="1" s="1"/>
  <c r="K728" i="1"/>
  <c r="L728" i="1" s="1"/>
  <c r="K729" i="1"/>
  <c r="L729" i="1" s="1"/>
  <c r="K597" i="1"/>
  <c r="L597" i="1" s="1"/>
  <c r="K730" i="1"/>
  <c r="L730" i="1" s="1"/>
  <c r="K731" i="1"/>
  <c r="L731" i="1" s="1"/>
  <c r="K732" i="1"/>
  <c r="L732" i="1" s="1"/>
  <c r="K733" i="1"/>
  <c r="L733" i="1" s="1"/>
  <c r="K734" i="1"/>
  <c r="L734" i="1" s="1"/>
  <c r="K598" i="1"/>
  <c r="L598" i="1" s="1"/>
  <c r="K735" i="1"/>
  <c r="L735" i="1" s="1"/>
  <c r="K779" i="1"/>
  <c r="L779" i="1" s="1"/>
  <c r="K780" i="1"/>
  <c r="L780" i="1" s="1"/>
  <c r="K781" i="1"/>
  <c r="L781" i="1" s="1"/>
  <c r="K782" i="1"/>
  <c r="L782" i="1" s="1"/>
  <c r="K599" i="1"/>
  <c r="L599" i="1" s="1"/>
  <c r="K783" i="1"/>
  <c r="L783" i="1" s="1"/>
  <c r="K685" i="1"/>
  <c r="L685" i="1" s="1"/>
  <c r="K756" i="1"/>
  <c r="L756" i="1" s="1"/>
  <c r="K784" i="1"/>
  <c r="L784" i="1" s="1"/>
  <c r="K757" i="1"/>
  <c r="L757" i="1" s="1"/>
  <c r="K600" i="1"/>
  <c r="L600" i="1" s="1"/>
  <c r="K686" i="1"/>
  <c r="L686" i="1" s="1"/>
  <c r="K758" i="1"/>
  <c r="L758" i="1" s="1"/>
  <c r="K687" i="1"/>
  <c r="L687" i="1" s="1"/>
  <c r="K759" i="1"/>
  <c r="L759" i="1" s="1"/>
  <c r="K688" i="1"/>
  <c r="L688" i="1" s="1"/>
  <c r="K601" i="1"/>
  <c r="L601" i="1" s="1"/>
  <c r="K760" i="1"/>
  <c r="L760" i="1" s="1"/>
  <c r="K785" i="1"/>
  <c r="L785" i="1" s="1"/>
  <c r="K689" i="1"/>
  <c r="L689" i="1" s="1"/>
  <c r="K690" i="1"/>
  <c r="L690" i="1" s="1"/>
  <c r="K691" i="1"/>
  <c r="L691" i="1" s="1"/>
  <c r="K602" i="1"/>
  <c r="L602" i="1" s="1"/>
  <c r="K692" i="1"/>
  <c r="L692" i="1" s="1"/>
  <c r="K693" i="1"/>
  <c r="L693" i="1" s="1"/>
  <c r="K694" i="1"/>
  <c r="L694" i="1" s="1"/>
  <c r="K603" i="1"/>
  <c r="L603" i="1" s="1"/>
  <c r="K695" i="1"/>
  <c r="L695" i="1" s="1"/>
  <c r="K825" i="1"/>
  <c r="L825" i="1" s="1"/>
  <c r="K786" i="1"/>
  <c r="L786" i="1" s="1"/>
  <c r="K604" i="1"/>
  <c r="L604" i="1" s="1"/>
  <c r="K787" i="1"/>
  <c r="L787" i="1" s="1"/>
  <c r="K697" i="1"/>
  <c r="L697" i="1" s="1"/>
  <c r="K698" i="1"/>
  <c r="L698" i="1" s="1"/>
  <c r="K605" i="1"/>
  <c r="L605" i="1" s="1"/>
  <c r="K739" i="1"/>
  <c r="L739" i="1" s="1"/>
  <c r="K738" i="1"/>
  <c r="L738" i="1" s="1"/>
  <c r="K737" i="1"/>
  <c r="L737" i="1" s="1"/>
  <c r="K606" i="1"/>
  <c r="L606" i="1" s="1"/>
  <c r="K736" i="1"/>
  <c r="L736" i="1" s="1"/>
  <c r="K788" i="1"/>
  <c r="L788" i="1" s="1"/>
  <c r="K789" i="1"/>
  <c r="L789" i="1" s="1"/>
  <c r="K607" i="1"/>
  <c r="L607" i="1" s="1"/>
  <c r="K790" i="1"/>
  <c r="L790" i="1" s="1"/>
  <c r="K791" i="1"/>
  <c r="L791" i="1" s="1"/>
  <c r="K792" i="1"/>
  <c r="L792" i="1" s="1"/>
  <c r="K793" i="1"/>
  <c r="L793" i="1" s="1"/>
  <c r="K794" i="1"/>
  <c r="L794" i="1" s="1"/>
  <c r="K608" i="1"/>
  <c r="L608" i="1" s="1"/>
  <c r="K795" i="1"/>
  <c r="L795" i="1" s="1"/>
  <c r="K796" i="1"/>
  <c r="L796" i="1" s="1"/>
  <c r="K797" i="1"/>
  <c r="L797" i="1" s="1"/>
  <c r="K798" i="1"/>
  <c r="L798" i="1" s="1"/>
  <c r="K799" i="1"/>
  <c r="L799" i="1" s="1"/>
  <c r="K800" i="1"/>
  <c r="L800" i="1" s="1"/>
  <c r="K801" i="1"/>
  <c r="L801" i="1" s="1"/>
  <c r="K802" i="1"/>
  <c r="L802" i="1" s="1"/>
  <c r="K803" i="1"/>
  <c r="L803" i="1" s="1"/>
  <c r="K804" i="1"/>
  <c r="L804" i="1" s="1"/>
  <c r="K805" i="1"/>
  <c r="L805" i="1" s="1"/>
  <c r="K806" i="1"/>
  <c r="L806" i="1" s="1"/>
  <c r="K807" i="1"/>
  <c r="L807" i="1" s="1"/>
  <c r="K808" i="1"/>
  <c r="L808" i="1" s="1"/>
  <c r="K664" i="1"/>
  <c r="L664" i="1" s="1"/>
  <c r="K826" i="1"/>
  <c r="L826" i="1" s="1"/>
  <c r="K662" i="1"/>
  <c r="L662" i="1" s="1"/>
  <c r="K661" i="1"/>
  <c r="L661" i="1" s="1"/>
  <c r="K660" i="1"/>
  <c r="L660" i="1" s="1"/>
  <c r="K761" i="1"/>
  <c r="L761" i="1" s="1"/>
  <c r="K659" i="1"/>
  <c r="L659" i="1" s="1"/>
  <c r="K658" i="1"/>
  <c r="L658" i="1" s="1"/>
  <c r="K666" i="1"/>
  <c r="L666" i="1" s="1"/>
  <c r="K657" i="1"/>
  <c r="L657" i="1" s="1"/>
  <c r="K656" i="1"/>
  <c r="L656" i="1" s="1"/>
  <c r="K762" i="1"/>
  <c r="L762" i="1" s="1"/>
  <c r="K831" i="1"/>
  <c r="L831" i="1" s="1"/>
  <c r="K830" i="1"/>
  <c r="L830" i="1" s="1"/>
  <c r="K829" i="1"/>
  <c r="L829" i="1" s="1"/>
  <c r="K828" i="1"/>
  <c r="L828" i="1" s="1"/>
  <c r="K827" i="1"/>
  <c r="L827" i="1" s="1"/>
  <c r="K655" i="1"/>
  <c r="L655" i="1" s="1"/>
  <c r="K824" i="1"/>
  <c r="L824" i="1" s="1"/>
  <c r="K823" i="1"/>
  <c r="L823" i="1" s="1"/>
  <c r="K822" i="1"/>
  <c r="L822" i="1" s="1"/>
  <c r="K821" i="1"/>
  <c r="L821" i="1" s="1"/>
  <c r="K820" i="1"/>
  <c r="L820" i="1" s="1"/>
  <c r="K819" i="1"/>
  <c r="L819" i="1" s="1"/>
  <c r="K818" i="1"/>
  <c r="L818" i="1" s="1"/>
  <c r="K817" i="1"/>
  <c r="L817" i="1" s="1"/>
  <c r="K816" i="1"/>
  <c r="L816" i="1" s="1"/>
  <c r="K815" i="1"/>
  <c r="L815" i="1" s="1"/>
  <c r="K814" i="1"/>
  <c r="L814" i="1" s="1"/>
  <c r="K813" i="1"/>
  <c r="L813" i="1" s="1"/>
  <c r="K654" i="1"/>
  <c r="L654" i="1" s="1"/>
  <c r="K665" i="1"/>
  <c r="L665" i="1" s="1"/>
  <c r="K667" i="1"/>
  <c r="L667" i="1" s="1"/>
  <c r="K653" i="1"/>
  <c r="L653" i="1" s="1"/>
  <c r="K652" i="1"/>
  <c r="L652" i="1" s="1"/>
  <c r="K763" i="1"/>
  <c r="L763" i="1" s="1"/>
  <c r="K651" i="1"/>
  <c r="L651" i="1" s="1"/>
  <c r="K650" i="1"/>
  <c r="L650" i="1" s="1"/>
  <c r="K668" i="1"/>
  <c r="L668" i="1" s="1"/>
  <c r="K649" i="1"/>
  <c r="L649" i="1" s="1"/>
  <c r="K648" i="1"/>
  <c r="L648" i="1" s="1"/>
  <c r="K764" i="1"/>
  <c r="L764" i="1" s="1"/>
  <c r="K647" i="1"/>
  <c r="L647" i="1" s="1"/>
  <c r="K646" i="1"/>
  <c r="L646" i="1" s="1"/>
  <c r="K669" i="1"/>
  <c r="L669" i="1" s="1"/>
  <c r="K645" i="1"/>
  <c r="L645" i="1" s="1"/>
  <c r="K644" i="1"/>
  <c r="L644" i="1" s="1"/>
  <c r="K765" i="1"/>
  <c r="L765" i="1" s="1"/>
  <c r="K643" i="1"/>
  <c r="L643" i="1" s="1"/>
  <c r="K642" i="1"/>
  <c r="L642" i="1" s="1"/>
  <c r="K670" i="1"/>
  <c r="L670" i="1" s="1"/>
  <c r="K641" i="1"/>
  <c r="L641" i="1" s="1"/>
  <c r="K640" i="1"/>
  <c r="L640" i="1" s="1"/>
  <c r="K766" i="1"/>
  <c r="L766" i="1" s="1"/>
  <c r="K639" i="1"/>
  <c r="L639" i="1" s="1"/>
  <c r="K638" i="1"/>
  <c r="L638" i="1" s="1"/>
  <c r="K671" i="1"/>
  <c r="L671" i="1" s="1"/>
  <c r="K812" i="1"/>
  <c r="L812" i="1" s="1"/>
  <c r="K811" i="1"/>
  <c r="L811" i="1" s="1"/>
  <c r="K637" i="1"/>
  <c r="L637" i="1" s="1"/>
  <c r="K636" i="1"/>
  <c r="L636" i="1" s="1"/>
  <c r="K767" i="1"/>
  <c r="L767" i="1" s="1"/>
  <c r="K635" i="1"/>
  <c r="L635" i="1" s="1"/>
  <c r="K634" i="1"/>
  <c r="L634" i="1" s="1"/>
  <c r="K672" i="1"/>
  <c r="L672" i="1" s="1"/>
  <c r="K633" i="1"/>
  <c r="L633" i="1" s="1"/>
  <c r="K632" i="1"/>
  <c r="L632" i="1" s="1"/>
  <c r="K631" i="1"/>
  <c r="L631" i="1" s="1"/>
  <c r="K768" i="1"/>
  <c r="L768" i="1" s="1"/>
  <c r="K630" i="1"/>
  <c r="L630" i="1" s="1"/>
  <c r="K629" i="1"/>
  <c r="L629" i="1" s="1"/>
  <c r="K628" i="1"/>
  <c r="L628" i="1" s="1"/>
  <c r="K677" i="1"/>
  <c r="L677" i="1" s="1"/>
  <c r="K673" i="1"/>
  <c r="L673" i="1" s="1"/>
  <c r="K627" i="1"/>
  <c r="L627" i="1" s="1"/>
  <c r="K769" i="1"/>
  <c r="L769" i="1" s="1"/>
  <c r="K699" i="1"/>
  <c r="L699" i="1" s="1"/>
  <c r="K626" i="1"/>
  <c r="L626" i="1" s="1"/>
  <c r="K625" i="1"/>
  <c r="L625" i="1" s="1"/>
  <c r="K624" i="1"/>
  <c r="L624" i="1" s="1"/>
  <c r="K623" i="1"/>
  <c r="L623" i="1" s="1"/>
  <c r="K700" i="1"/>
  <c r="L700" i="1" s="1"/>
  <c r="K770" i="1"/>
  <c r="L770" i="1" s="1"/>
  <c r="K622" i="1"/>
  <c r="L622" i="1" s="1"/>
  <c r="K810" i="1"/>
  <c r="L810" i="1" s="1"/>
  <c r="K621" i="1"/>
  <c r="L621" i="1" s="1"/>
  <c r="K620" i="1"/>
  <c r="L620" i="1" s="1"/>
  <c r="K701" i="1"/>
  <c r="L701" i="1" s="1"/>
  <c r="K674" i="1"/>
  <c r="L674" i="1" s="1"/>
  <c r="K619" i="1"/>
  <c r="L619" i="1" s="1"/>
  <c r="K740" i="1"/>
  <c r="L740" i="1" s="1"/>
  <c r="K741" i="1"/>
  <c r="L741" i="1" s="1"/>
  <c r="K742" i="1"/>
  <c r="L742" i="1" s="1"/>
  <c r="K743" i="1"/>
  <c r="L743" i="1" s="1"/>
  <c r="K771" i="1"/>
  <c r="L771" i="1" s="1"/>
  <c r="K675" i="1"/>
  <c r="L675" i="1" s="1"/>
  <c r="K772" i="1"/>
  <c r="L772" i="1" s="1"/>
  <c r="K676" i="1"/>
  <c r="L676" i="1" s="1"/>
  <c r="K773" i="1"/>
  <c r="L773" i="1" s="1"/>
  <c r="K774" i="1"/>
  <c r="L774" i="1" s="1"/>
  <c r="K678" i="1"/>
  <c r="L678" i="1" s="1"/>
  <c r="K775" i="1"/>
  <c r="L775" i="1" s="1"/>
  <c r="K679" i="1"/>
  <c r="L679" i="1" s="1"/>
  <c r="K776" i="1"/>
  <c r="L776" i="1" s="1"/>
  <c r="K680" i="1"/>
  <c r="L680" i="1" s="1"/>
  <c r="K681" i="1"/>
  <c r="L681" i="1" s="1"/>
  <c r="K777" i="1"/>
  <c r="L777" i="1" s="1"/>
  <c r="K682" i="1"/>
  <c r="L682" i="1" s="1"/>
  <c r="K778" i="1"/>
  <c r="L778" i="1" s="1"/>
  <c r="K753" i="1"/>
  <c r="L753" i="1" s="1"/>
  <c r="K683" i="1"/>
  <c r="L683" i="1" s="1"/>
  <c r="K754" i="1"/>
  <c r="L754" i="1" s="1"/>
  <c r="K809" i="1"/>
  <c r="L809" i="1" s="1"/>
  <c r="K702" i="1"/>
  <c r="L702" i="1" s="1"/>
  <c r="K703" i="1"/>
  <c r="L703" i="1" s="1"/>
  <c r="K404" i="1"/>
  <c r="L404" i="1" s="1"/>
  <c r="K525" i="1"/>
  <c r="L525" i="1" s="1"/>
  <c r="K384" i="1"/>
  <c r="L384" i="1" s="1"/>
  <c r="K520" i="1"/>
  <c r="L520" i="1" s="1"/>
  <c r="K375" i="1"/>
  <c r="L375" i="1" s="1"/>
  <c r="K398" i="1"/>
  <c r="L398" i="1" s="1"/>
  <c r="K359" i="1"/>
  <c r="L359" i="1" s="1"/>
  <c r="K445" i="1"/>
  <c r="L445" i="1" s="1"/>
  <c r="K411" i="1"/>
  <c r="L411" i="1" s="1"/>
  <c r="K507" i="1"/>
  <c r="L507" i="1" s="1"/>
  <c r="K502" i="1"/>
  <c r="L502" i="1" s="1"/>
  <c r="K423" i="1"/>
  <c r="L423" i="1" s="1"/>
  <c r="K501" i="1"/>
  <c r="L501" i="1" s="1"/>
  <c r="K506" i="1"/>
  <c r="L506" i="1" s="1"/>
  <c r="K459" i="1"/>
  <c r="L459" i="1" s="1"/>
  <c r="K533" i="1"/>
  <c r="L533" i="1" s="1"/>
  <c r="K472" i="1"/>
  <c r="L472" i="1" s="1"/>
  <c r="K527" i="1"/>
  <c r="L527" i="1" s="1"/>
  <c r="K521" i="1"/>
  <c r="L521" i="1" s="1"/>
  <c r="K516" i="1"/>
  <c r="L516" i="1" s="1"/>
  <c r="K366" i="1"/>
  <c r="L366" i="1" s="1"/>
  <c r="K515" i="1"/>
  <c r="L515" i="1" s="1"/>
  <c r="K390" i="1"/>
  <c r="L390" i="1" s="1"/>
  <c r="K481" i="1"/>
  <c r="L481" i="1" s="1"/>
  <c r="K511" i="1"/>
  <c r="L511" i="1" s="1"/>
  <c r="K439" i="1"/>
  <c r="L439" i="1" s="1"/>
  <c r="K349" i="1"/>
  <c r="L349" i="1" s="1"/>
  <c r="K428" i="1"/>
  <c r="L428" i="1" s="1"/>
  <c r="K483" i="1"/>
  <c r="L483" i="1" s="1"/>
  <c r="K476" i="1"/>
  <c r="L476" i="1" s="1"/>
  <c r="K416" i="1"/>
  <c r="L416" i="1" s="1"/>
  <c r="K449" i="1"/>
  <c r="L449" i="1" s="1"/>
  <c r="K499" i="1"/>
  <c r="L499" i="1" s="1"/>
  <c r="K471" i="1"/>
  <c r="L471" i="1" s="1"/>
  <c r="K403" i="1"/>
  <c r="L403" i="1" s="1"/>
  <c r="K470" i="1"/>
  <c r="L470" i="1" s="1"/>
  <c r="K365" i="1"/>
  <c r="L365" i="1" s="1"/>
  <c r="K468" i="1"/>
  <c r="L468" i="1" s="1"/>
  <c r="K467" i="1"/>
  <c r="L467" i="1" s="1"/>
  <c r="K389" i="1"/>
  <c r="L389" i="1" s="1"/>
  <c r="K348" i="1"/>
  <c r="L348" i="1" s="1"/>
  <c r="K466" i="1"/>
  <c r="L466" i="1" s="1"/>
  <c r="K465" i="1"/>
  <c r="L465" i="1" s="1"/>
  <c r="K462" i="1"/>
  <c r="L462" i="1" s="1"/>
  <c r="K461" i="1"/>
  <c r="L461" i="1" s="1"/>
  <c r="K460" i="1"/>
  <c r="L460" i="1" s="1"/>
  <c r="K427" i="1"/>
  <c r="L427" i="1" s="1"/>
  <c r="K438" i="1"/>
  <c r="L438" i="1" s="1"/>
  <c r="K415" i="1"/>
  <c r="L415" i="1" s="1"/>
  <c r="K347" i="1"/>
  <c r="L347" i="1" s="1"/>
  <c r="K532" i="1"/>
  <c r="L532" i="1" s="1"/>
  <c r="K512" i="1"/>
  <c r="L512" i="1" s="1"/>
  <c r="K364" i="1"/>
  <c r="L364" i="1" s="1"/>
  <c r="K402" i="1"/>
  <c r="L402" i="1" s="1"/>
  <c r="K510" i="1"/>
  <c r="L510" i="1" s="1"/>
  <c r="K448" i="1"/>
  <c r="L448" i="1" s="1"/>
  <c r="K388" i="1"/>
  <c r="L388" i="1" s="1"/>
  <c r="K500" i="1"/>
  <c r="L500" i="1" s="1"/>
  <c r="K494" i="1"/>
  <c r="L494" i="1" s="1"/>
  <c r="K493" i="1"/>
  <c r="L493" i="1" s="1"/>
  <c r="K488" i="1"/>
  <c r="L488" i="1" s="1"/>
  <c r="K485" i="1"/>
  <c r="L485" i="1" s="1"/>
  <c r="K484" i="1"/>
  <c r="L484" i="1" s="1"/>
  <c r="K477" i="1"/>
  <c r="L477" i="1" s="1"/>
  <c r="K457" i="1"/>
  <c r="L457" i="1" s="1"/>
  <c r="K426" i="1"/>
  <c r="L426" i="1" s="1"/>
  <c r="K363" i="1"/>
  <c r="L363" i="1" s="1"/>
  <c r="K414" i="1"/>
  <c r="L414" i="1" s="1"/>
  <c r="K469" i="1"/>
  <c r="L469" i="1" s="1"/>
  <c r="K401" i="1"/>
  <c r="L401" i="1" s="1"/>
  <c r="K437" i="1"/>
  <c r="L437" i="1" s="1"/>
  <c r="K387" i="1"/>
  <c r="L387" i="1" s="1"/>
  <c r="K539" i="1"/>
  <c r="L539" i="1" s="1"/>
  <c r="K538" i="1"/>
  <c r="L538" i="1" s="1"/>
  <c r="K535" i="1"/>
  <c r="L535" i="1" s="1"/>
  <c r="K526" i="1"/>
  <c r="L526" i="1" s="1"/>
  <c r="K447" i="1"/>
  <c r="L447" i="1" s="1"/>
  <c r="K524" i="1"/>
  <c r="L524" i="1" s="1"/>
  <c r="K523" i="1"/>
  <c r="L523" i="1" s="1"/>
  <c r="K518" i="1"/>
  <c r="L518" i="1" s="1"/>
  <c r="K362" i="1"/>
  <c r="L362" i="1" s="1"/>
  <c r="K514" i="1"/>
  <c r="L514" i="1" s="1"/>
  <c r="K503" i="1"/>
  <c r="L503" i="1" s="1"/>
  <c r="K537" i="1"/>
  <c r="L537" i="1" s="1"/>
  <c r="K413" i="1"/>
  <c r="L413" i="1" s="1"/>
  <c r="K400" i="1"/>
  <c r="L400" i="1" s="1"/>
  <c r="K386" i="1"/>
  <c r="L386" i="1" s="1"/>
  <c r="K425" i="1"/>
  <c r="L425" i="1" s="1"/>
  <c r="K531" i="1"/>
  <c r="L531" i="1" s="1"/>
  <c r="K530" i="1"/>
  <c r="L530" i="1" s="1"/>
  <c r="K377" i="1"/>
  <c r="L377" i="1" s="1"/>
  <c r="K436" i="1"/>
  <c r="L436" i="1" s="1"/>
  <c r="K456" i="1"/>
  <c r="L456" i="1" s="1"/>
  <c r="K522" i="1"/>
  <c r="L522" i="1" s="1"/>
  <c r="K361" i="1"/>
  <c r="L361" i="1" s="1"/>
  <c r="K517" i="1"/>
  <c r="L517" i="1" s="1"/>
  <c r="K513" i="1"/>
  <c r="L513" i="1" s="1"/>
  <c r="K509" i="1"/>
  <c r="L509" i="1" s="1"/>
  <c r="K446" i="1"/>
  <c r="L446" i="1" s="1"/>
  <c r="K508" i="1"/>
  <c r="L508" i="1" s="1"/>
  <c r="K504" i="1"/>
  <c r="L504" i="1" s="1"/>
  <c r="K496" i="1"/>
  <c r="L496" i="1" s="1"/>
  <c r="K385" i="1"/>
  <c r="L385" i="1" s="1"/>
  <c r="K399" i="1"/>
  <c r="L399" i="1" s="1"/>
  <c r="K412" i="1"/>
  <c r="L412" i="1" s="1"/>
  <c r="K376" i="1"/>
  <c r="L376" i="1" s="1"/>
  <c r="K490" i="1"/>
  <c r="L490" i="1" s="1"/>
  <c r="K424" i="1"/>
  <c r="L424" i="1" s="1"/>
  <c r="K360" i="1"/>
  <c r="L360" i="1" s="1"/>
  <c r="K487" i="1"/>
  <c r="L487" i="1" s="1"/>
  <c r="K486" i="1"/>
  <c r="L486" i="1" s="1"/>
  <c r="K480" i="1"/>
  <c r="L480" i="1" s="1"/>
  <c r="K435" i="1"/>
  <c r="L435" i="1" s="1"/>
  <c r="K458" i="1"/>
  <c r="L458" i="1" s="1"/>
  <c r="K529" i="1"/>
  <c r="L529" i="1" s="1"/>
  <c r="K455" i="1"/>
  <c r="L455" i="1" s="1"/>
  <c r="K528" i="1"/>
  <c r="L528" i="1" s="1"/>
  <c r="J299" i="1"/>
  <c r="K299" i="1"/>
  <c r="J298" i="1"/>
  <c r="K298" i="1"/>
  <c r="J297" i="1"/>
  <c r="K297" i="1"/>
  <c r="K1025" i="1"/>
  <c r="L1025" i="1" s="1"/>
  <c r="K1021" i="1"/>
  <c r="L1021" i="1" s="1"/>
  <c r="K1026" i="1"/>
  <c r="L1026" i="1" s="1"/>
  <c r="K1024" i="1"/>
  <c r="L1024" i="1" s="1"/>
  <c r="K1020" i="1"/>
  <c r="L1020" i="1" s="1"/>
  <c r="K1022" i="1"/>
  <c r="L1022" i="1" s="1"/>
  <c r="K1027" i="1"/>
  <c r="L1027" i="1" s="1"/>
  <c r="K832" i="1"/>
  <c r="L832" i="1" s="1"/>
  <c r="K833" i="1"/>
  <c r="L833" i="1" s="1"/>
  <c r="K834" i="1"/>
  <c r="L834" i="1" s="1"/>
  <c r="K835" i="1"/>
  <c r="L835" i="1" s="1"/>
  <c r="K836" i="1"/>
  <c r="L836" i="1" s="1"/>
  <c r="K837" i="1"/>
  <c r="L837" i="1" s="1"/>
  <c r="K838" i="1"/>
  <c r="L838" i="1" s="1"/>
  <c r="K839" i="1"/>
  <c r="L839" i="1" s="1"/>
  <c r="K840" i="1"/>
  <c r="L840" i="1" s="1"/>
  <c r="K841" i="1"/>
  <c r="L841" i="1" s="1"/>
  <c r="K842" i="1"/>
  <c r="L842" i="1" s="1"/>
  <c r="K843" i="1"/>
  <c r="L843" i="1" s="1"/>
  <c r="K844" i="1"/>
  <c r="L844" i="1" s="1"/>
  <c r="K845" i="1"/>
  <c r="L845" i="1" s="1"/>
  <c r="K846" i="1"/>
  <c r="L846" i="1" s="1"/>
  <c r="K847" i="1"/>
  <c r="L847" i="1" s="1"/>
  <c r="K848" i="1"/>
  <c r="L848" i="1" s="1"/>
  <c r="K849" i="1"/>
  <c r="L849" i="1" s="1"/>
  <c r="K850" i="1"/>
  <c r="L850" i="1" s="1"/>
  <c r="K851" i="1"/>
  <c r="L851" i="1" s="1"/>
  <c r="K852" i="1"/>
  <c r="L852" i="1" s="1"/>
  <c r="K853" i="1"/>
  <c r="L853" i="1" s="1"/>
  <c r="K854" i="1"/>
  <c r="L854" i="1" s="1"/>
  <c r="K855" i="1"/>
  <c r="L855" i="1" s="1"/>
  <c r="K856" i="1"/>
  <c r="L856" i="1" s="1"/>
  <c r="K857" i="1"/>
  <c r="L857" i="1" s="1"/>
  <c r="K858" i="1"/>
  <c r="L858" i="1" s="1"/>
  <c r="K859" i="1"/>
  <c r="L859" i="1" s="1"/>
  <c r="K860" i="1"/>
  <c r="L860" i="1" s="1"/>
  <c r="K861" i="1"/>
  <c r="L861" i="1" s="1"/>
  <c r="K862" i="1"/>
  <c r="L862" i="1" s="1"/>
  <c r="K863" i="1"/>
  <c r="L863" i="1" s="1"/>
  <c r="K864" i="1"/>
  <c r="L864" i="1" s="1"/>
  <c r="K866" i="1"/>
  <c r="L866" i="1" s="1"/>
  <c r="K867" i="1"/>
  <c r="L867" i="1" s="1"/>
  <c r="K868" i="1"/>
  <c r="L868" i="1" s="1"/>
  <c r="K869" i="1"/>
  <c r="L869" i="1" s="1"/>
  <c r="K870" i="1"/>
  <c r="L870" i="1" s="1"/>
  <c r="K871" i="1"/>
  <c r="L871" i="1" s="1"/>
  <c r="K872" i="1"/>
  <c r="L872" i="1" s="1"/>
  <c r="K873" i="1"/>
  <c r="L873" i="1" s="1"/>
  <c r="K874" i="1"/>
  <c r="L874" i="1" s="1"/>
  <c r="K875" i="1"/>
  <c r="L875" i="1" s="1"/>
  <c r="K876" i="1"/>
  <c r="L876" i="1" s="1"/>
  <c r="K877" i="1"/>
  <c r="L877" i="1" s="1"/>
  <c r="K878" i="1"/>
  <c r="L878" i="1" s="1"/>
  <c r="K879" i="1"/>
  <c r="L879" i="1" s="1"/>
  <c r="K880" i="1"/>
  <c r="L880" i="1" s="1"/>
  <c r="K881" i="1"/>
  <c r="L881" i="1" s="1"/>
  <c r="K882" i="1"/>
  <c r="L882" i="1" s="1"/>
  <c r="K883" i="1"/>
  <c r="L883" i="1" s="1"/>
  <c r="K884" i="1"/>
  <c r="L884" i="1" s="1"/>
  <c r="K885" i="1"/>
  <c r="L885" i="1" s="1"/>
  <c r="K886" i="1"/>
  <c r="L886" i="1" s="1"/>
  <c r="K887" i="1"/>
  <c r="L887" i="1" s="1"/>
  <c r="K888" i="1"/>
  <c r="L888" i="1" s="1"/>
  <c r="K889" i="1"/>
  <c r="L889" i="1" s="1"/>
  <c r="K890" i="1"/>
  <c r="L890" i="1" s="1"/>
  <c r="K891" i="1"/>
  <c r="L891" i="1" s="1"/>
  <c r="K892" i="1"/>
  <c r="L892" i="1" s="1"/>
  <c r="K893" i="1"/>
  <c r="L893" i="1" s="1"/>
  <c r="K894" i="1"/>
  <c r="L894" i="1" s="1"/>
  <c r="K895" i="1"/>
  <c r="L895" i="1" s="1"/>
  <c r="K896" i="1"/>
  <c r="L896" i="1" s="1"/>
  <c r="K897" i="1"/>
  <c r="L897" i="1" s="1"/>
  <c r="K898" i="1"/>
  <c r="L898" i="1" s="1"/>
  <c r="K899" i="1"/>
  <c r="L899" i="1" s="1"/>
  <c r="K900" i="1"/>
  <c r="L900" i="1" s="1"/>
  <c r="K901" i="1"/>
  <c r="L901" i="1" s="1"/>
  <c r="K902" i="1"/>
  <c r="L902" i="1" s="1"/>
  <c r="K903" i="1"/>
  <c r="L903" i="1" s="1"/>
  <c r="K904" i="1"/>
  <c r="L904" i="1" s="1"/>
  <c r="K905" i="1"/>
  <c r="L905" i="1" s="1"/>
  <c r="K906" i="1"/>
  <c r="L906" i="1" s="1"/>
  <c r="K907" i="1"/>
  <c r="L907" i="1" s="1"/>
  <c r="K908" i="1"/>
  <c r="L908" i="1" s="1"/>
  <c r="K909" i="1"/>
  <c r="L909" i="1" s="1"/>
  <c r="K910" i="1"/>
  <c r="L910" i="1" s="1"/>
  <c r="K911" i="1"/>
  <c r="L911" i="1" s="1"/>
  <c r="K912" i="1"/>
  <c r="L912" i="1" s="1"/>
  <c r="K913" i="1"/>
  <c r="L913" i="1" s="1"/>
  <c r="K914" i="1"/>
  <c r="L914" i="1" s="1"/>
  <c r="K915" i="1"/>
  <c r="L915" i="1" s="1"/>
  <c r="K916" i="1"/>
  <c r="L916" i="1" s="1"/>
  <c r="K917" i="1"/>
  <c r="L917" i="1" s="1"/>
  <c r="K918" i="1"/>
  <c r="L918" i="1" s="1"/>
  <c r="K919" i="1"/>
  <c r="L919" i="1" s="1"/>
  <c r="K920" i="1"/>
  <c r="L920" i="1" s="1"/>
  <c r="K921" i="1"/>
  <c r="L921" i="1" s="1"/>
  <c r="K922" i="1"/>
  <c r="L922" i="1" s="1"/>
  <c r="K923" i="1"/>
  <c r="L923" i="1" s="1"/>
  <c r="K924" i="1"/>
  <c r="L924" i="1" s="1"/>
  <c r="K925" i="1"/>
  <c r="L925" i="1" s="1"/>
  <c r="K926" i="1"/>
  <c r="L926" i="1" s="1"/>
  <c r="K927" i="1"/>
  <c r="L927" i="1" s="1"/>
  <c r="K928" i="1"/>
  <c r="L928" i="1" s="1"/>
  <c r="K929" i="1"/>
  <c r="L929" i="1" s="1"/>
  <c r="K930" i="1"/>
  <c r="L930" i="1" s="1"/>
  <c r="K931" i="1"/>
  <c r="L931" i="1" s="1"/>
  <c r="K932" i="1"/>
  <c r="L932" i="1" s="1"/>
  <c r="K933" i="1"/>
  <c r="L933" i="1" s="1"/>
  <c r="K934" i="1"/>
  <c r="L934" i="1" s="1"/>
  <c r="K935" i="1"/>
  <c r="L935" i="1" s="1"/>
  <c r="K936" i="1"/>
  <c r="L936" i="1" s="1"/>
  <c r="K937" i="1"/>
  <c r="L937" i="1" s="1"/>
  <c r="K938" i="1"/>
  <c r="L938" i="1" s="1"/>
  <c r="K939" i="1"/>
  <c r="L939" i="1" s="1"/>
  <c r="K865" i="1"/>
  <c r="L865" i="1" s="1"/>
  <c r="K940" i="1"/>
  <c r="L940" i="1" s="1"/>
  <c r="K941" i="1"/>
  <c r="L941" i="1" s="1"/>
  <c r="K942" i="1"/>
  <c r="L942" i="1" s="1"/>
  <c r="K943" i="1"/>
  <c r="L943" i="1" s="1"/>
  <c r="K944" i="1"/>
  <c r="L944" i="1" s="1"/>
  <c r="K945" i="1"/>
  <c r="L945" i="1" s="1"/>
  <c r="K946" i="1"/>
  <c r="L946" i="1" s="1"/>
  <c r="K947" i="1"/>
  <c r="L947" i="1" s="1"/>
  <c r="K948" i="1"/>
  <c r="L948" i="1" s="1"/>
  <c r="K949" i="1"/>
  <c r="L949" i="1" s="1"/>
  <c r="K950" i="1"/>
  <c r="L950" i="1" s="1"/>
  <c r="K951" i="1"/>
  <c r="L951" i="1" s="1"/>
  <c r="K952" i="1"/>
  <c r="L952" i="1" s="1"/>
  <c r="K953" i="1"/>
  <c r="L953" i="1" s="1"/>
  <c r="K954" i="1"/>
  <c r="L954" i="1" s="1"/>
  <c r="K955" i="1"/>
  <c r="L955" i="1" s="1"/>
  <c r="K956" i="1"/>
  <c r="L956" i="1" s="1"/>
  <c r="K957" i="1"/>
  <c r="L957" i="1" s="1"/>
  <c r="K958" i="1"/>
  <c r="L958" i="1" s="1"/>
  <c r="K959" i="1"/>
  <c r="L959" i="1" s="1"/>
  <c r="K960" i="1"/>
  <c r="L960" i="1" s="1"/>
  <c r="K961" i="1"/>
  <c r="L961" i="1" s="1"/>
  <c r="K962" i="1"/>
  <c r="L962" i="1" s="1"/>
  <c r="K963" i="1"/>
  <c r="L963" i="1" s="1"/>
  <c r="K964" i="1"/>
  <c r="L964" i="1" s="1"/>
  <c r="K965" i="1"/>
  <c r="L965" i="1" s="1"/>
  <c r="K966" i="1"/>
  <c r="L966" i="1" s="1"/>
  <c r="K967" i="1"/>
  <c r="L967" i="1" s="1"/>
  <c r="K968" i="1"/>
  <c r="L968" i="1" s="1"/>
  <c r="K969" i="1"/>
  <c r="L969" i="1" s="1"/>
  <c r="K970" i="1"/>
  <c r="L970" i="1" s="1"/>
  <c r="K971" i="1"/>
  <c r="L971" i="1" s="1"/>
  <c r="K972" i="1"/>
  <c r="L972" i="1" s="1"/>
  <c r="K973" i="1"/>
  <c r="L973" i="1" s="1"/>
  <c r="K974" i="1"/>
  <c r="L974" i="1" s="1"/>
  <c r="K975" i="1"/>
  <c r="L975" i="1" s="1"/>
  <c r="K976" i="1"/>
  <c r="L976" i="1" s="1"/>
  <c r="K977" i="1"/>
  <c r="L977" i="1" s="1"/>
  <c r="K978" i="1"/>
  <c r="L978" i="1" s="1"/>
  <c r="K979" i="1"/>
  <c r="L979" i="1" s="1"/>
  <c r="K980" i="1"/>
  <c r="L980" i="1" s="1"/>
  <c r="K981" i="1"/>
  <c r="L981" i="1" s="1"/>
  <c r="K982" i="1"/>
  <c r="L982" i="1" s="1"/>
  <c r="K983" i="1"/>
  <c r="L983" i="1" s="1"/>
  <c r="K984" i="1"/>
  <c r="L984" i="1" s="1"/>
  <c r="K985" i="1"/>
  <c r="L985" i="1" s="1"/>
  <c r="K986" i="1"/>
  <c r="L986" i="1" s="1"/>
  <c r="K987" i="1"/>
  <c r="L987" i="1" s="1"/>
  <c r="K988" i="1"/>
  <c r="L988" i="1" s="1"/>
  <c r="K989" i="1"/>
  <c r="L989" i="1" s="1"/>
  <c r="K990" i="1"/>
  <c r="L990" i="1" s="1"/>
  <c r="K991" i="1"/>
  <c r="L991" i="1" s="1"/>
  <c r="K992" i="1"/>
  <c r="L992" i="1" s="1"/>
  <c r="K993" i="1"/>
  <c r="L993" i="1" s="1"/>
  <c r="K994" i="1"/>
  <c r="L994" i="1" s="1"/>
  <c r="K995" i="1"/>
  <c r="L995" i="1" s="1"/>
  <c r="K996" i="1"/>
  <c r="L996" i="1" s="1"/>
  <c r="K997" i="1"/>
  <c r="L997" i="1" s="1"/>
  <c r="K998" i="1"/>
  <c r="L998" i="1" s="1"/>
  <c r="K999" i="1"/>
  <c r="L999" i="1" s="1"/>
  <c r="K1000" i="1"/>
  <c r="L1000" i="1" s="1"/>
  <c r="K1001" i="1"/>
  <c r="L1001" i="1" s="1"/>
  <c r="K1002" i="1"/>
  <c r="L1002" i="1" s="1"/>
  <c r="K1003" i="1"/>
  <c r="L1003" i="1" s="1"/>
  <c r="K1004" i="1"/>
  <c r="L1004" i="1" s="1"/>
  <c r="K1005" i="1"/>
  <c r="L1005" i="1" s="1"/>
  <c r="K1006" i="1"/>
  <c r="L1006" i="1" s="1"/>
  <c r="K1007" i="1"/>
  <c r="L1007" i="1" s="1"/>
  <c r="K1008" i="1"/>
  <c r="L1008" i="1" s="1"/>
  <c r="K1009" i="1"/>
  <c r="L1009" i="1" s="1"/>
  <c r="K1010" i="1"/>
  <c r="L1010" i="1" s="1"/>
  <c r="K1011" i="1"/>
  <c r="L1011" i="1" s="1"/>
  <c r="K1012" i="1"/>
  <c r="L1012" i="1" s="1"/>
  <c r="K1013" i="1"/>
  <c r="L1013" i="1" s="1"/>
  <c r="K1014" i="1"/>
  <c r="L1014" i="1" s="1"/>
  <c r="K1015" i="1"/>
  <c r="L1015" i="1" s="1"/>
  <c r="K1016" i="1"/>
  <c r="L1016" i="1" s="1"/>
  <c r="K1017" i="1"/>
  <c r="L1017" i="1" s="1"/>
  <c r="K1018" i="1"/>
  <c r="L1018" i="1" s="1"/>
  <c r="K1019" i="1"/>
  <c r="L1019" i="1" s="1"/>
  <c r="K1028" i="1"/>
  <c r="L1028" i="1" s="1"/>
  <c r="K1029" i="1"/>
  <c r="L1029" i="1" s="1"/>
  <c r="K1030" i="1"/>
  <c r="L1030" i="1" s="1"/>
  <c r="K1031" i="1"/>
  <c r="L1031" i="1" s="1"/>
  <c r="K1032" i="1"/>
  <c r="L1032" i="1" s="1"/>
  <c r="K1033" i="1"/>
  <c r="L1033" i="1" s="1"/>
  <c r="K1034" i="1"/>
  <c r="L1034" i="1" s="1"/>
  <c r="K1035" i="1"/>
  <c r="L1035" i="1" s="1"/>
  <c r="K1036" i="1"/>
  <c r="L1036" i="1" s="1"/>
  <c r="K1037" i="1"/>
  <c r="L1037" i="1" s="1"/>
  <c r="K1038" i="1"/>
  <c r="L1038" i="1" s="1"/>
  <c r="K1039" i="1"/>
  <c r="L1039" i="1" s="1"/>
  <c r="K1040" i="1"/>
  <c r="L1040" i="1" s="1"/>
  <c r="K1041" i="1"/>
  <c r="L1041" i="1" s="1"/>
  <c r="K1042" i="1"/>
  <c r="L1042" i="1" s="1"/>
  <c r="K1043" i="1"/>
  <c r="L1043" i="1" s="1"/>
  <c r="K1044" i="1"/>
  <c r="L1044" i="1" s="1"/>
  <c r="K1045" i="1"/>
  <c r="L1045" i="1" s="1"/>
  <c r="K1046" i="1"/>
  <c r="L1046" i="1" s="1"/>
  <c r="K1047" i="1"/>
  <c r="L1047" i="1" s="1"/>
  <c r="K1048" i="1"/>
  <c r="L1048" i="1" s="1"/>
  <c r="K1049" i="1"/>
  <c r="L1049" i="1" s="1"/>
  <c r="K1050" i="1"/>
  <c r="L1050" i="1" s="1"/>
  <c r="K1051" i="1"/>
  <c r="L1051" i="1" s="1"/>
  <c r="K1052" i="1"/>
  <c r="L1052" i="1" s="1"/>
  <c r="K1053" i="1"/>
  <c r="L1053" i="1" s="1"/>
  <c r="K1054" i="1"/>
  <c r="L1054" i="1" s="1"/>
  <c r="K1055" i="1"/>
  <c r="L1055" i="1" s="1"/>
  <c r="K1056" i="1"/>
  <c r="L1056" i="1" s="1"/>
  <c r="K1057" i="1"/>
  <c r="L1057" i="1" s="1"/>
  <c r="K1058" i="1"/>
  <c r="L1058" i="1" s="1"/>
  <c r="K1059" i="1"/>
  <c r="L1059" i="1" s="1"/>
  <c r="K1060" i="1"/>
  <c r="L1060" i="1" s="1"/>
  <c r="K1061" i="1"/>
  <c r="L1061" i="1" s="1"/>
  <c r="K1062" i="1"/>
  <c r="L1062" i="1" s="1"/>
  <c r="K1063" i="1"/>
  <c r="L1063" i="1" s="1"/>
  <c r="K1064" i="1"/>
  <c r="L1064" i="1" s="1"/>
  <c r="K1065" i="1"/>
  <c r="L1065" i="1" s="1"/>
  <c r="K1066" i="1"/>
  <c r="L1066" i="1" s="1"/>
  <c r="K1067" i="1"/>
  <c r="L1067" i="1" s="1"/>
  <c r="K1068" i="1"/>
  <c r="L1068" i="1" s="1"/>
  <c r="K1069" i="1"/>
  <c r="L1069" i="1" s="1"/>
  <c r="K1070" i="1"/>
  <c r="L1070" i="1" s="1"/>
  <c r="K1071" i="1"/>
  <c r="L1071" i="1" s="1"/>
  <c r="K1072" i="1"/>
  <c r="L1072" i="1" s="1"/>
  <c r="K1073" i="1"/>
  <c r="L1073" i="1" s="1"/>
  <c r="K1074" i="1"/>
  <c r="L1074" i="1" s="1"/>
  <c r="K1023" i="1"/>
  <c r="L1023" i="1" s="1"/>
  <c r="J342" i="1"/>
  <c r="K342" i="1"/>
  <c r="B25" i="1"/>
  <c r="J341" i="1"/>
  <c r="K341" i="1"/>
  <c r="J340" i="1"/>
  <c r="K340" i="1"/>
  <c r="K258" i="1"/>
  <c r="J258" i="1"/>
  <c r="J257" i="1"/>
  <c r="K257" i="1"/>
  <c r="J256" i="1"/>
  <c r="K256" i="1"/>
  <c r="J255" i="1"/>
  <c r="K255" i="1"/>
  <c r="J254" i="1"/>
  <c r="K254" i="1"/>
  <c r="J253" i="1"/>
  <c r="K253" i="1"/>
  <c r="J252" i="1"/>
  <c r="K252" i="1"/>
  <c r="J251" i="1"/>
  <c r="K251" i="1"/>
  <c r="J250" i="1"/>
  <c r="K250" i="1"/>
  <c r="J249" i="1"/>
  <c r="K249" i="1"/>
  <c r="J248" i="1"/>
  <c r="K248" i="1"/>
  <c r="J247" i="1"/>
  <c r="K247" i="1"/>
  <c r="J246" i="1"/>
  <c r="K246" i="1"/>
  <c r="B8" i="1"/>
  <c r="J245" i="1"/>
  <c r="K245" i="1"/>
  <c r="J244" i="1"/>
  <c r="K244" i="1"/>
  <c r="J243" i="1"/>
  <c r="K243" i="1"/>
  <c r="J242" i="1"/>
  <c r="K242" i="1"/>
  <c r="J241" i="1"/>
  <c r="K241" i="1"/>
  <c r="J240" i="1"/>
  <c r="K240" i="1"/>
  <c r="J239" i="1"/>
  <c r="K239" i="1"/>
  <c r="J238" i="1"/>
  <c r="K238" i="1"/>
  <c r="J237" i="1"/>
  <c r="K237" i="1"/>
  <c r="J236" i="1"/>
  <c r="K236" i="1"/>
  <c r="J235" i="1"/>
  <c r="K235" i="1"/>
  <c r="J234" i="1"/>
  <c r="K234" i="1"/>
  <c r="J233" i="1"/>
  <c r="K233" i="1"/>
  <c r="J232" i="1"/>
  <c r="K232" i="1"/>
  <c r="J231" i="1"/>
  <c r="K231" i="1"/>
  <c r="J230" i="1"/>
  <c r="K230" i="1"/>
  <c r="J229" i="1"/>
  <c r="K229" i="1"/>
  <c r="J228" i="1"/>
  <c r="K228" i="1"/>
  <c r="J227" i="1"/>
  <c r="K227" i="1"/>
  <c r="J226" i="1"/>
  <c r="K226" i="1"/>
  <c r="J225" i="1"/>
  <c r="K225" i="1"/>
  <c r="J224" i="1"/>
  <c r="K224" i="1"/>
  <c r="J223" i="1"/>
  <c r="K223" i="1"/>
  <c r="J222" i="1"/>
  <c r="K222" i="1"/>
  <c r="J221" i="1"/>
  <c r="K221" i="1"/>
  <c r="J220" i="1"/>
  <c r="K220" i="1"/>
  <c r="J219" i="1"/>
  <c r="K219" i="1"/>
  <c r="J218" i="1"/>
  <c r="K218" i="1"/>
  <c r="J217" i="1"/>
  <c r="K217" i="1"/>
  <c r="J216" i="1"/>
  <c r="K216" i="1"/>
  <c r="J215" i="1"/>
  <c r="K215" i="1"/>
  <c r="J214" i="1"/>
  <c r="K214" i="1"/>
  <c r="J212" i="1"/>
  <c r="K212" i="1"/>
  <c r="J213" i="1"/>
  <c r="K213" i="1"/>
  <c r="J122" i="1"/>
  <c r="K122" i="1"/>
  <c r="D21" i="1"/>
  <c r="D22" i="1"/>
  <c r="D23" i="1"/>
  <c r="D24" i="1"/>
  <c r="C24" i="1"/>
  <c r="C23" i="1"/>
  <c r="C22" i="1"/>
  <c r="C21" i="1"/>
  <c r="B21" i="1"/>
  <c r="B22" i="1"/>
  <c r="B23" i="1"/>
  <c r="B24" i="1"/>
  <c r="K315" i="1"/>
  <c r="J315" i="1"/>
  <c r="K314" i="1"/>
  <c r="J314" i="1"/>
  <c r="K313" i="1"/>
  <c r="J313" i="1"/>
  <c r="K312" i="1"/>
  <c r="J312" i="1"/>
  <c r="K311" i="1"/>
  <c r="J311" i="1"/>
  <c r="J310" i="1"/>
  <c r="K310" i="1"/>
  <c r="J309" i="1"/>
  <c r="K309" i="1"/>
  <c r="K308" i="1"/>
  <c r="J308" i="1"/>
  <c r="J307" i="1"/>
  <c r="K307" i="1"/>
  <c r="J306" i="1"/>
  <c r="K306" i="1"/>
  <c r="J305" i="1"/>
  <c r="K305" i="1"/>
  <c r="J304" i="1"/>
  <c r="K304" i="1"/>
  <c r="J303" i="1"/>
  <c r="K303" i="1"/>
  <c r="J302" i="1"/>
  <c r="K302" i="1"/>
  <c r="J301" i="1"/>
  <c r="K301" i="1"/>
  <c r="K300" i="1"/>
  <c r="J300" i="1"/>
  <c r="K291" i="1"/>
  <c r="J291" i="1"/>
  <c r="J211" i="1"/>
  <c r="K211" i="1"/>
  <c r="D15" i="1"/>
  <c r="C15" i="1"/>
  <c r="B15" i="1"/>
  <c r="D14" i="1" l="1"/>
  <c r="D13" i="1"/>
  <c r="C14" i="1"/>
  <c r="C13" i="1"/>
  <c r="B13" i="1"/>
  <c r="B14" i="1"/>
</calcChain>
</file>

<file path=xl/sharedStrings.xml><?xml version="1.0" encoding="utf-8"?>
<sst xmlns="http://schemas.openxmlformats.org/spreadsheetml/2006/main" count="1662" uniqueCount="104">
  <si>
    <t>10 mM DOPC + 1 mM 2-nitrobenzaldehyde</t>
  </si>
  <si>
    <t>Full-record results</t>
  </si>
  <si>
    <t>DOPC 1</t>
  </si>
  <si>
    <t>DOPC 2</t>
  </si>
  <si>
    <t>DOPC 3</t>
  </si>
  <si>
    <t>Reference A-B</t>
  </si>
  <si>
    <t>Reference D-E</t>
  </si>
  <si>
    <t>Number of readings</t>
  </si>
  <si>
    <t>Duration (min)</t>
  </si>
  <si>
    <t>Initial pH</t>
  </si>
  <si>
    <t>Final pH</t>
  </si>
  <si>
    <t>pH decrease at 12 min</t>
  </si>
  <si>
    <t>Fitted pH infinity</t>
  </si>
  <si>
    <t>Fitted amplitude A</t>
  </si>
  <si>
    <t>Apparent k (min^-1)</t>
  </si>
  <si>
    <t>Half-response LN(2)/k (min)</t>
  </si>
  <si>
    <t>Exponential R^2</t>
  </si>
  <si>
    <t>RMSE (pH)</t>
  </si>
  <si>
    <t>SSE = SUM(residual^2)</t>
  </si>
  <si>
    <t>Linear slope (pH/min)</t>
  </si>
  <si>
    <t>Linear intercept</t>
  </si>
  <si>
    <t>Linear R^2</t>
  </si>
  <si>
    <t>First 100-s slope (pH/min)</t>
  </si>
  <si>
    <t>Last 2-min slope (pH/min)</t>
  </si>
  <si>
    <t>Time to pH 6 (min)</t>
  </si>
  <si>
    <t>Time to pH 5 (min)</t>
  </si>
  <si>
    <t>Time to pH 4 (min)</t>
  </si>
  <si>
    <t>Time to pH 3 (min)</t>
  </si>
  <si>
    <t>pH decrease at 20 min</t>
  </si>
  <si>
    <t>pH(t) = pH infinity + A*EXP(-k*t). k describes the pH response.</t>
  </si>
  <si>
    <t>Fitted parameters are fixed results; other calculations use formulas.</t>
  </si>
  <si>
    <t>DOPC summary</t>
  </si>
  <si>
    <t>Mean</t>
  </si>
  <si>
    <t>Sample SD</t>
  </si>
  <si>
    <t>n</t>
  </si>
  <si>
    <t>Series</t>
  </si>
  <si>
    <t>Full-record k (min^-1)</t>
  </si>
  <si>
    <t>Plot data (5-second interpolation)</t>
  </si>
  <si>
    <t>Time (min)</t>
  </si>
  <si>
    <t>DOPC 1 fit</t>
  </si>
  <si>
    <t>DOPC 2 fit</t>
  </si>
  <si>
    <t>DOPC 3 fit</t>
  </si>
  <si>
    <t>Mean DOPC pH</t>
  </si>
  <si>
    <t>SD DOPC pH</t>
  </si>
  <si>
    <t>Calculations using original measurement times</t>
  </si>
  <si>
    <t>Source row</t>
  </si>
  <si>
    <t>Measured pH</t>
  </si>
  <si>
    <t>pH decrease</t>
  </si>
  <si>
    <t>10^-pH (activity)</t>
  </si>
  <si>
    <t>dpH/dt (pH/min)</t>
  </si>
  <si>
    <t>Full exponential fit</t>
  </si>
  <si>
    <t>Residual (pH)</t>
  </si>
  <si>
    <t>Residual squared</t>
  </si>
  <si>
    <t>Linear fit</t>
  </si>
  <si>
    <t>Linear residual squared</t>
  </si>
  <si>
    <t>0-12 min exponential fit</t>
  </si>
  <si>
    <t>0-12 min residual squared</t>
  </si>
  <si>
    <t>Interval midpoint (min)</t>
  </si>
  <si>
    <t>Time crossing pH 6</t>
  </si>
  <si>
    <t>Time crossing pH 5</t>
  </si>
  <si>
    <t>Time crossing pH 4</t>
  </si>
  <si>
    <t>Time crossing pH 3</t>
  </si>
  <si>
    <t>computer_timestamp_utc</t>
  </si>
  <si>
    <t>elapsed_seconds</t>
  </si>
  <si>
    <t>elapsed_minutes</t>
  </si>
  <si>
    <t>sample_number</t>
  </si>
  <si>
    <t>arduino_millis</t>
  </si>
  <si>
    <t>raw_adc</t>
  </si>
  <si>
    <t>raw_sd</t>
  </si>
  <si>
    <t>voltage</t>
  </si>
  <si>
    <t>ph</t>
  </si>
  <si>
    <t>delta_ph</t>
  </si>
  <si>
    <t>ph_change_from_previous</t>
  </si>
  <si>
    <t>ph_rate_from_previous_per_min</t>
  </si>
  <si>
    <t>pH of 2- nitrobenzaldehyde curve in water and ethanol(1).xlsx</t>
  </si>
  <si>
    <t>pH</t>
  </si>
  <si>
    <t>DOPC source metadata</t>
  </si>
  <si>
    <t>2026-10-16_10-41-34_DOPC_pH_change_1.xlsx</t>
  </si>
  <si>
    <t>Experiment name</t>
  </si>
  <si>
    <t>DOPC_pH_change</t>
  </si>
  <si>
    <t>Start time</t>
  </si>
  <si>
    <t>End time</t>
  </si>
  <si>
    <t>Stop reason</t>
  </si>
  <si>
    <t>stopped by user</t>
  </si>
  <si>
    <t>Operator notes</t>
  </si>
  <si>
    <t>Add sample conditions, treatment, concentration, temperature, and UV timing here.</t>
  </si>
  <si>
    <t>Serial port</t>
  </si>
  <si>
    <t>COM3</t>
  </si>
  <si>
    <t>Sample interval (s)</t>
  </si>
  <si>
    <t>Requested duration (min)</t>
  </si>
  <si>
    <t>Net pH change</t>
  </si>
  <si>
    <t>Minimum pH</t>
  </si>
  <si>
    <t>Maximum pH</t>
  </si>
  <si>
    <t>Mean pH</t>
  </si>
  <si>
    <t>pH standard deviation</t>
  </si>
  <si>
    <t>Linear pH rate (pH/min)</t>
  </si>
  <si>
    <t>Calibration slope</t>
  </si>
  <si>
    <t>Calibration intercept</t>
  </si>
  <si>
    <t>Calibration R²</t>
  </si>
  <si>
    <t>Calibration point count</t>
  </si>
  <si>
    <t>2026-10-16_11-06-36_DOPC_pH_change_2.xlsx</t>
  </si>
  <si>
    <t>2026-10-16_11-29-29_DOPC_pH_change_3.xlsx</t>
  </si>
  <si>
    <t>Timestamp display</t>
  </si>
  <si>
    <t>UTC; source offset -04:00.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</si>
</sst>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yyyy\-mm\-dd\ hh:mm:ss.000&quot; UTC&quot;"/>
    <numFmt numFmtId="166" formatCode="0.000000"/>
    <numFmt numFmtId="167" formatCode="yyyy\-mm\-dd\ hh:mm:ss&quot; UTC&quot;"/>
    <numFmt numFmtId="168" formatCode="0.000E+00"/>
  </numFmts>
  <fonts count="2">
    <font>
      <sz val="11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" fontId="0" fillId="0" borderId="0" xfId="0" applyNumberFormat="1"/>
    <xf numFmtId="168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Measured pH and exponential fits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DOPC 1</c:v>
          </c:tx>
          <c:spPr>
            <a:ln w="14288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numRef>
              <c:f>Analysis!$A$102:$A$342</c:f>
              <c:numCache>
                <c:formatCode>0.0000</c:formatCode>
                <c:ptCount val="241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1.1666666666666667</c:v>
                </c:pt>
                <c:pt idx="15">
                  <c:v>1.25</c:v>
                </c:pt>
                <c:pt idx="16">
                  <c:v>1.3333333333333333</c:v>
                </c:pt>
                <c:pt idx="17">
                  <c:v>1.4166666666666667</c:v>
                </c:pt>
                <c:pt idx="18">
                  <c:v>1.5</c:v>
                </c:pt>
                <c:pt idx="19">
                  <c:v>1.5833333333333333</c:v>
                </c:pt>
                <c:pt idx="20">
                  <c:v>1.6666666666666667</c:v>
                </c:pt>
                <c:pt idx="21">
                  <c:v>1.75</c:v>
                </c:pt>
                <c:pt idx="22">
                  <c:v>1.8333333333333333</c:v>
                </c:pt>
                <c:pt idx="23">
                  <c:v>1.9166666666666667</c:v>
                </c:pt>
                <c:pt idx="24">
                  <c:v>2</c:v>
                </c:pt>
                <c:pt idx="25">
                  <c:v>2.0833333333333335</c:v>
                </c:pt>
                <c:pt idx="26">
                  <c:v>2.1666666666666665</c:v>
                </c:pt>
                <c:pt idx="27">
                  <c:v>2.25</c:v>
                </c:pt>
                <c:pt idx="28">
                  <c:v>2.3333333333333335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2.6666666666666665</c:v>
                </c:pt>
                <c:pt idx="33">
                  <c:v>2.75</c:v>
                </c:pt>
                <c:pt idx="34">
                  <c:v>2.8333333333333335</c:v>
                </c:pt>
                <c:pt idx="35">
                  <c:v>2.9166666666666665</c:v>
                </c:pt>
                <c:pt idx="36">
                  <c:v>3</c:v>
                </c:pt>
                <c:pt idx="37">
                  <c:v>3.0833333333333335</c:v>
                </c:pt>
                <c:pt idx="38">
                  <c:v>3.1666666666666665</c:v>
                </c:pt>
                <c:pt idx="39">
                  <c:v>3.25</c:v>
                </c:pt>
                <c:pt idx="40">
                  <c:v>3.3333333333333335</c:v>
                </c:pt>
                <c:pt idx="41">
                  <c:v>3.4166666666666665</c:v>
                </c:pt>
                <c:pt idx="42">
                  <c:v>3.5</c:v>
                </c:pt>
                <c:pt idx="43">
                  <c:v>3.5833333333333335</c:v>
                </c:pt>
                <c:pt idx="44">
                  <c:v>3.6666666666666665</c:v>
                </c:pt>
                <c:pt idx="45">
                  <c:v>3.75</c:v>
                </c:pt>
                <c:pt idx="46">
                  <c:v>3.8333333333333335</c:v>
                </c:pt>
                <c:pt idx="47">
                  <c:v>3.9166666666666665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8.0833333333333339</c:v>
                </c:pt>
                <c:pt idx="98">
                  <c:v>8.1666666666666661</c:v>
                </c:pt>
                <c:pt idx="99">
                  <c:v>8.25</c:v>
                </c:pt>
                <c:pt idx="100">
                  <c:v>8.3333333333333339</c:v>
                </c:pt>
                <c:pt idx="101">
                  <c:v>8.4166666666666661</c:v>
                </c:pt>
                <c:pt idx="102">
                  <c:v>8.5</c:v>
                </c:pt>
                <c:pt idx="103">
                  <c:v>8.5833333333333339</c:v>
                </c:pt>
                <c:pt idx="104">
                  <c:v>8.6666666666666661</c:v>
                </c:pt>
                <c:pt idx="105">
                  <c:v>8.75</c:v>
                </c:pt>
                <c:pt idx="106">
                  <c:v>8.8333333333333339</c:v>
                </c:pt>
                <c:pt idx="107">
                  <c:v>8.9166666666666661</c:v>
                </c:pt>
                <c:pt idx="108">
                  <c:v>9</c:v>
                </c:pt>
                <c:pt idx="109">
                  <c:v>9.0833333333333339</c:v>
                </c:pt>
                <c:pt idx="110">
                  <c:v>9.1666666666666661</c:v>
                </c:pt>
                <c:pt idx="111">
                  <c:v>9.25</c:v>
                </c:pt>
                <c:pt idx="112">
                  <c:v>9.3333333333333339</c:v>
                </c:pt>
                <c:pt idx="113">
                  <c:v>9.4166666666666661</c:v>
                </c:pt>
                <c:pt idx="114">
                  <c:v>9.5</c:v>
                </c:pt>
                <c:pt idx="115">
                  <c:v>9.5833333333333339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9.9166666666666661</c:v>
                </c:pt>
                <c:pt idx="120">
                  <c:v>10</c:v>
                </c:pt>
                <c:pt idx="121">
                  <c:v>10.083333333333334</c:v>
                </c:pt>
                <c:pt idx="122">
                  <c:v>10.166666666666666</c:v>
                </c:pt>
                <c:pt idx="123">
                  <c:v>10.25</c:v>
                </c:pt>
                <c:pt idx="124">
                  <c:v>10.333333333333334</c:v>
                </c:pt>
                <c:pt idx="125">
                  <c:v>10.416666666666666</c:v>
                </c:pt>
                <c:pt idx="126">
                  <c:v>10.5</c:v>
                </c:pt>
                <c:pt idx="127">
                  <c:v>10.583333333333334</c:v>
                </c:pt>
                <c:pt idx="128">
                  <c:v>10.666666666666666</c:v>
                </c:pt>
                <c:pt idx="129">
                  <c:v>10.75</c:v>
                </c:pt>
                <c:pt idx="130">
                  <c:v>10.833333333333334</c:v>
                </c:pt>
                <c:pt idx="131">
                  <c:v>10.916666666666666</c:v>
                </c:pt>
                <c:pt idx="132">
                  <c:v>11</c:v>
                </c:pt>
                <c:pt idx="133">
                  <c:v>11.083333333333334</c:v>
                </c:pt>
                <c:pt idx="134">
                  <c:v>11.166666666666666</c:v>
                </c:pt>
                <c:pt idx="135">
                  <c:v>11.25</c:v>
                </c:pt>
                <c:pt idx="136">
                  <c:v>11.333333333333334</c:v>
                </c:pt>
                <c:pt idx="137">
                  <c:v>11.416666666666666</c:v>
                </c:pt>
                <c:pt idx="138">
                  <c:v>11.5</c:v>
                </c:pt>
                <c:pt idx="139">
                  <c:v>11.583333333333334</c:v>
                </c:pt>
                <c:pt idx="140">
                  <c:v>11.666666666666666</c:v>
                </c:pt>
                <c:pt idx="141">
                  <c:v>11.75</c:v>
                </c:pt>
                <c:pt idx="142">
                  <c:v>11.833333333333334</c:v>
                </c:pt>
                <c:pt idx="143">
                  <c:v>11.916666666666666</c:v>
                </c:pt>
                <c:pt idx="144">
                  <c:v>12</c:v>
                </c:pt>
                <c:pt idx="145">
                  <c:v>12.083333333333334</c:v>
                </c:pt>
                <c:pt idx="146">
                  <c:v>12.166666666666666</c:v>
                </c:pt>
                <c:pt idx="147">
                  <c:v>12.25</c:v>
                </c:pt>
                <c:pt idx="148">
                  <c:v>12.333333333333334</c:v>
                </c:pt>
                <c:pt idx="149">
                  <c:v>12.416666666666666</c:v>
                </c:pt>
                <c:pt idx="150">
                  <c:v>12.5</c:v>
                </c:pt>
                <c:pt idx="151">
                  <c:v>12.583333333333334</c:v>
                </c:pt>
                <c:pt idx="152">
                  <c:v>12.666666666666666</c:v>
                </c:pt>
                <c:pt idx="153">
                  <c:v>12.75</c:v>
                </c:pt>
                <c:pt idx="154">
                  <c:v>12.833333333333334</c:v>
                </c:pt>
                <c:pt idx="155">
                  <c:v>12.916666666666666</c:v>
                </c:pt>
                <c:pt idx="156">
                  <c:v>13</c:v>
                </c:pt>
                <c:pt idx="157">
                  <c:v>13.083333333333334</c:v>
                </c:pt>
                <c:pt idx="158">
                  <c:v>13.166666666666666</c:v>
                </c:pt>
                <c:pt idx="159">
                  <c:v>13.25</c:v>
                </c:pt>
                <c:pt idx="160">
                  <c:v>13.333333333333334</c:v>
                </c:pt>
                <c:pt idx="161">
                  <c:v>13.416666666666666</c:v>
                </c:pt>
                <c:pt idx="162">
                  <c:v>13.5</c:v>
                </c:pt>
                <c:pt idx="163">
                  <c:v>13.583333333333334</c:v>
                </c:pt>
                <c:pt idx="164">
                  <c:v>13.666666666666666</c:v>
                </c:pt>
                <c:pt idx="165">
                  <c:v>13.75</c:v>
                </c:pt>
                <c:pt idx="166">
                  <c:v>13.833333333333334</c:v>
                </c:pt>
                <c:pt idx="167">
                  <c:v>13.916666666666666</c:v>
                </c:pt>
                <c:pt idx="168">
                  <c:v>14</c:v>
                </c:pt>
                <c:pt idx="169">
                  <c:v>14.083333333333334</c:v>
                </c:pt>
                <c:pt idx="170">
                  <c:v>14.166666666666666</c:v>
                </c:pt>
                <c:pt idx="171">
                  <c:v>14.25</c:v>
                </c:pt>
                <c:pt idx="172">
                  <c:v>14.333333333333334</c:v>
                </c:pt>
                <c:pt idx="173">
                  <c:v>14.416666666666666</c:v>
                </c:pt>
                <c:pt idx="174">
                  <c:v>14.5</c:v>
                </c:pt>
                <c:pt idx="175">
                  <c:v>14.583333333333334</c:v>
                </c:pt>
                <c:pt idx="176">
                  <c:v>14.666666666666666</c:v>
                </c:pt>
                <c:pt idx="177">
                  <c:v>14.75</c:v>
                </c:pt>
                <c:pt idx="178">
                  <c:v>14.833333333333334</c:v>
                </c:pt>
                <c:pt idx="179">
                  <c:v>14.916666666666666</c:v>
                </c:pt>
                <c:pt idx="180">
                  <c:v>15</c:v>
                </c:pt>
                <c:pt idx="181">
                  <c:v>15.083333333333334</c:v>
                </c:pt>
                <c:pt idx="182">
                  <c:v>15.166666666666666</c:v>
                </c:pt>
                <c:pt idx="183">
                  <c:v>15.25</c:v>
                </c:pt>
                <c:pt idx="184">
                  <c:v>15.333333333333334</c:v>
                </c:pt>
                <c:pt idx="185">
                  <c:v>15.416666666666666</c:v>
                </c:pt>
                <c:pt idx="186">
                  <c:v>15.5</c:v>
                </c:pt>
                <c:pt idx="187">
                  <c:v>15.583333333333334</c:v>
                </c:pt>
                <c:pt idx="188">
                  <c:v>15.666666666666666</c:v>
                </c:pt>
                <c:pt idx="189">
                  <c:v>15.75</c:v>
                </c:pt>
                <c:pt idx="190">
                  <c:v>15.833333333333334</c:v>
                </c:pt>
                <c:pt idx="191">
                  <c:v>15.916666666666666</c:v>
                </c:pt>
                <c:pt idx="192">
                  <c:v>16</c:v>
                </c:pt>
                <c:pt idx="193">
                  <c:v>16.083333333333332</c:v>
                </c:pt>
                <c:pt idx="194">
                  <c:v>16.166666666666668</c:v>
                </c:pt>
                <c:pt idx="195">
                  <c:v>16.25</c:v>
                </c:pt>
                <c:pt idx="196">
                  <c:v>16.333333333333332</c:v>
                </c:pt>
                <c:pt idx="197">
                  <c:v>16.416666666666668</c:v>
                </c:pt>
                <c:pt idx="198">
                  <c:v>16.5</c:v>
                </c:pt>
                <c:pt idx="199">
                  <c:v>16.583333333333332</c:v>
                </c:pt>
                <c:pt idx="200">
                  <c:v>16.666666666666668</c:v>
                </c:pt>
                <c:pt idx="201">
                  <c:v>16.75</c:v>
                </c:pt>
                <c:pt idx="202">
                  <c:v>16.833333333333332</c:v>
                </c:pt>
                <c:pt idx="203">
                  <c:v>16.916666666666668</c:v>
                </c:pt>
                <c:pt idx="204">
                  <c:v>17</c:v>
                </c:pt>
                <c:pt idx="205">
                  <c:v>17.083333333333332</c:v>
                </c:pt>
                <c:pt idx="206">
                  <c:v>17.166666666666668</c:v>
                </c:pt>
                <c:pt idx="207">
                  <c:v>17.25</c:v>
                </c:pt>
                <c:pt idx="208">
                  <c:v>17.333333333333332</c:v>
                </c:pt>
                <c:pt idx="209">
                  <c:v>17.416666666666668</c:v>
                </c:pt>
                <c:pt idx="210">
                  <c:v>17.5</c:v>
                </c:pt>
                <c:pt idx="211">
                  <c:v>17.583333333333332</c:v>
                </c:pt>
                <c:pt idx="212">
                  <c:v>17.666666666666668</c:v>
                </c:pt>
                <c:pt idx="213">
                  <c:v>17.75</c:v>
                </c:pt>
                <c:pt idx="214">
                  <c:v>17.833333333333332</c:v>
                </c:pt>
                <c:pt idx="215">
                  <c:v>17.916666666666668</c:v>
                </c:pt>
                <c:pt idx="216">
                  <c:v>18</c:v>
                </c:pt>
                <c:pt idx="217">
                  <c:v>18.083333333333332</c:v>
                </c:pt>
                <c:pt idx="218">
                  <c:v>18.166666666666668</c:v>
                </c:pt>
                <c:pt idx="219">
                  <c:v>18.25</c:v>
                </c:pt>
                <c:pt idx="220">
                  <c:v>18.333333333333332</c:v>
                </c:pt>
                <c:pt idx="221">
                  <c:v>18.416666666666668</c:v>
                </c:pt>
                <c:pt idx="222">
                  <c:v>18.5</c:v>
                </c:pt>
                <c:pt idx="223">
                  <c:v>18.583333333333332</c:v>
                </c:pt>
                <c:pt idx="224">
                  <c:v>18.666666666666668</c:v>
                </c:pt>
                <c:pt idx="225">
                  <c:v>18.75</c:v>
                </c:pt>
                <c:pt idx="226">
                  <c:v>18.833333333333332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19.166666666666668</c:v>
                </c:pt>
                <c:pt idx="231">
                  <c:v>19.25</c:v>
                </c:pt>
                <c:pt idx="232">
                  <c:v>19.333333333333332</c:v>
                </c:pt>
                <c:pt idx="233">
                  <c:v>19.416666666666668</c:v>
                </c:pt>
                <c:pt idx="234">
                  <c:v>19.5</c:v>
                </c:pt>
                <c:pt idx="235">
                  <c:v>19.583333333333332</c:v>
                </c:pt>
                <c:pt idx="236">
                  <c:v>19.666666666666668</c:v>
                </c:pt>
                <c:pt idx="237">
                  <c:v>19.75</c:v>
                </c:pt>
                <c:pt idx="238">
                  <c:v>19.833333333333332</c:v>
                </c:pt>
                <c:pt idx="239">
                  <c:v>19.916666666666668</c:v>
                </c:pt>
                <c:pt idx="240">
                  <c:v>20</c:v>
                </c:pt>
              </c:numCache>
            </c:numRef>
          </c:cat>
          <c:val>
            <c:numRef>
              <c:f>Analysis!$B$102:$B$342</c:f>
              <c:numCache>
                <c:formatCode>0.0000</c:formatCode>
                <c:ptCount val="241"/>
                <c:pt idx="0">
                  <c:v>7.4064500000000004</c:v>
                </c:pt>
                <c:pt idx="1">
                  <c:v>7.4249099999999997</c:v>
                </c:pt>
                <c:pt idx="2">
                  <c:v>7.4087195215311104</c:v>
                </c:pt>
                <c:pt idx="3">
                  <c:v>7.3960699999999999</c:v>
                </c:pt>
                <c:pt idx="4">
                  <c:v>7.376345536000029</c:v>
                </c:pt>
                <c:pt idx="5">
                  <c:v>7.3406124960000199</c:v>
                </c:pt>
                <c:pt idx="6">
                  <c:v>7.3163961760000182</c:v>
                </c:pt>
                <c:pt idx="7">
                  <c:v>7.2932703951855897</c:v>
                </c:pt>
                <c:pt idx="8">
                  <c:v>7.2527846719840827</c:v>
                </c:pt>
                <c:pt idx="9">
                  <c:v>7.2148500521564944</c:v>
                </c:pt>
                <c:pt idx="10">
                  <c:v>7.1835310000000412</c:v>
                </c:pt>
                <c:pt idx="11">
                  <c:v>7.1385310620000419</c:v>
                </c:pt>
                <c:pt idx="12">
                  <c:v>7.0936126100000312</c:v>
                </c:pt>
                <c:pt idx="13">
                  <c:v>7.0601188402889612</c:v>
                </c:pt>
                <c:pt idx="14">
                  <c:v>7.0195996180000106</c:v>
                </c:pt>
                <c:pt idx="15">
                  <c:v>6.9781672840000084</c:v>
                </c:pt>
                <c:pt idx="16">
                  <c:v>6.9468536660000133</c:v>
                </c:pt>
                <c:pt idx="17">
                  <c:v>6.8974924894684113</c:v>
                </c:pt>
                <c:pt idx="18">
                  <c:v>6.8740678640000183</c:v>
                </c:pt>
                <c:pt idx="19">
                  <c:v>6.827999288000016</c:v>
                </c:pt>
                <c:pt idx="20">
                  <c:v>6.7878330136436684</c:v>
                </c:pt>
                <c:pt idx="21">
                  <c:v>6.7645656100478391</c:v>
                </c:pt>
                <c:pt idx="22">
                  <c:v>6.733469458266466</c:v>
                </c:pt>
                <c:pt idx="23">
                  <c:v>6.6989121679999943</c:v>
                </c:pt>
                <c:pt idx="24">
                  <c:v>6.6744221319999895</c:v>
                </c:pt>
                <c:pt idx="25">
                  <c:v>6.6330361199999919</c:v>
                </c:pt>
                <c:pt idx="26">
                  <c:v>6.6008248033707799</c:v>
                </c:pt>
                <c:pt idx="27">
                  <c:v>6.5742559290271254</c:v>
                </c:pt>
                <c:pt idx="28">
                  <c:v>6.5500648033707805</c:v>
                </c:pt>
                <c:pt idx="29">
                  <c:v>6.523407808000016</c:v>
                </c:pt>
                <c:pt idx="30">
                  <c:v>6.4947845720000101</c:v>
                </c:pt>
                <c:pt idx="31">
                  <c:v>6.4770410440000221</c:v>
                </c:pt>
                <c:pt idx="32">
                  <c:v>6.4369949789368226</c:v>
                </c:pt>
                <c:pt idx="33">
                  <c:v>6.4139335633100831</c:v>
                </c:pt>
                <c:pt idx="34">
                  <c:v>6.3940875626880826</c:v>
                </c:pt>
                <c:pt idx="35">
                  <c:v>6.3596117860000163</c:v>
                </c:pt>
                <c:pt idx="36">
                  <c:v>6.3355579300000109</c:v>
                </c:pt>
                <c:pt idx="37">
                  <c:v>6.3189553620000236</c:v>
                </c:pt>
                <c:pt idx="38">
                  <c:v>6.2822695706260205</c:v>
                </c:pt>
                <c:pt idx="39">
                  <c:v>6.2559049538523279</c:v>
                </c:pt>
                <c:pt idx="40">
                  <c:v>6.239057523923476</c:v>
                </c:pt>
                <c:pt idx="41">
                  <c:v>6.2004193338683793</c:v>
                </c:pt>
                <c:pt idx="42">
                  <c:v>6.1795618560000172</c:v>
                </c:pt>
                <c:pt idx="43">
                  <c:v>6.1574140000000241</c:v>
                </c:pt>
                <c:pt idx="44">
                  <c:v>6.1274467120000233</c:v>
                </c:pt>
                <c:pt idx="45">
                  <c:v>6.0989306720160625</c:v>
                </c:pt>
                <c:pt idx="46">
                  <c:v>6.0809715413759058</c:v>
                </c:pt>
                <c:pt idx="47">
                  <c:v>6.0443192096289122</c:v>
                </c:pt>
                <c:pt idx="48">
                  <c:v>6.0133402160000209</c:v>
                </c:pt>
                <c:pt idx="49">
                  <c:v>5.9899819280000299</c:v>
                </c:pt>
                <c:pt idx="50">
                  <c:v>5.9576363600000306</c:v>
                </c:pt>
                <c:pt idx="51">
                  <c:v>5.9243996067415967</c:v>
                </c:pt>
                <c:pt idx="52">
                  <c:v>5.897829712918667</c:v>
                </c:pt>
                <c:pt idx="53">
                  <c:v>5.8719837961477106</c:v>
                </c:pt>
                <c:pt idx="54">
                  <c:v>5.8297968320000066</c:v>
                </c:pt>
                <c:pt idx="55">
                  <c:v>5.8054973680000064</c:v>
                </c:pt>
                <c:pt idx="56">
                  <c:v>5.7784470692076342</c:v>
                </c:pt>
                <c:pt idx="57">
                  <c:v>5.7377026060000063</c:v>
                </c:pt>
                <c:pt idx="58">
                  <c:v>5.72009078800001</c:v>
                </c:pt>
                <c:pt idx="59">
                  <c:v>5.6938049600000191</c:v>
                </c:pt>
                <c:pt idx="60">
                  <c:v>5.6454540509630879</c:v>
                </c:pt>
                <c:pt idx="61">
                  <c:v>5.6283227472089221</c:v>
                </c:pt>
                <c:pt idx="62">
                  <c:v>5.5896942174959969</c:v>
                </c:pt>
                <c:pt idx="63">
                  <c:v>5.5626981439999907</c:v>
                </c:pt>
                <c:pt idx="64">
                  <c:v>5.5276876199999956</c:v>
                </c:pt>
                <c:pt idx="65">
                  <c:v>5.5093100959999886</c:v>
                </c:pt>
                <c:pt idx="66">
                  <c:v>5.4662635112359492</c:v>
                </c:pt>
                <c:pt idx="67">
                  <c:v>5.441665630000017</c:v>
                </c:pt>
                <c:pt idx="68">
                  <c:v>5.4103640820000187</c:v>
                </c:pt>
                <c:pt idx="69">
                  <c:v>5.3757540820000189</c:v>
                </c:pt>
                <c:pt idx="70">
                  <c:v>5.3420014623871701</c:v>
                </c:pt>
                <c:pt idx="71">
                  <c:v>5.3258936530409029</c:v>
                </c:pt>
                <c:pt idx="72">
                  <c:v>5.287876994984976</c:v>
                </c:pt>
                <c:pt idx="73">
                  <c:v>5.2496241800000103</c:v>
                </c:pt>
                <c:pt idx="74">
                  <c:v>5.2326640720000226</c:v>
                </c:pt>
                <c:pt idx="75">
                  <c:v>5.1999060720000125</c:v>
                </c:pt>
                <c:pt idx="76">
                  <c:v>5.1807395144462491</c:v>
                </c:pt>
                <c:pt idx="77">
                  <c:v>5.147418</c:v>
                </c:pt>
                <c:pt idx="78">
                  <c:v>5.1192700000000002</c:v>
                </c:pt>
                <c:pt idx="79">
                  <c:v>5.1032262600321037</c:v>
                </c:pt>
                <c:pt idx="80">
                  <c:v>5.0676696212121435</c:v>
                </c:pt>
                <c:pt idx="81">
                  <c:v>5.0385175922953458</c:v>
                </c:pt>
                <c:pt idx="82">
                  <c:v>5.0223063880000289</c:v>
                </c:pt>
                <c:pt idx="83">
                  <c:v>4.9862550360000162</c:v>
                </c:pt>
                <c:pt idx="84">
                  <c:v>4.9657308200000134</c:v>
                </c:pt>
                <c:pt idx="85">
                  <c:v>4.9484085817452668</c:v>
                </c:pt>
                <c:pt idx="86">
                  <c:v>4.9115945184446783</c:v>
                </c:pt>
                <c:pt idx="87">
                  <c:v>4.8973603470411415</c:v>
                </c:pt>
                <c:pt idx="88">
                  <c:v>4.8748593700000296</c:v>
                </c:pt>
                <c:pt idx="89">
                  <c:v>4.8452009180000042</c:v>
                </c:pt>
                <c:pt idx="90">
                  <c:v>4.8397479180000174</c:v>
                </c:pt>
                <c:pt idx="91">
                  <c:v>4.8195485874799626</c:v>
                </c:pt>
                <c:pt idx="92">
                  <c:v>4.790555118000003</c:v>
                </c:pt>
                <c:pt idx="93">
                  <c:v>4.778270738000006</c:v>
                </c:pt>
                <c:pt idx="94">
                  <c:v>4.7541779520000063</c:v>
                </c:pt>
                <c:pt idx="95">
                  <c:v>4.7324607723169558</c:v>
                </c:pt>
                <c:pt idx="96">
                  <c:v>4.7141052542372943</c:v>
                </c:pt>
                <c:pt idx="97">
                  <c:v>4.6977910651955916</c:v>
                </c:pt>
                <c:pt idx="98">
                  <c:v>4.6786182182985598</c:v>
                </c:pt>
                <c:pt idx="99">
                  <c:v>4.6660751834130725</c:v>
                </c:pt>
                <c:pt idx="100">
                  <c:v>4.640918796147675</c:v>
                </c:pt>
                <c:pt idx="101">
                  <c:v>4.6342235839999946</c:v>
                </c:pt>
                <c:pt idx="102">
                  <c:v>4.614764463999995</c:v>
                </c:pt>
                <c:pt idx="103">
                  <c:v>4.5983630239999984</c:v>
                </c:pt>
                <c:pt idx="104">
                  <c:v>4.5929286356340224</c:v>
                </c:pt>
                <c:pt idx="105">
                  <c:v>4.5612054226475314</c:v>
                </c:pt>
                <c:pt idx="106">
                  <c:v>4.5545322953451031</c:v>
                </c:pt>
                <c:pt idx="107">
                  <c:v>4.5497919040000125</c:v>
                </c:pt>
                <c:pt idx="108">
                  <c:v>4.5289830240000031</c:v>
                </c:pt>
                <c:pt idx="109">
                  <c:v>4.5224988800000085</c:v>
                </c:pt>
                <c:pt idx="110">
                  <c:v>4.5061067723169614</c:v>
                </c:pt>
                <c:pt idx="111">
                  <c:v>4.4873546301096754</c:v>
                </c:pt>
                <c:pt idx="112">
                  <c:v>4.4802930651955917</c:v>
                </c:pt>
                <c:pt idx="113">
                  <c:v>4.4703745720000123</c:v>
                </c:pt>
                <c:pt idx="114">
                  <c:v>4.4526598560000057</c:v>
                </c:pt>
                <c:pt idx="115">
                  <c:v>4.4440004300000098</c:v>
                </c:pt>
                <c:pt idx="116">
                  <c:v>4.4285115489566653</c:v>
                </c:pt>
                <c:pt idx="117">
                  <c:v>4.4210519999999995</c:v>
                </c:pt>
                <c:pt idx="118">
                  <c:v>4.4073844999999992</c:v>
                </c:pt>
                <c:pt idx="119">
                  <c:v>4.3967099999999997</c:v>
                </c:pt>
                <c:pt idx="120">
                  <c:v>4.3951764980000156</c:v>
                </c:pt>
                <c:pt idx="121">
                  <c:v>4.376288284000009</c:v>
                </c:pt>
                <c:pt idx="122">
                  <c:v>4.3666300700000011</c:v>
                </c:pt>
                <c:pt idx="123">
                  <c:v>4.3647550571715232</c:v>
                </c:pt>
                <c:pt idx="124">
                  <c:v>4.3546197766699963</c:v>
                </c:pt>
                <c:pt idx="125">
                  <c:v>4.3468120842527735</c:v>
                </c:pt>
                <c:pt idx="126">
                  <c:v>4.3293322880000051</c:v>
                </c:pt>
                <c:pt idx="127">
                  <c:v>4.3240400000000001</c:v>
                </c:pt>
                <c:pt idx="128">
                  <c:v>4.3227286200000155</c:v>
                </c:pt>
                <c:pt idx="129">
                  <c:v>4.3077955056179791</c:v>
                </c:pt>
                <c:pt idx="130">
                  <c:v>4.3051777870813455</c:v>
                </c:pt>
                <c:pt idx="131">
                  <c:v>4.2879973314606774</c:v>
                </c:pt>
                <c:pt idx="132">
                  <c:v>4.2849079039999998</c:v>
                </c:pt>
                <c:pt idx="133">
                  <c:v>4.2839249880000061</c:v>
                </c:pt>
                <c:pt idx="134">
                  <c:v>4.2620320239999989</c:v>
                </c:pt>
                <c:pt idx="135">
                  <c:v>4.2641257412236744</c:v>
                </c:pt>
                <c:pt idx="136">
                  <c:v>4.2515022780000047</c:v>
                </c:pt>
                <c:pt idx="137">
                  <c:v>4.241382913999999</c:v>
                </c:pt>
                <c:pt idx="138">
                  <c:v>4.2445790429374037</c:v>
                </c:pt>
                <c:pt idx="139">
                  <c:v>4.234267715311006</c:v>
                </c:pt>
                <c:pt idx="140">
                  <c:v>4.2353490429374041</c:v>
                </c:pt>
                <c:pt idx="141">
                  <c:v>4.2248299999999999</c:v>
                </c:pt>
                <c:pt idx="142">
                  <c:v>4.2240979519999975</c:v>
                </c:pt>
                <c:pt idx="143">
                  <c:v>4.2157053819999968</c:v>
                </c:pt>
                <c:pt idx="144">
                  <c:v>4.205324524478331</c:v>
                </c:pt>
                <c:pt idx="145">
                  <c:v>4.2052875480000056</c:v>
                </c:pt>
                <c:pt idx="146">
                  <c:v>4.195046677999998</c:v>
                </c:pt>
                <c:pt idx="147">
                  <c:v>4.1954084520000103</c:v>
                </c:pt>
                <c:pt idx="148">
                  <c:v>4.1790055245737197</c:v>
                </c:pt>
                <c:pt idx="149">
                  <c:v>4.181250173479568</c:v>
                </c:pt>
                <c:pt idx="150">
                  <c:v>4.1712914363089366</c:v>
                </c:pt>
                <c:pt idx="151">
                  <c:v>4.1562798559999958</c:v>
                </c:pt>
                <c:pt idx="152">
                  <c:v>4.1613016080000085</c:v>
                </c:pt>
                <c:pt idx="153">
                  <c:v>4.1491701440000046</c:v>
                </c:pt>
                <c:pt idx="154">
                  <c:v>4.1435920064205423</c:v>
                </c:pt>
                <c:pt idx="155">
                  <c:v>4.1486906778309418</c:v>
                </c:pt>
                <c:pt idx="156">
                  <c:v>4.1387576805778465</c:v>
                </c:pt>
                <c:pt idx="157">
                  <c:v>4.1417632985553778</c:v>
                </c:pt>
                <c:pt idx="158">
                  <c:v>4.1313899999999997</c:v>
                </c:pt>
                <c:pt idx="159">
                  <c:v>4.1310418860353133</c:v>
                </c:pt>
                <c:pt idx="160">
                  <c:v>4.1272058560000051</c:v>
                </c:pt>
                <c:pt idx="161">
                  <c:v>4.1201671760000069</c:v>
                </c:pt>
                <c:pt idx="162">
                  <c:v>4.1126916080000022</c:v>
                </c:pt>
                <c:pt idx="163">
                  <c:v>4.1106199999999999</c:v>
                </c:pt>
                <c:pt idx="164">
                  <c:v>4.1090317647058958</c:v>
                </c:pt>
                <c:pt idx="165">
                  <c:v>4.0950237793380193</c:v>
                </c:pt>
                <c:pt idx="166">
                  <c:v>4.0905949039999934</c:v>
                </c:pt>
                <c:pt idx="167">
                  <c:v>4.0965338904494404</c:v>
                </c:pt>
                <c:pt idx="168">
                  <c:v>4.0928342344497661</c:v>
                </c:pt>
                <c:pt idx="169">
                  <c:v>4.0799622191011196</c:v>
                </c:pt>
                <c:pt idx="170">
                  <c:v>4.0839641899999997</c:v>
                </c:pt>
                <c:pt idx="171">
                  <c:v>4.0819302380000027</c:v>
                </c:pt>
                <c:pt idx="172">
                  <c:v>4.0738358100000003</c:v>
                </c:pt>
                <c:pt idx="173">
                  <c:v>4.0737210110331024</c:v>
                </c:pt>
                <c:pt idx="174">
                  <c:v>4.0644799999999996</c:v>
                </c:pt>
                <c:pt idx="175">
                  <c:v>4.0646061885656968</c:v>
                </c:pt>
                <c:pt idx="176">
                  <c:v>4.0644595425361185</c:v>
                </c:pt>
                <c:pt idx="177">
                  <c:v>4.0545851156299832</c:v>
                </c:pt>
                <c:pt idx="178">
                  <c:v>4.049219522471911</c:v>
                </c:pt>
                <c:pt idx="179">
                  <c:v>4.0481040480000026</c:v>
                </c:pt>
                <c:pt idx="180">
                  <c:v>4.0539159759999972</c:v>
                </c:pt>
                <c:pt idx="181">
                  <c:v>4.0422430359999968</c:v>
                </c:pt>
                <c:pt idx="182">
                  <c:v>4.0326261998394886</c:v>
                </c:pt>
                <c:pt idx="183">
                  <c:v>4.0436396052631629</c:v>
                </c:pt>
                <c:pt idx="184">
                  <c:v>4.033409586677366</c:v>
                </c:pt>
                <c:pt idx="185">
                  <c:v>4.0255244279999989</c:v>
                </c:pt>
                <c:pt idx="186">
                  <c:v>4.0281088559999976</c:v>
                </c:pt>
                <c:pt idx="187">
                  <c:v>4.0313567160000039</c:v>
                </c:pt>
                <c:pt idx="188">
                  <c:v>4.0253882226680036</c:v>
                </c:pt>
                <c:pt idx="189">
                  <c:v>4.025149497507484</c:v>
                </c:pt>
                <c:pt idx="190">
                  <c:v>4.0157547462387173</c:v>
                </c:pt>
                <c:pt idx="191">
                  <c:v>4.0137200000000002</c:v>
                </c:pt>
                <c:pt idx="192">
                  <c:v>4.0127358560000053</c:v>
                </c:pt>
                <c:pt idx="193">
                  <c:v>4.0052185720000022</c:v>
                </c:pt>
                <c:pt idx="194">
                  <c:v>4.0020394803370793</c:v>
                </c:pt>
                <c:pt idx="195">
                  <c:v>4.0014624999999997</c:v>
                </c:pt>
                <c:pt idx="196">
                  <c:v>4.0030475000000001</c:v>
                </c:pt>
                <c:pt idx="197">
                  <c:v>3.991358657704656</c:v>
                </c:pt>
                <c:pt idx="198">
                  <c:v>3.9824791419999857</c:v>
                </c:pt>
                <c:pt idx="199">
                  <c:v>3.9966828560000058</c:v>
                </c:pt>
                <c:pt idx="200">
                  <c:v>3.9888744300000107</c:v>
                </c:pt>
                <c:pt idx="201">
                  <c:v>3.9772449067201578</c:v>
                </c:pt>
                <c:pt idx="202">
                  <c:v>3.9813169252243195</c:v>
                </c:pt>
                <c:pt idx="203">
                  <c:v>3.9864112136409338</c:v>
                </c:pt>
                <c:pt idx="204">
                  <c:v>3.974854047999989</c:v>
                </c:pt>
                <c:pt idx="205">
                  <c:v>3.982912000000014</c:v>
                </c:pt>
                <c:pt idx="206">
                  <c:v>3.9706370239999949</c:v>
                </c:pt>
                <c:pt idx="207">
                  <c:v>3.9751945906902115</c:v>
                </c:pt>
                <c:pt idx="208">
                  <c:v>3.9717264593301449</c:v>
                </c:pt>
                <c:pt idx="209">
                  <c:v>3.9687299999999999</c:v>
                </c:pt>
                <c:pt idx="210">
                  <c:v>3.9676440480000026</c:v>
                </c:pt>
                <c:pt idx="211">
                  <c:v>3.9614254879999979</c:v>
                </c:pt>
                <c:pt idx="212">
                  <c:v>3.9650249280000032</c:v>
                </c:pt>
                <c:pt idx="213">
                  <c:v>3.954329331995992</c:v>
                </c:pt>
                <c:pt idx="214">
                  <c:v>3.9455623728813505</c:v>
                </c:pt>
                <c:pt idx="215">
                  <c:v>3.9581007301905751</c:v>
                </c:pt>
                <c:pt idx="216">
                  <c:v>3.9478517980000034</c:v>
                </c:pt>
                <c:pt idx="217">
                  <c:v>3.9403654039999991</c:v>
                </c:pt>
                <c:pt idx="218">
                  <c:v>3.9433500000000001</c:v>
                </c:pt>
                <c:pt idx="219">
                  <c:v>3.9427004279999989</c:v>
                </c:pt>
                <c:pt idx="220">
                  <c:v>3.9392194482343506</c:v>
                </c:pt>
                <c:pt idx="221">
                  <c:v>3.9407106838118064</c:v>
                </c:pt>
                <c:pt idx="222">
                  <c:v>3.9319736195826649</c:v>
                </c:pt>
                <c:pt idx="223">
                  <c:v>3.9334675479999981</c:v>
                </c:pt>
                <c:pt idx="224">
                  <c:v>3.9352680960000042</c:v>
                </c:pt>
                <c:pt idx="225">
                  <c:v>3.9285168079999995</c:v>
                </c:pt>
                <c:pt idx="226">
                  <c:v>3.9283445997994031</c:v>
                </c:pt>
                <c:pt idx="227">
                  <c:v>3.9224428175473536</c:v>
                </c:pt>
                <c:pt idx="228">
                  <c:v>3.9258547743229788</c:v>
                </c:pt>
                <c:pt idx="229">
                  <c:v>3.9100341440000048</c:v>
                </c:pt>
                <c:pt idx="230">
                  <c:v>3.9066696399999881</c:v>
                </c:pt>
                <c:pt idx="231">
                  <c:v>3.9207532520000035</c:v>
                </c:pt>
                <c:pt idx="232">
                  <c:v>3.9146109309791419</c:v>
                </c:pt>
                <c:pt idx="233">
                  <c:v>3.9023373444976075</c:v>
                </c:pt>
                <c:pt idx="234">
                  <c:v>3.9064699518459021</c:v>
                </c:pt>
                <c:pt idx="235">
                  <c:v>3.9114503892455863</c:v>
                </c:pt>
                <c:pt idx="236">
                  <c:v>3.9019023803827704</c:v>
                </c:pt>
                <c:pt idx="237">
                  <c:v>3.9075256139646872</c:v>
                </c:pt>
                <c:pt idx="238">
                  <c:v>3.9006699999999999</c:v>
                </c:pt>
                <c:pt idx="239">
                  <c:v>3.8997860360000041</c:v>
                </c:pt>
                <c:pt idx="240">
                  <c:v>3.8941922160000031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F0-408F-A621-E5F6A2F28B2D}"/>
            </c:ext>
          </c:extLst>
        </c:ser>
        <c:ser>
          <c:idx val="1"/>
          <c:order val="1"/>
          <c:tx>
            <c:v>DOPC 2</c:v>
          </c:tx>
          <c:spPr>
            <a:ln w="14288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numRef>
              <c:f>Analysis!$A$102:$A$342</c:f>
              <c:numCache>
                <c:formatCode>0.0000</c:formatCode>
                <c:ptCount val="241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1.1666666666666667</c:v>
                </c:pt>
                <c:pt idx="15">
                  <c:v>1.25</c:v>
                </c:pt>
                <c:pt idx="16">
                  <c:v>1.3333333333333333</c:v>
                </c:pt>
                <c:pt idx="17">
                  <c:v>1.4166666666666667</c:v>
                </c:pt>
                <c:pt idx="18">
                  <c:v>1.5</c:v>
                </c:pt>
                <c:pt idx="19">
                  <c:v>1.5833333333333333</c:v>
                </c:pt>
                <c:pt idx="20">
                  <c:v>1.6666666666666667</c:v>
                </c:pt>
                <c:pt idx="21">
                  <c:v>1.75</c:v>
                </c:pt>
                <c:pt idx="22">
                  <c:v>1.8333333333333333</c:v>
                </c:pt>
                <c:pt idx="23">
                  <c:v>1.9166666666666667</c:v>
                </c:pt>
                <c:pt idx="24">
                  <c:v>2</c:v>
                </c:pt>
                <c:pt idx="25">
                  <c:v>2.0833333333333335</c:v>
                </c:pt>
                <c:pt idx="26">
                  <c:v>2.1666666666666665</c:v>
                </c:pt>
                <c:pt idx="27">
                  <c:v>2.25</c:v>
                </c:pt>
                <c:pt idx="28">
                  <c:v>2.3333333333333335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2.6666666666666665</c:v>
                </c:pt>
                <c:pt idx="33">
                  <c:v>2.75</c:v>
                </c:pt>
                <c:pt idx="34">
                  <c:v>2.8333333333333335</c:v>
                </c:pt>
                <c:pt idx="35">
                  <c:v>2.9166666666666665</c:v>
                </c:pt>
                <c:pt idx="36">
                  <c:v>3</c:v>
                </c:pt>
                <c:pt idx="37">
                  <c:v>3.0833333333333335</c:v>
                </c:pt>
                <c:pt idx="38">
                  <c:v>3.1666666666666665</c:v>
                </c:pt>
                <c:pt idx="39">
                  <c:v>3.25</c:v>
                </c:pt>
                <c:pt idx="40">
                  <c:v>3.3333333333333335</c:v>
                </c:pt>
                <c:pt idx="41">
                  <c:v>3.4166666666666665</c:v>
                </c:pt>
                <c:pt idx="42">
                  <c:v>3.5</c:v>
                </c:pt>
                <c:pt idx="43">
                  <c:v>3.5833333333333335</c:v>
                </c:pt>
                <c:pt idx="44">
                  <c:v>3.6666666666666665</c:v>
                </c:pt>
                <c:pt idx="45">
                  <c:v>3.75</c:v>
                </c:pt>
                <c:pt idx="46">
                  <c:v>3.8333333333333335</c:v>
                </c:pt>
                <c:pt idx="47">
                  <c:v>3.9166666666666665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8.0833333333333339</c:v>
                </c:pt>
                <c:pt idx="98">
                  <c:v>8.1666666666666661</c:v>
                </c:pt>
                <c:pt idx="99">
                  <c:v>8.25</c:v>
                </c:pt>
                <c:pt idx="100">
                  <c:v>8.3333333333333339</c:v>
                </c:pt>
                <c:pt idx="101">
                  <c:v>8.4166666666666661</c:v>
                </c:pt>
                <c:pt idx="102">
                  <c:v>8.5</c:v>
                </c:pt>
                <c:pt idx="103">
                  <c:v>8.5833333333333339</c:v>
                </c:pt>
                <c:pt idx="104">
                  <c:v>8.6666666666666661</c:v>
                </c:pt>
                <c:pt idx="105">
                  <c:v>8.75</c:v>
                </c:pt>
                <c:pt idx="106">
                  <c:v>8.8333333333333339</c:v>
                </c:pt>
                <c:pt idx="107">
                  <c:v>8.9166666666666661</c:v>
                </c:pt>
                <c:pt idx="108">
                  <c:v>9</c:v>
                </c:pt>
                <c:pt idx="109">
                  <c:v>9.0833333333333339</c:v>
                </c:pt>
                <c:pt idx="110">
                  <c:v>9.1666666666666661</c:v>
                </c:pt>
                <c:pt idx="111">
                  <c:v>9.25</c:v>
                </c:pt>
                <c:pt idx="112">
                  <c:v>9.3333333333333339</c:v>
                </c:pt>
                <c:pt idx="113">
                  <c:v>9.4166666666666661</c:v>
                </c:pt>
                <c:pt idx="114">
                  <c:v>9.5</c:v>
                </c:pt>
                <c:pt idx="115">
                  <c:v>9.5833333333333339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9.9166666666666661</c:v>
                </c:pt>
                <c:pt idx="120">
                  <c:v>10</c:v>
                </c:pt>
                <c:pt idx="121">
                  <c:v>10.083333333333334</c:v>
                </c:pt>
                <c:pt idx="122">
                  <c:v>10.166666666666666</c:v>
                </c:pt>
                <c:pt idx="123">
                  <c:v>10.25</c:v>
                </c:pt>
                <c:pt idx="124">
                  <c:v>10.333333333333334</c:v>
                </c:pt>
                <c:pt idx="125">
                  <c:v>10.416666666666666</c:v>
                </c:pt>
                <c:pt idx="126">
                  <c:v>10.5</c:v>
                </c:pt>
                <c:pt idx="127">
                  <c:v>10.583333333333334</c:v>
                </c:pt>
                <c:pt idx="128">
                  <c:v>10.666666666666666</c:v>
                </c:pt>
                <c:pt idx="129">
                  <c:v>10.75</c:v>
                </c:pt>
                <c:pt idx="130">
                  <c:v>10.833333333333334</c:v>
                </c:pt>
                <c:pt idx="131">
                  <c:v>10.916666666666666</c:v>
                </c:pt>
                <c:pt idx="132">
                  <c:v>11</c:v>
                </c:pt>
                <c:pt idx="133">
                  <c:v>11.083333333333334</c:v>
                </c:pt>
                <c:pt idx="134">
                  <c:v>11.166666666666666</c:v>
                </c:pt>
                <c:pt idx="135">
                  <c:v>11.25</c:v>
                </c:pt>
                <c:pt idx="136">
                  <c:v>11.333333333333334</c:v>
                </c:pt>
                <c:pt idx="137">
                  <c:v>11.416666666666666</c:v>
                </c:pt>
                <c:pt idx="138">
                  <c:v>11.5</c:v>
                </c:pt>
                <c:pt idx="139">
                  <c:v>11.583333333333334</c:v>
                </c:pt>
                <c:pt idx="140">
                  <c:v>11.666666666666666</c:v>
                </c:pt>
                <c:pt idx="141">
                  <c:v>11.75</c:v>
                </c:pt>
                <c:pt idx="142">
                  <c:v>11.833333333333334</c:v>
                </c:pt>
                <c:pt idx="143">
                  <c:v>11.916666666666666</c:v>
                </c:pt>
                <c:pt idx="144">
                  <c:v>12</c:v>
                </c:pt>
                <c:pt idx="145">
                  <c:v>12.083333333333334</c:v>
                </c:pt>
                <c:pt idx="146">
                  <c:v>12.166666666666666</c:v>
                </c:pt>
                <c:pt idx="147">
                  <c:v>12.25</c:v>
                </c:pt>
                <c:pt idx="148">
                  <c:v>12.333333333333334</c:v>
                </c:pt>
                <c:pt idx="149">
                  <c:v>12.416666666666666</c:v>
                </c:pt>
                <c:pt idx="150">
                  <c:v>12.5</c:v>
                </c:pt>
                <c:pt idx="151">
                  <c:v>12.583333333333334</c:v>
                </c:pt>
                <c:pt idx="152">
                  <c:v>12.666666666666666</c:v>
                </c:pt>
                <c:pt idx="153">
                  <c:v>12.75</c:v>
                </c:pt>
                <c:pt idx="154">
                  <c:v>12.833333333333334</c:v>
                </c:pt>
                <c:pt idx="155">
                  <c:v>12.916666666666666</c:v>
                </c:pt>
                <c:pt idx="156">
                  <c:v>13</c:v>
                </c:pt>
                <c:pt idx="157">
                  <c:v>13.083333333333334</c:v>
                </c:pt>
                <c:pt idx="158">
                  <c:v>13.166666666666666</c:v>
                </c:pt>
                <c:pt idx="159">
                  <c:v>13.25</c:v>
                </c:pt>
                <c:pt idx="160">
                  <c:v>13.333333333333334</c:v>
                </c:pt>
                <c:pt idx="161">
                  <c:v>13.416666666666666</c:v>
                </c:pt>
                <c:pt idx="162">
                  <c:v>13.5</c:v>
                </c:pt>
                <c:pt idx="163">
                  <c:v>13.583333333333334</c:v>
                </c:pt>
                <c:pt idx="164">
                  <c:v>13.666666666666666</c:v>
                </c:pt>
                <c:pt idx="165">
                  <c:v>13.75</c:v>
                </c:pt>
                <c:pt idx="166">
                  <c:v>13.833333333333334</c:v>
                </c:pt>
                <c:pt idx="167">
                  <c:v>13.916666666666666</c:v>
                </c:pt>
                <c:pt idx="168">
                  <c:v>14</c:v>
                </c:pt>
                <c:pt idx="169">
                  <c:v>14.083333333333334</c:v>
                </c:pt>
                <c:pt idx="170">
                  <c:v>14.166666666666666</c:v>
                </c:pt>
                <c:pt idx="171">
                  <c:v>14.25</c:v>
                </c:pt>
                <c:pt idx="172">
                  <c:v>14.333333333333334</c:v>
                </c:pt>
                <c:pt idx="173">
                  <c:v>14.416666666666666</c:v>
                </c:pt>
                <c:pt idx="174">
                  <c:v>14.5</c:v>
                </c:pt>
                <c:pt idx="175">
                  <c:v>14.583333333333334</c:v>
                </c:pt>
                <c:pt idx="176">
                  <c:v>14.666666666666666</c:v>
                </c:pt>
                <c:pt idx="177">
                  <c:v>14.75</c:v>
                </c:pt>
                <c:pt idx="178">
                  <c:v>14.833333333333334</c:v>
                </c:pt>
                <c:pt idx="179">
                  <c:v>14.916666666666666</c:v>
                </c:pt>
                <c:pt idx="180">
                  <c:v>15</c:v>
                </c:pt>
                <c:pt idx="181">
                  <c:v>15.083333333333334</c:v>
                </c:pt>
                <c:pt idx="182">
                  <c:v>15.166666666666666</c:v>
                </c:pt>
                <c:pt idx="183">
                  <c:v>15.25</c:v>
                </c:pt>
                <c:pt idx="184">
                  <c:v>15.333333333333334</c:v>
                </c:pt>
                <c:pt idx="185">
                  <c:v>15.416666666666666</c:v>
                </c:pt>
                <c:pt idx="186">
                  <c:v>15.5</c:v>
                </c:pt>
                <c:pt idx="187">
                  <c:v>15.583333333333334</c:v>
                </c:pt>
                <c:pt idx="188">
                  <c:v>15.666666666666666</c:v>
                </c:pt>
                <c:pt idx="189">
                  <c:v>15.75</c:v>
                </c:pt>
                <c:pt idx="190">
                  <c:v>15.833333333333334</c:v>
                </c:pt>
                <c:pt idx="191">
                  <c:v>15.916666666666666</c:v>
                </c:pt>
                <c:pt idx="192">
                  <c:v>16</c:v>
                </c:pt>
                <c:pt idx="193">
                  <c:v>16.083333333333332</c:v>
                </c:pt>
                <c:pt idx="194">
                  <c:v>16.166666666666668</c:v>
                </c:pt>
                <c:pt idx="195">
                  <c:v>16.25</c:v>
                </c:pt>
                <c:pt idx="196">
                  <c:v>16.333333333333332</c:v>
                </c:pt>
                <c:pt idx="197">
                  <c:v>16.416666666666668</c:v>
                </c:pt>
                <c:pt idx="198">
                  <c:v>16.5</c:v>
                </c:pt>
                <c:pt idx="199">
                  <c:v>16.583333333333332</c:v>
                </c:pt>
                <c:pt idx="200">
                  <c:v>16.666666666666668</c:v>
                </c:pt>
                <c:pt idx="201">
                  <c:v>16.75</c:v>
                </c:pt>
                <c:pt idx="202">
                  <c:v>16.833333333333332</c:v>
                </c:pt>
                <c:pt idx="203">
                  <c:v>16.916666666666668</c:v>
                </c:pt>
                <c:pt idx="204">
                  <c:v>17</c:v>
                </c:pt>
                <c:pt idx="205">
                  <c:v>17.083333333333332</c:v>
                </c:pt>
                <c:pt idx="206">
                  <c:v>17.166666666666668</c:v>
                </c:pt>
                <c:pt idx="207">
                  <c:v>17.25</c:v>
                </c:pt>
                <c:pt idx="208">
                  <c:v>17.333333333333332</c:v>
                </c:pt>
                <c:pt idx="209">
                  <c:v>17.416666666666668</c:v>
                </c:pt>
                <c:pt idx="210">
                  <c:v>17.5</c:v>
                </c:pt>
                <c:pt idx="211">
                  <c:v>17.583333333333332</c:v>
                </c:pt>
                <c:pt idx="212">
                  <c:v>17.666666666666668</c:v>
                </c:pt>
                <c:pt idx="213">
                  <c:v>17.75</c:v>
                </c:pt>
                <c:pt idx="214">
                  <c:v>17.833333333333332</c:v>
                </c:pt>
                <c:pt idx="215">
                  <c:v>17.916666666666668</c:v>
                </c:pt>
                <c:pt idx="216">
                  <c:v>18</c:v>
                </c:pt>
                <c:pt idx="217">
                  <c:v>18.083333333333332</c:v>
                </c:pt>
                <c:pt idx="218">
                  <c:v>18.166666666666668</c:v>
                </c:pt>
                <c:pt idx="219">
                  <c:v>18.25</c:v>
                </c:pt>
                <c:pt idx="220">
                  <c:v>18.333333333333332</c:v>
                </c:pt>
                <c:pt idx="221">
                  <c:v>18.416666666666668</c:v>
                </c:pt>
                <c:pt idx="222">
                  <c:v>18.5</c:v>
                </c:pt>
                <c:pt idx="223">
                  <c:v>18.583333333333332</c:v>
                </c:pt>
                <c:pt idx="224">
                  <c:v>18.666666666666668</c:v>
                </c:pt>
                <c:pt idx="225">
                  <c:v>18.75</c:v>
                </c:pt>
                <c:pt idx="226">
                  <c:v>18.833333333333332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19.166666666666668</c:v>
                </c:pt>
                <c:pt idx="231">
                  <c:v>19.25</c:v>
                </c:pt>
                <c:pt idx="232">
                  <c:v>19.333333333333332</c:v>
                </c:pt>
                <c:pt idx="233">
                  <c:v>19.416666666666668</c:v>
                </c:pt>
                <c:pt idx="234">
                  <c:v>19.5</c:v>
                </c:pt>
                <c:pt idx="235">
                  <c:v>19.583333333333332</c:v>
                </c:pt>
                <c:pt idx="236">
                  <c:v>19.666666666666668</c:v>
                </c:pt>
                <c:pt idx="237">
                  <c:v>19.75</c:v>
                </c:pt>
                <c:pt idx="238">
                  <c:v>19.833333333333332</c:v>
                </c:pt>
                <c:pt idx="239">
                  <c:v>19.916666666666668</c:v>
                </c:pt>
                <c:pt idx="240">
                  <c:v>20</c:v>
                </c:pt>
              </c:numCache>
            </c:numRef>
          </c:cat>
          <c:val>
            <c:numRef>
              <c:f>Analysis!$C$102:$C$342</c:f>
              <c:numCache>
                <c:formatCode>0.0000</c:formatCode>
                <c:ptCount val="241"/>
                <c:pt idx="0">
                  <c:v>7.2622499999999999</c:v>
                </c:pt>
                <c:pt idx="1">
                  <c:v>7.2771429280000275</c:v>
                </c:pt>
                <c:pt idx="2">
                  <c:v>7.2436386400000377</c:v>
                </c:pt>
                <c:pt idx="3">
                  <c:v>7.1963571360000333</c:v>
                </c:pt>
                <c:pt idx="4">
                  <c:v>7.1548033560682462</c:v>
                </c:pt>
                <c:pt idx="5">
                  <c:v>7.1027433998006435</c:v>
                </c:pt>
                <c:pt idx="6">
                  <c:v>7.0532833881645347</c:v>
                </c:pt>
                <c:pt idx="7">
                  <c:v>7.0012467400000435</c:v>
                </c:pt>
                <c:pt idx="8">
                  <c:v>6.9539181580000484</c:v>
                </c:pt>
                <c:pt idx="9">
                  <c:v>6.9019723840000529</c:v>
                </c:pt>
                <c:pt idx="10">
                  <c:v>6.8443629514446647</c:v>
                </c:pt>
                <c:pt idx="11">
                  <c:v>6.7980662840000123</c:v>
                </c:pt>
                <c:pt idx="12">
                  <c:v>6.7519370940000121</c:v>
                </c:pt>
                <c:pt idx="13">
                  <c:v>6.7069348916533036</c:v>
                </c:pt>
                <c:pt idx="14">
                  <c:v>6.6606069078947892</c:v>
                </c:pt>
                <c:pt idx="15">
                  <c:v>6.6111086958266609</c:v>
                </c:pt>
                <c:pt idx="16">
                  <c:v>6.5570075100000338</c:v>
                </c:pt>
                <c:pt idx="17">
                  <c:v>6.5257558280000421</c:v>
                </c:pt>
                <c:pt idx="18">
                  <c:v>6.486346828000058</c:v>
                </c:pt>
                <c:pt idx="19">
                  <c:v>6.4323872617853919</c:v>
                </c:pt>
                <c:pt idx="20">
                  <c:v>6.3986961834497009</c:v>
                </c:pt>
                <c:pt idx="21">
                  <c:v>6.356140487462433</c:v>
                </c:pt>
                <c:pt idx="22">
                  <c:v>6.3133062520000527</c:v>
                </c:pt>
                <c:pt idx="23">
                  <c:v>6.2694017536116142</c:v>
                </c:pt>
                <c:pt idx="24">
                  <c:v>6.2210181180223483</c:v>
                </c:pt>
                <c:pt idx="25">
                  <c:v>6.1839776043339292</c:v>
                </c:pt>
                <c:pt idx="26">
                  <c:v>6.1320774280000228</c:v>
                </c:pt>
                <c:pt idx="27">
                  <c:v>6.0892359000000269</c:v>
                </c:pt>
                <c:pt idx="28">
                  <c:v>6.0384422840000278</c:v>
                </c:pt>
                <c:pt idx="29">
                  <c:v>5.9853911554664272</c:v>
                </c:pt>
                <c:pt idx="30">
                  <c:v>5.933177506000038</c:v>
                </c:pt>
                <c:pt idx="31">
                  <c:v>5.8743725760000371</c:v>
                </c:pt>
                <c:pt idx="32">
                  <c:v>5.8168650300963396</c:v>
                </c:pt>
                <c:pt idx="33">
                  <c:v>5.7669025996810221</c:v>
                </c:pt>
                <c:pt idx="34">
                  <c:v>5.7089948194221991</c:v>
                </c:pt>
                <c:pt idx="35">
                  <c:v>5.6333665000000002</c:v>
                </c:pt>
                <c:pt idx="36">
                  <c:v>5.58679375</c:v>
                </c:pt>
                <c:pt idx="37">
                  <c:v>5.5233727500000001</c:v>
                </c:pt>
                <c:pt idx="38">
                  <c:v>5.4610775000000018</c:v>
                </c:pt>
                <c:pt idx="39">
                  <c:v>5.398718612440236</c:v>
                </c:pt>
                <c:pt idx="40">
                  <c:v>5.3410686577046569</c:v>
                </c:pt>
                <c:pt idx="41">
                  <c:v>5.2773882800000527</c:v>
                </c:pt>
                <c:pt idx="42">
                  <c:v>5.2129185640000486</c:v>
                </c:pt>
                <c:pt idx="43">
                  <c:v>5.1530358540000458</c:v>
                </c:pt>
                <c:pt idx="44">
                  <c:v>5.0965663951856008</c:v>
                </c:pt>
                <c:pt idx="45">
                  <c:v>5.0418347357926825</c:v>
                </c:pt>
                <c:pt idx="46">
                  <c:v>4.9766942607823887</c:v>
                </c:pt>
                <c:pt idx="47">
                  <c:v>4.9256006019262148</c:v>
                </c:pt>
                <c:pt idx="48">
                  <c:v>4.8694113680000113</c:v>
                </c:pt>
                <c:pt idx="49">
                  <c:v>4.8273657120000157</c:v>
                </c:pt>
                <c:pt idx="50">
                  <c:v>4.7711229760000125</c:v>
                </c:pt>
                <c:pt idx="51">
                  <c:v>4.7232950321027376</c:v>
                </c:pt>
                <c:pt idx="52">
                  <c:v>4.6925671929825059</c:v>
                </c:pt>
                <c:pt idx="53">
                  <c:v>4.6456468138041851</c:v>
                </c:pt>
                <c:pt idx="54">
                  <c:v>4.605151712000044</c:v>
                </c:pt>
                <c:pt idx="55">
                  <c:v>4.5650755200000352</c:v>
                </c:pt>
                <c:pt idx="56">
                  <c:v>4.5326454240000382</c:v>
                </c:pt>
                <c:pt idx="57">
                  <c:v>4.4970118655968259</c:v>
                </c:pt>
                <c:pt idx="58">
                  <c:v>4.4644355314058268</c:v>
                </c:pt>
                <c:pt idx="59">
                  <c:v>4.4282270752256991</c:v>
                </c:pt>
                <c:pt idx="60">
                  <c:v>4.4068915240000397</c:v>
                </c:pt>
                <c:pt idx="61">
                  <c:v>4.3735724060000356</c:v>
                </c:pt>
                <c:pt idx="62">
                  <c:v>4.3439100480000263</c:v>
                </c:pt>
                <c:pt idx="63">
                  <c:v>4.3213766432584695</c:v>
                </c:pt>
                <c:pt idx="64">
                  <c:v>4.2854661602870872</c:v>
                </c:pt>
                <c:pt idx="65">
                  <c:v>4.2735371910112612</c:v>
                </c:pt>
                <c:pt idx="66">
                  <c:v>4.251044890000018</c:v>
                </c:pt>
                <c:pt idx="67">
                  <c:v>4.2187060960000045</c:v>
                </c:pt>
                <c:pt idx="68">
                  <c:v>4.2099191640000129</c:v>
                </c:pt>
                <c:pt idx="69">
                  <c:v>4.1859995406218742</c:v>
                </c:pt>
                <c:pt idx="70">
                  <c:v>4.1687484680000102</c:v>
                </c:pt>
                <c:pt idx="71">
                  <c:v>4.1538118200000094</c:v>
                </c:pt>
                <c:pt idx="72">
                  <c:v>4.1394728651685542</c:v>
                </c:pt>
                <c:pt idx="73">
                  <c:v>4.1157575239234454</c:v>
                </c:pt>
                <c:pt idx="74">
                  <c:v>4.1029417536115673</c:v>
                </c:pt>
                <c:pt idx="75">
                  <c:v>4.0872615000000003</c:v>
                </c:pt>
                <c:pt idx="76">
                  <c:v>4.0807386677367585</c:v>
                </c:pt>
                <c:pt idx="77">
                  <c:v>4.060285530303041</c:v>
                </c:pt>
                <c:pt idx="78">
                  <c:v>4.0465916492776897</c:v>
                </c:pt>
                <c:pt idx="79">
                  <c:v>4.0344738560000177</c:v>
                </c:pt>
                <c:pt idx="80">
                  <c:v>4.0135359280000031</c:v>
                </c:pt>
                <c:pt idx="81">
                  <c:v>4.0099530360000042</c:v>
                </c:pt>
                <c:pt idx="82">
                  <c:v>4.0035049729187708</c:v>
                </c:pt>
                <c:pt idx="83">
                  <c:v>3.9859011266201416</c:v>
                </c:pt>
                <c:pt idx="84">
                  <c:v>3.9830528605817554</c:v>
                </c:pt>
                <c:pt idx="85">
                  <c:v>3.970197000000014</c:v>
                </c:pt>
                <c:pt idx="86">
                  <c:v>3.9556510960000062</c:v>
                </c:pt>
                <c:pt idx="87">
                  <c:v>3.9487957260000055</c:v>
                </c:pt>
                <c:pt idx="88">
                  <c:v>3.9422443800160694</c:v>
                </c:pt>
                <c:pt idx="89">
                  <c:v>3.9240827379999983</c:v>
                </c:pt>
                <c:pt idx="90">
                  <c:v>3.9288928340000027</c:v>
                </c:pt>
                <c:pt idx="91">
                  <c:v>3.9188452869181396</c:v>
                </c:pt>
                <c:pt idx="92">
                  <c:v>3.9136463795853409</c:v>
                </c:pt>
                <c:pt idx="93">
                  <c:v>3.9005323455056184</c:v>
                </c:pt>
                <c:pt idx="94">
                  <c:v>3.8979268080000073</c:v>
                </c:pt>
                <c:pt idx="95">
                  <c:v>3.8902124140000205</c:v>
                </c:pt>
                <c:pt idx="96">
                  <c:v>3.8717573840000012</c:v>
                </c:pt>
                <c:pt idx="97">
                  <c:v>3.870452752256774</c:v>
                </c:pt>
                <c:pt idx="98">
                  <c:v>3.8663048115653202</c:v>
                </c:pt>
                <c:pt idx="99">
                  <c:v>3.8534422066198584</c:v>
                </c:pt>
                <c:pt idx="100">
                  <c:v>3.8539145120000109</c:v>
                </c:pt>
                <c:pt idx="101">
                  <c:v>3.8451386356340316</c:v>
                </c:pt>
                <c:pt idx="102">
                  <c:v>3.8422774481658752</c:v>
                </c:pt>
                <c:pt idx="103">
                  <c:v>3.8328283627608304</c:v>
                </c:pt>
                <c:pt idx="104">
                  <c:v>3.8351171200000076</c:v>
                </c:pt>
                <c:pt idx="105">
                  <c:v>3.8220610720000012</c:v>
                </c:pt>
                <c:pt idx="106">
                  <c:v>3.8190376160000068</c:v>
                </c:pt>
                <c:pt idx="107">
                  <c:v>3.807627480441321</c:v>
                </c:pt>
                <c:pt idx="108">
                  <c:v>3.8119137180000098</c:v>
                </c:pt>
                <c:pt idx="109">
                  <c:v>3.7977515720000024</c:v>
                </c:pt>
                <c:pt idx="110">
                  <c:v>3.7944564446227935</c:v>
                </c:pt>
                <c:pt idx="111">
                  <c:v>3.7920866387559817</c:v>
                </c:pt>
                <c:pt idx="112">
                  <c:v>3.7764956159711041</c:v>
                </c:pt>
                <c:pt idx="113">
                  <c:v>3.7814172500000001</c:v>
                </c:pt>
                <c:pt idx="114">
                  <c:v>3.7750412500000001</c:v>
                </c:pt>
                <c:pt idx="115">
                  <c:v>3.7622300000000002</c:v>
                </c:pt>
                <c:pt idx="116">
                  <c:v>3.76231727929374</c:v>
                </c:pt>
                <c:pt idx="117">
                  <c:v>3.762490450558222</c:v>
                </c:pt>
                <c:pt idx="118">
                  <c:v>3.75193727929374</c:v>
                </c:pt>
                <c:pt idx="119">
                  <c:v>3.7525587860000047</c:v>
                </c:pt>
                <c:pt idx="120">
                  <c:v>3.7466081440000067</c:v>
                </c:pt>
                <c:pt idx="121">
                  <c:v>3.7394305719999972</c:v>
                </c:pt>
                <c:pt idx="122">
                  <c:v>3.7418058415245823</c:v>
                </c:pt>
                <c:pt idx="123">
                  <c:v>3.7325201116650017</c:v>
                </c:pt>
                <c:pt idx="124">
                  <c:v>3.7347956409227776</c:v>
                </c:pt>
                <c:pt idx="125">
                  <c:v>3.7237948560000045</c:v>
                </c:pt>
                <c:pt idx="126">
                  <c:v>3.7197375719999979</c:v>
                </c:pt>
                <c:pt idx="127">
                  <c:v>3.7206380898876534</c:v>
                </c:pt>
                <c:pt idx="128">
                  <c:v>3.7077360719999972</c:v>
                </c:pt>
                <c:pt idx="129">
                  <c:v>3.7158725642054629</c:v>
                </c:pt>
                <c:pt idx="130">
                  <c:v>3.7001836124402017</c:v>
                </c:pt>
                <c:pt idx="131">
                  <c:v>3.6915888844301734</c:v>
                </c:pt>
                <c:pt idx="132">
                  <c:v>3.7004838080000075</c:v>
                </c:pt>
                <c:pt idx="133">
                  <c:v>3.6937661640000052</c:v>
                </c:pt>
                <c:pt idx="134">
                  <c:v>3.6897623559999975</c:v>
                </c:pt>
                <c:pt idx="135">
                  <c:v>3.6914640702106372</c:v>
                </c:pt>
                <c:pt idx="136">
                  <c:v>3.6874586600199377</c:v>
                </c:pt>
                <c:pt idx="137">
                  <c:v>3.6887490190571817</c:v>
                </c:pt>
                <c:pt idx="138">
                  <c:v>3.6799123340000057</c:v>
                </c:pt>
                <c:pt idx="139">
                  <c:v>3.6762418559999932</c:v>
                </c:pt>
                <c:pt idx="140">
                  <c:v>3.680435382000014</c:v>
                </c:pt>
                <c:pt idx="141">
                  <c:v>3.6695300842696681</c:v>
                </c:pt>
                <c:pt idx="142">
                  <c:v>3.6650064872408312</c:v>
                </c:pt>
                <c:pt idx="143">
                  <c:v>3.6602975882825235</c:v>
                </c:pt>
                <c:pt idx="144">
                  <c:v>3.6460848699999913</c:v>
                </c:pt>
                <c:pt idx="145">
                  <c:v>3.6599620960000041</c:v>
                </c:pt>
                <c:pt idx="146">
                  <c:v>3.6513418080000073</c:v>
                </c:pt>
                <c:pt idx="147">
                  <c:v>3.6396683791374072</c:v>
                </c:pt>
                <c:pt idx="148">
                  <c:v>3.6478063920000015</c:v>
                </c:pt>
                <c:pt idx="149">
                  <c:v>3.6457199999999998</c:v>
                </c:pt>
                <c:pt idx="150">
                  <c:v>3.6453839967897288</c:v>
                </c:pt>
                <c:pt idx="151">
                  <c:v>3.6414555741626797</c:v>
                </c:pt>
                <c:pt idx="152">
                  <c:v>3.6340773515248803</c:v>
                </c:pt>
                <c:pt idx="153">
                  <c:v>3.633146</c:v>
                </c:pt>
                <c:pt idx="154">
                  <c:v>3.6339589999999999</c:v>
                </c:pt>
                <c:pt idx="155">
                  <c:v>3.6306110000000005</c:v>
                </c:pt>
                <c:pt idx="156">
                  <c:v>3.6195371107544139</c:v>
                </c:pt>
                <c:pt idx="157">
                  <c:v>3.6230070719999974</c:v>
                </c:pt>
                <c:pt idx="158">
                  <c:v>3.6259913200000011</c:v>
                </c:pt>
                <c:pt idx="159">
                  <c:v>3.6229362480000158</c:v>
                </c:pt>
                <c:pt idx="160">
                  <c:v>3.6066635486459275</c:v>
                </c:pt>
                <c:pt idx="161">
                  <c:v>3.6174290588235349</c:v>
                </c:pt>
                <c:pt idx="162">
                  <c:v>3.6104782326981084</c:v>
                </c:pt>
                <c:pt idx="163">
                  <c:v>3.5961855479999896</c:v>
                </c:pt>
                <c:pt idx="164">
                  <c:v>3.6056419040000076</c:v>
                </c:pt>
                <c:pt idx="165">
                  <c:v>3.598297870000001</c:v>
                </c:pt>
                <c:pt idx="166">
                  <c:v>3.5969013683788149</c:v>
                </c:pt>
                <c:pt idx="167">
                  <c:v>3.5943127252791052</c:v>
                </c:pt>
                <c:pt idx="168">
                  <c:v>3.5979288463081902</c:v>
                </c:pt>
                <c:pt idx="169">
                  <c:v>3.5939362138844295</c:v>
                </c:pt>
                <c:pt idx="170">
                  <c:v>3.5944425697767191</c:v>
                </c:pt>
                <c:pt idx="171">
                  <c:v>3.5904762138844295</c:v>
                </c:pt>
                <c:pt idx="172">
                  <c:v>3.5913705100000013</c:v>
                </c:pt>
                <c:pt idx="173">
                  <c:v>3.5887916160000151</c:v>
                </c:pt>
                <c:pt idx="174">
                  <c:v>3.5765099999999999</c:v>
                </c:pt>
                <c:pt idx="175">
                  <c:v>3.5755974543630979</c:v>
                </c:pt>
                <c:pt idx="176">
                  <c:v>3.569361254237279</c:v>
                </c:pt>
                <c:pt idx="177">
                  <c:v>3.5759882226680091</c:v>
                </c:pt>
                <c:pt idx="178">
                  <c:v>3.5701560000000172</c:v>
                </c:pt>
                <c:pt idx="179">
                  <c:v>3.5579569879999893</c:v>
                </c:pt>
                <c:pt idx="180">
                  <c:v>3.5665199759999959</c:v>
                </c:pt>
                <c:pt idx="181">
                  <c:v>3.5687774799358025</c:v>
                </c:pt>
                <c:pt idx="182">
                  <c:v>3.5629335526315775</c:v>
                </c:pt>
                <c:pt idx="183">
                  <c:v>3.5638995866773779</c:v>
                </c:pt>
                <c:pt idx="184">
                  <c:v>3.5560144279999988</c:v>
                </c:pt>
                <c:pt idx="185">
                  <c:v>3.5575011440000028</c:v>
                </c:pt>
                <c:pt idx="186">
                  <c:v>3.5535678079999995</c:v>
                </c:pt>
                <c:pt idx="187">
                  <c:v>3.5545900000000001</c:v>
                </c:pt>
                <c:pt idx="188">
                  <c:v>3.5536026966292185</c:v>
                </c:pt>
                <c:pt idx="189">
                  <c:v>3.5465100000000001</c:v>
                </c:pt>
                <c:pt idx="190">
                  <c:v>3.5463694803370793</c:v>
                </c:pt>
                <c:pt idx="191">
                  <c:v>3.5443500000000001</c:v>
                </c:pt>
                <c:pt idx="192">
                  <c:v>3.5380012499999998</c:v>
                </c:pt>
                <c:pt idx="193">
                  <c:v>3.5427612500000003</c:v>
                </c:pt>
                <c:pt idx="194">
                  <c:v>3.539148657704656</c:v>
                </c:pt>
                <c:pt idx="195">
                  <c:v>3.5293777492025442</c:v>
                </c:pt>
                <c:pt idx="196">
                  <c:v>3.5375722231139655</c:v>
                </c:pt>
                <c:pt idx="197">
                  <c:v>3.5318148599999981</c:v>
                </c:pt>
                <c:pt idx="198">
                  <c:v>3.5323418540000096</c:v>
                </c:pt>
                <c:pt idx="199">
                  <c:v>3.5215502860000045</c:v>
                </c:pt>
                <c:pt idx="200">
                  <c:v>3.5177068465396113</c:v>
                </c:pt>
                <c:pt idx="201">
                  <c:v>3.5245426460618225</c:v>
                </c:pt>
                <c:pt idx="202">
                  <c:v>3.5168170330992958</c:v>
                </c:pt>
                <c:pt idx="203">
                  <c:v>3.5188299999999999</c:v>
                </c:pt>
                <c:pt idx="204">
                  <c:v>3.5185269280000018</c:v>
                </c:pt>
                <c:pt idx="205">
                  <c:v>3.516823071999998</c:v>
                </c:pt>
                <c:pt idx="206">
                  <c:v>3.5185259550561816</c:v>
                </c:pt>
                <c:pt idx="207">
                  <c:v>3.5148144640000032</c:v>
                </c:pt>
                <c:pt idx="208">
                  <c:v>3.5046054879999984</c:v>
                </c:pt>
                <c:pt idx="209">
                  <c:v>3.5094435955056182</c:v>
                </c:pt>
                <c:pt idx="210">
                  <c:v>3.5071740031898013</c:v>
                </c:pt>
                <c:pt idx="211">
                  <c:v>3.4998329213483128</c:v>
                </c:pt>
                <c:pt idx="212">
                  <c:v>3.5033539040000035</c:v>
                </c:pt>
                <c:pt idx="213">
                  <c:v>3.5002099037111347</c:v>
                </c:pt>
                <c:pt idx="214">
                  <c:v>3.4987249790628163</c:v>
                </c:pt>
                <c:pt idx="215">
                  <c:v>3.4951137552658027</c:v>
                </c:pt>
                <c:pt idx="216">
                  <c:v>3.4917881659999943</c:v>
                </c:pt>
                <c:pt idx="217">
                  <c:v>3.4944522620000122</c:v>
                </c:pt>
                <c:pt idx="218">
                  <c:v>3.4876560479999901</c:v>
                </c:pt>
                <c:pt idx="219">
                  <c:v>3.4942741713483176</c:v>
                </c:pt>
                <c:pt idx="220">
                  <c:v>3.4909669597288735</c:v>
                </c:pt>
                <c:pt idx="221">
                  <c:v>3.48306</c:v>
                </c:pt>
                <c:pt idx="222">
                  <c:v>3.483392177999999</c:v>
                </c:pt>
                <c:pt idx="223">
                  <c:v>3.4842095340000041</c:v>
                </c:pt>
                <c:pt idx="224">
                  <c:v>3.4781282879999975</c:v>
                </c:pt>
                <c:pt idx="225">
                  <c:v>3.4833931775325966</c:v>
                </c:pt>
                <c:pt idx="226">
                  <c:v>3.4841853240000056</c:v>
                </c:pt>
                <c:pt idx="227">
                  <c:v>3.477976747999997</c:v>
                </c:pt>
                <c:pt idx="228">
                  <c:v>3.4807215208667786</c:v>
                </c:pt>
                <c:pt idx="229">
                  <c:v>3.47384</c:v>
                </c:pt>
                <c:pt idx="230">
                  <c:v>3.473499803370788</c:v>
                </c:pt>
                <c:pt idx="231">
                  <c:v>3.4720489999999997</c:v>
                </c:pt>
                <c:pt idx="232">
                  <c:v>3.4742970000000004</c:v>
                </c:pt>
                <c:pt idx="233">
                  <c:v>3.4707165</c:v>
                </c:pt>
                <c:pt idx="234">
                  <c:v>3.4712910553772085</c:v>
                </c:pt>
                <c:pt idx="235">
                  <c:v>3.4634499999999999</c:v>
                </c:pt>
                <c:pt idx="236">
                  <c:v>3.4618880016051379</c:v>
                </c:pt>
                <c:pt idx="237">
                  <c:v>3.4550141079999892</c:v>
                </c:pt>
                <c:pt idx="238">
                  <c:v>3.4652283329990001</c:v>
                </c:pt>
                <c:pt idx="239">
                  <c:v>3.4599640079760845</c:v>
                </c:pt>
                <c:pt idx="240">
                  <c:v>3.4492499578736098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F0-408F-A621-E5F6A2F28B2D}"/>
            </c:ext>
          </c:extLst>
        </c:ser>
        <c:ser>
          <c:idx val="2"/>
          <c:order val="2"/>
          <c:tx>
            <c:v>DOPC 3</c:v>
          </c:tx>
          <c:spPr>
            <a:ln w="14288">
              <a:solidFill>
                <a:srgbClr val="70AD47"/>
              </a:solidFill>
              <a:prstDash val="solid"/>
            </a:ln>
          </c:spPr>
          <c:marker>
            <c:symbol val="none"/>
          </c:marker>
          <c:cat>
            <c:numRef>
              <c:f>Analysis!$A$102:$A$342</c:f>
              <c:numCache>
                <c:formatCode>0.0000</c:formatCode>
                <c:ptCount val="241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1.1666666666666667</c:v>
                </c:pt>
                <c:pt idx="15">
                  <c:v>1.25</c:v>
                </c:pt>
                <c:pt idx="16">
                  <c:v>1.3333333333333333</c:v>
                </c:pt>
                <c:pt idx="17">
                  <c:v>1.4166666666666667</c:v>
                </c:pt>
                <c:pt idx="18">
                  <c:v>1.5</c:v>
                </c:pt>
                <c:pt idx="19">
                  <c:v>1.5833333333333333</c:v>
                </c:pt>
                <c:pt idx="20">
                  <c:v>1.6666666666666667</c:v>
                </c:pt>
                <c:pt idx="21">
                  <c:v>1.75</c:v>
                </c:pt>
                <c:pt idx="22">
                  <c:v>1.8333333333333333</c:v>
                </c:pt>
                <c:pt idx="23">
                  <c:v>1.9166666666666667</c:v>
                </c:pt>
                <c:pt idx="24">
                  <c:v>2</c:v>
                </c:pt>
                <c:pt idx="25">
                  <c:v>2.0833333333333335</c:v>
                </c:pt>
                <c:pt idx="26">
                  <c:v>2.1666666666666665</c:v>
                </c:pt>
                <c:pt idx="27">
                  <c:v>2.25</c:v>
                </c:pt>
                <c:pt idx="28">
                  <c:v>2.3333333333333335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2.6666666666666665</c:v>
                </c:pt>
                <c:pt idx="33">
                  <c:v>2.75</c:v>
                </c:pt>
                <c:pt idx="34">
                  <c:v>2.8333333333333335</c:v>
                </c:pt>
                <c:pt idx="35">
                  <c:v>2.9166666666666665</c:v>
                </c:pt>
                <c:pt idx="36">
                  <c:v>3</c:v>
                </c:pt>
                <c:pt idx="37">
                  <c:v>3.0833333333333335</c:v>
                </c:pt>
                <c:pt idx="38">
                  <c:v>3.1666666666666665</c:v>
                </c:pt>
                <c:pt idx="39">
                  <c:v>3.25</c:v>
                </c:pt>
                <c:pt idx="40">
                  <c:v>3.3333333333333335</c:v>
                </c:pt>
                <c:pt idx="41">
                  <c:v>3.4166666666666665</c:v>
                </c:pt>
                <c:pt idx="42">
                  <c:v>3.5</c:v>
                </c:pt>
                <c:pt idx="43">
                  <c:v>3.5833333333333335</c:v>
                </c:pt>
                <c:pt idx="44">
                  <c:v>3.6666666666666665</c:v>
                </c:pt>
                <c:pt idx="45">
                  <c:v>3.75</c:v>
                </c:pt>
                <c:pt idx="46">
                  <c:v>3.8333333333333335</c:v>
                </c:pt>
                <c:pt idx="47">
                  <c:v>3.9166666666666665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8.0833333333333339</c:v>
                </c:pt>
                <c:pt idx="98">
                  <c:v>8.1666666666666661</c:v>
                </c:pt>
                <c:pt idx="99">
                  <c:v>8.25</c:v>
                </c:pt>
                <c:pt idx="100">
                  <c:v>8.3333333333333339</c:v>
                </c:pt>
                <c:pt idx="101">
                  <c:v>8.4166666666666661</c:v>
                </c:pt>
                <c:pt idx="102">
                  <c:v>8.5</c:v>
                </c:pt>
                <c:pt idx="103">
                  <c:v>8.5833333333333339</c:v>
                </c:pt>
                <c:pt idx="104">
                  <c:v>8.6666666666666661</c:v>
                </c:pt>
                <c:pt idx="105">
                  <c:v>8.75</c:v>
                </c:pt>
                <c:pt idx="106">
                  <c:v>8.8333333333333339</c:v>
                </c:pt>
                <c:pt idx="107">
                  <c:v>8.9166666666666661</c:v>
                </c:pt>
                <c:pt idx="108">
                  <c:v>9</c:v>
                </c:pt>
                <c:pt idx="109">
                  <c:v>9.0833333333333339</c:v>
                </c:pt>
                <c:pt idx="110">
                  <c:v>9.1666666666666661</c:v>
                </c:pt>
                <c:pt idx="111">
                  <c:v>9.25</c:v>
                </c:pt>
                <c:pt idx="112">
                  <c:v>9.3333333333333339</c:v>
                </c:pt>
                <c:pt idx="113">
                  <c:v>9.4166666666666661</c:v>
                </c:pt>
                <c:pt idx="114">
                  <c:v>9.5</c:v>
                </c:pt>
                <c:pt idx="115">
                  <c:v>9.5833333333333339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9.9166666666666661</c:v>
                </c:pt>
                <c:pt idx="120">
                  <c:v>10</c:v>
                </c:pt>
                <c:pt idx="121">
                  <c:v>10.083333333333334</c:v>
                </c:pt>
                <c:pt idx="122">
                  <c:v>10.166666666666666</c:v>
                </c:pt>
                <c:pt idx="123">
                  <c:v>10.25</c:v>
                </c:pt>
                <c:pt idx="124">
                  <c:v>10.333333333333334</c:v>
                </c:pt>
                <c:pt idx="125">
                  <c:v>10.416666666666666</c:v>
                </c:pt>
                <c:pt idx="126">
                  <c:v>10.5</c:v>
                </c:pt>
                <c:pt idx="127">
                  <c:v>10.583333333333334</c:v>
                </c:pt>
                <c:pt idx="128">
                  <c:v>10.666666666666666</c:v>
                </c:pt>
                <c:pt idx="129">
                  <c:v>10.75</c:v>
                </c:pt>
                <c:pt idx="130">
                  <c:v>10.833333333333334</c:v>
                </c:pt>
                <c:pt idx="131">
                  <c:v>10.916666666666666</c:v>
                </c:pt>
                <c:pt idx="132">
                  <c:v>11</c:v>
                </c:pt>
                <c:pt idx="133">
                  <c:v>11.083333333333334</c:v>
                </c:pt>
                <c:pt idx="134">
                  <c:v>11.166666666666666</c:v>
                </c:pt>
                <c:pt idx="135">
                  <c:v>11.25</c:v>
                </c:pt>
                <c:pt idx="136">
                  <c:v>11.333333333333334</c:v>
                </c:pt>
                <c:pt idx="137">
                  <c:v>11.416666666666666</c:v>
                </c:pt>
                <c:pt idx="138">
                  <c:v>11.5</c:v>
                </c:pt>
                <c:pt idx="139">
                  <c:v>11.583333333333334</c:v>
                </c:pt>
                <c:pt idx="140">
                  <c:v>11.666666666666666</c:v>
                </c:pt>
                <c:pt idx="141">
                  <c:v>11.75</c:v>
                </c:pt>
                <c:pt idx="142">
                  <c:v>11.833333333333334</c:v>
                </c:pt>
                <c:pt idx="143">
                  <c:v>11.916666666666666</c:v>
                </c:pt>
                <c:pt idx="144">
                  <c:v>12</c:v>
                </c:pt>
                <c:pt idx="145">
                  <c:v>12.083333333333334</c:v>
                </c:pt>
                <c:pt idx="146">
                  <c:v>12.166666666666666</c:v>
                </c:pt>
                <c:pt idx="147">
                  <c:v>12.25</c:v>
                </c:pt>
                <c:pt idx="148">
                  <c:v>12.333333333333334</c:v>
                </c:pt>
                <c:pt idx="149">
                  <c:v>12.416666666666666</c:v>
                </c:pt>
                <c:pt idx="150">
                  <c:v>12.5</c:v>
                </c:pt>
                <c:pt idx="151">
                  <c:v>12.583333333333334</c:v>
                </c:pt>
                <c:pt idx="152">
                  <c:v>12.666666666666666</c:v>
                </c:pt>
                <c:pt idx="153">
                  <c:v>12.75</c:v>
                </c:pt>
                <c:pt idx="154">
                  <c:v>12.833333333333334</c:v>
                </c:pt>
                <c:pt idx="155">
                  <c:v>12.916666666666666</c:v>
                </c:pt>
                <c:pt idx="156">
                  <c:v>13</c:v>
                </c:pt>
                <c:pt idx="157">
                  <c:v>13.083333333333334</c:v>
                </c:pt>
                <c:pt idx="158">
                  <c:v>13.166666666666666</c:v>
                </c:pt>
                <c:pt idx="159">
                  <c:v>13.25</c:v>
                </c:pt>
                <c:pt idx="160">
                  <c:v>13.333333333333334</c:v>
                </c:pt>
                <c:pt idx="161">
                  <c:v>13.416666666666666</c:v>
                </c:pt>
                <c:pt idx="162">
                  <c:v>13.5</c:v>
                </c:pt>
                <c:pt idx="163">
                  <c:v>13.583333333333334</c:v>
                </c:pt>
                <c:pt idx="164">
                  <c:v>13.666666666666666</c:v>
                </c:pt>
                <c:pt idx="165">
                  <c:v>13.75</c:v>
                </c:pt>
                <c:pt idx="166">
                  <c:v>13.833333333333334</c:v>
                </c:pt>
                <c:pt idx="167">
                  <c:v>13.916666666666666</c:v>
                </c:pt>
                <c:pt idx="168">
                  <c:v>14</c:v>
                </c:pt>
                <c:pt idx="169">
                  <c:v>14.083333333333334</c:v>
                </c:pt>
                <c:pt idx="170">
                  <c:v>14.166666666666666</c:v>
                </c:pt>
                <c:pt idx="171">
                  <c:v>14.25</c:v>
                </c:pt>
                <c:pt idx="172">
                  <c:v>14.333333333333334</c:v>
                </c:pt>
                <c:pt idx="173">
                  <c:v>14.416666666666666</c:v>
                </c:pt>
                <c:pt idx="174">
                  <c:v>14.5</c:v>
                </c:pt>
                <c:pt idx="175">
                  <c:v>14.583333333333334</c:v>
                </c:pt>
                <c:pt idx="176">
                  <c:v>14.666666666666666</c:v>
                </c:pt>
                <c:pt idx="177">
                  <c:v>14.75</c:v>
                </c:pt>
                <c:pt idx="178">
                  <c:v>14.833333333333334</c:v>
                </c:pt>
                <c:pt idx="179">
                  <c:v>14.916666666666666</c:v>
                </c:pt>
                <c:pt idx="180">
                  <c:v>15</c:v>
                </c:pt>
                <c:pt idx="181">
                  <c:v>15.083333333333334</c:v>
                </c:pt>
                <c:pt idx="182">
                  <c:v>15.166666666666666</c:v>
                </c:pt>
                <c:pt idx="183">
                  <c:v>15.25</c:v>
                </c:pt>
                <c:pt idx="184">
                  <c:v>15.333333333333334</c:v>
                </c:pt>
                <c:pt idx="185">
                  <c:v>15.416666666666666</c:v>
                </c:pt>
                <c:pt idx="186">
                  <c:v>15.5</c:v>
                </c:pt>
                <c:pt idx="187">
                  <c:v>15.583333333333334</c:v>
                </c:pt>
                <c:pt idx="188">
                  <c:v>15.666666666666666</c:v>
                </c:pt>
                <c:pt idx="189">
                  <c:v>15.75</c:v>
                </c:pt>
                <c:pt idx="190">
                  <c:v>15.833333333333334</c:v>
                </c:pt>
                <c:pt idx="191">
                  <c:v>15.916666666666666</c:v>
                </c:pt>
                <c:pt idx="192">
                  <c:v>16</c:v>
                </c:pt>
                <c:pt idx="193">
                  <c:v>16.083333333333332</c:v>
                </c:pt>
                <c:pt idx="194">
                  <c:v>16.166666666666668</c:v>
                </c:pt>
                <c:pt idx="195">
                  <c:v>16.25</c:v>
                </c:pt>
                <c:pt idx="196">
                  <c:v>16.333333333333332</c:v>
                </c:pt>
                <c:pt idx="197">
                  <c:v>16.416666666666668</c:v>
                </c:pt>
                <c:pt idx="198">
                  <c:v>16.5</c:v>
                </c:pt>
                <c:pt idx="199">
                  <c:v>16.583333333333332</c:v>
                </c:pt>
                <c:pt idx="200">
                  <c:v>16.666666666666668</c:v>
                </c:pt>
                <c:pt idx="201">
                  <c:v>16.75</c:v>
                </c:pt>
                <c:pt idx="202">
                  <c:v>16.833333333333332</c:v>
                </c:pt>
                <c:pt idx="203">
                  <c:v>16.916666666666668</c:v>
                </c:pt>
                <c:pt idx="204">
                  <c:v>17</c:v>
                </c:pt>
                <c:pt idx="205">
                  <c:v>17.083333333333332</c:v>
                </c:pt>
                <c:pt idx="206">
                  <c:v>17.166666666666668</c:v>
                </c:pt>
                <c:pt idx="207">
                  <c:v>17.25</c:v>
                </c:pt>
                <c:pt idx="208">
                  <c:v>17.333333333333332</c:v>
                </c:pt>
                <c:pt idx="209">
                  <c:v>17.416666666666668</c:v>
                </c:pt>
                <c:pt idx="210">
                  <c:v>17.5</c:v>
                </c:pt>
                <c:pt idx="211">
                  <c:v>17.583333333333332</c:v>
                </c:pt>
                <c:pt idx="212">
                  <c:v>17.666666666666668</c:v>
                </c:pt>
                <c:pt idx="213">
                  <c:v>17.75</c:v>
                </c:pt>
                <c:pt idx="214">
                  <c:v>17.833333333333332</c:v>
                </c:pt>
                <c:pt idx="215">
                  <c:v>17.916666666666668</c:v>
                </c:pt>
                <c:pt idx="216">
                  <c:v>18</c:v>
                </c:pt>
                <c:pt idx="217">
                  <c:v>18.083333333333332</c:v>
                </c:pt>
                <c:pt idx="218">
                  <c:v>18.166666666666668</c:v>
                </c:pt>
                <c:pt idx="219">
                  <c:v>18.25</c:v>
                </c:pt>
                <c:pt idx="220">
                  <c:v>18.333333333333332</c:v>
                </c:pt>
                <c:pt idx="221">
                  <c:v>18.416666666666668</c:v>
                </c:pt>
                <c:pt idx="222">
                  <c:v>18.5</c:v>
                </c:pt>
                <c:pt idx="223">
                  <c:v>18.583333333333332</c:v>
                </c:pt>
                <c:pt idx="224">
                  <c:v>18.666666666666668</c:v>
                </c:pt>
                <c:pt idx="225">
                  <c:v>18.75</c:v>
                </c:pt>
                <c:pt idx="226">
                  <c:v>18.833333333333332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19.166666666666668</c:v>
                </c:pt>
                <c:pt idx="231">
                  <c:v>19.25</c:v>
                </c:pt>
                <c:pt idx="232">
                  <c:v>19.333333333333332</c:v>
                </c:pt>
                <c:pt idx="233">
                  <c:v>19.416666666666668</c:v>
                </c:pt>
                <c:pt idx="234">
                  <c:v>19.5</c:v>
                </c:pt>
                <c:pt idx="235">
                  <c:v>19.583333333333332</c:v>
                </c:pt>
                <c:pt idx="236">
                  <c:v>19.666666666666668</c:v>
                </c:pt>
                <c:pt idx="237">
                  <c:v>19.75</c:v>
                </c:pt>
                <c:pt idx="238">
                  <c:v>19.833333333333332</c:v>
                </c:pt>
                <c:pt idx="239">
                  <c:v>19.916666666666668</c:v>
                </c:pt>
                <c:pt idx="240">
                  <c:v>20</c:v>
                </c:pt>
              </c:numCache>
            </c:numRef>
          </c:cat>
          <c:val>
            <c:numRef>
              <c:f>Analysis!$D$102:$D$342</c:f>
              <c:numCache>
                <c:formatCode>0.0000</c:formatCode>
                <c:ptCount val="241"/>
                <c:pt idx="0">
                  <c:v>7.1284299999999998</c:v>
                </c:pt>
                <c:pt idx="1">
                  <c:v>7.132939248000028</c:v>
                </c:pt>
                <c:pt idx="2">
                  <c:v>7.0983107840000326</c:v>
                </c:pt>
                <c:pt idx="3">
                  <c:v>7.0579049600000392</c:v>
                </c:pt>
                <c:pt idx="4">
                  <c:v>7.0094804272818783</c:v>
                </c:pt>
                <c:pt idx="5">
                  <c:v>6.9689825140000385</c:v>
                </c:pt>
                <c:pt idx="6">
                  <c:v>6.927402418000046</c:v>
                </c:pt>
                <c:pt idx="7">
                  <c:v>6.8778990971107836</c:v>
                </c:pt>
                <c:pt idx="8">
                  <c:v>6.8454432834928332</c:v>
                </c:pt>
                <c:pt idx="9">
                  <c:v>6.8075219442215396</c:v>
                </c:pt>
                <c:pt idx="10">
                  <c:v>6.7739329520000098</c:v>
                </c:pt>
                <c:pt idx="11">
                  <c:v>6.7370563800000083</c:v>
                </c:pt>
                <c:pt idx="12">
                  <c:v>6.7047346660000091</c:v>
                </c:pt>
                <c:pt idx="13">
                  <c:v>6.6701454663992061</c:v>
                </c:pt>
                <c:pt idx="14">
                  <c:v>6.6378362293120743</c:v>
                </c:pt>
                <c:pt idx="15">
                  <c:v>6.6124546238716242</c:v>
                </c:pt>
                <c:pt idx="16">
                  <c:v>6.5789910280000106</c:v>
                </c:pt>
                <c:pt idx="17">
                  <c:v>6.5523321920000139</c:v>
                </c:pt>
                <c:pt idx="18">
                  <c:v>6.5154694800000117</c:v>
                </c:pt>
                <c:pt idx="19">
                  <c:v>6.4831538884430309</c:v>
                </c:pt>
                <c:pt idx="20">
                  <c:v>6.4498329425837273</c:v>
                </c:pt>
                <c:pt idx="21">
                  <c:v>6.4312438884430305</c:v>
                </c:pt>
                <c:pt idx="22">
                  <c:v>6.3976340479999898</c:v>
                </c:pt>
                <c:pt idx="23">
                  <c:v>6.3609831019261591</c:v>
                </c:pt>
                <c:pt idx="24">
                  <c:v>6.341116188000016</c:v>
                </c:pt>
                <c:pt idx="25">
                  <c:v>6.3111260000000158</c:v>
                </c:pt>
                <c:pt idx="26">
                  <c:v>6.281080932798413</c:v>
                </c:pt>
                <c:pt idx="27">
                  <c:v>6.2486127637088966</c:v>
                </c:pt>
                <c:pt idx="28">
                  <c:v>6.2130209327984129</c:v>
                </c:pt>
                <c:pt idx="29">
                  <c:v>6.1805755020000221</c:v>
                </c:pt>
                <c:pt idx="30">
                  <c:v>6.1460409300000203</c:v>
                </c:pt>
                <c:pt idx="31">
                  <c:v>6.1148911480000203</c:v>
                </c:pt>
                <c:pt idx="32">
                  <c:v>6.0835468900481802</c:v>
                </c:pt>
                <c:pt idx="33">
                  <c:v>6.0432450757575769</c:v>
                </c:pt>
                <c:pt idx="34">
                  <c:v>6.0108668900481801</c:v>
                </c:pt>
                <c:pt idx="35">
                  <c:v>5.970418500000001</c:v>
                </c:pt>
                <c:pt idx="36">
                  <c:v>5.9322427500000003</c:v>
                </c:pt>
                <c:pt idx="37">
                  <c:v>5.8898412499999999</c:v>
                </c:pt>
                <c:pt idx="38">
                  <c:v>5.8583127969502415</c:v>
                </c:pt>
                <c:pt idx="39">
                  <c:v>5.8122924581339994</c:v>
                </c:pt>
                <c:pt idx="40">
                  <c:v>5.7753493238362772</c:v>
                </c:pt>
                <c:pt idx="41">
                  <c:v>5.732623996000032</c:v>
                </c:pt>
                <c:pt idx="42">
                  <c:v>5.6933064240000348</c:v>
                </c:pt>
                <c:pt idx="43">
                  <c:v>5.6505937120000356</c:v>
                </c:pt>
                <c:pt idx="44">
                  <c:v>5.6065870712136814</c:v>
                </c:pt>
                <c:pt idx="45">
                  <c:v>5.5572022160000349</c:v>
                </c:pt>
                <c:pt idx="46">
                  <c:v>5.519096024000036</c:v>
                </c:pt>
                <c:pt idx="47">
                  <c:v>5.4796818057785321</c:v>
                </c:pt>
                <c:pt idx="48">
                  <c:v>5.4347907360000098</c:v>
                </c:pt>
                <c:pt idx="49">
                  <c:v>5.3965319040000121</c:v>
                </c:pt>
                <c:pt idx="50">
                  <c:v>5.3525728800000119</c:v>
                </c:pt>
                <c:pt idx="51">
                  <c:v>5.3053476870611957</c:v>
                </c:pt>
                <c:pt idx="52">
                  <c:v>5.2605765762712</c:v>
                </c:pt>
                <c:pt idx="53">
                  <c:v>5.2246373660983068</c:v>
                </c:pt>
                <c:pt idx="54">
                  <c:v>5.1808001620000157</c:v>
                </c:pt>
                <c:pt idx="55">
                  <c:v>5.1406025760000142</c:v>
                </c:pt>
                <c:pt idx="56">
                  <c:v>5.1048855860000133</c:v>
                </c:pt>
                <c:pt idx="57">
                  <c:v>5.0702282825040266</c:v>
                </c:pt>
                <c:pt idx="58">
                  <c:v>5.0341758014353966</c:v>
                </c:pt>
                <c:pt idx="59">
                  <c:v>4.9941749538523394</c:v>
                </c:pt>
                <c:pt idx="60">
                  <c:v>4.960434357999989</c:v>
                </c:pt>
                <c:pt idx="61">
                  <c:v>4.9228324759999929</c:v>
                </c:pt>
                <c:pt idx="62">
                  <c:v>4.89596523999999</c:v>
                </c:pt>
                <c:pt idx="63">
                  <c:v>4.8615480898876333</c:v>
                </c:pt>
                <c:pt idx="64">
                  <c:v>4.8315108373205886</c:v>
                </c:pt>
                <c:pt idx="65">
                  <c:v>4.802849424157297</c:v>
                </c:pt>
                <c:pt idx="66">
                  <c:v>4.7762344894684192</c:v>
                </c:pt>
                <c:pt idx="67">
                  <c:v>4.7490936530409016</c:v>
                </c:pt>
                <c:pt idx="68">
                  <c:v>4.7122930270812491</c:v>
                </c:pt>
                <c:pt idx="69">
                  <c:v>4.6998026480000208</c:v>
                </c:pt>
                <c:pt idx="70">
                  <c:v>4.6691479640000138</c:v>
                </c:pt>
                <c:pt idx="71">
                  <c:v>4.6489723240000052</c:v>
                </c:pt>
                <c:pt idx="72">
                  <c:v>4.6400884028892619</c:v>
                </c:pt>
                <c:pt idx="73">
                  <c:v>4.6148614999999999</c:v>
                </c:pt>
                <c:pt idx="74">
                  <c:v>4.5942069999999999</c:v>
                </c:pt>
                <c:pt idx="75">
                  <c:v>4.5760355000000006</c:v>
                </c:pt>
                <c:pt idx="76">
                  <c:v>4.5628809831460684</c:v>
                </c:pt>
                <c:pt idx="77">
                  <c:v>4.5411520454545586</c:v>
                </c:pt>
                <c:pt idx="78">
                  <c:v>4.5241234630818621</c:v>
                </c:pt>
                <c:pt idx="79">
                  <c:v>4.5113337120000105</c:v>
                </c:pt>
                <c:pt idx="80">
                  <c:v>4.4974320000000123</c:v>
                </c:pt>
                <c:pt idx="81">
                  <c:v>4.4823708200000132</c:v>
                </c:pt>
                <c:pt idx="82">
                  <c:v>4.4664028605817556</c:v>
                </c:pt>
                <c:pt idx="83">
                  <c:v>4.4531580960000205</c:v>
                </c:pt>
                <c:pt idx="84">
                  <c:v>4.4321462880000055</c:v>
                </c:pt>
                <c:pt idx="85">
                  <c:v>4.4261896087480022</c:v>
                </c:pt>
                <c:pt idx="86">
                  <c:v>4.4162501973684281</c:v>
                </c:pt>
                <c:pt idx="87">
                  <c:v>4.3966451625200653</c:v>
                </c:pt>
                <c:pt idx="88">
                  <c:v>4.3948062140000035</c:v>
                </c:pt>
                <c:pt idx="89">
                  <c:v>4.3822534280000021</c:v>
                </c:pt>
                <c:pt idx="90">
                  <c:v>4.3718045240000034</c:v>
                </c:pt>
                <c:pt idx="91">
                  <c:v>4.360263057171518</c:v>
                </c:pt>
                <c:pt idx="92">
                  <c:v>4.34884577068794</c:v>
                </c:pt>
                <c:pt idx="93">
                  <c:v>4.3399147462387173</c:v>
                </c:pt>
                <c:pt idx="94">
                  <c:v>4.334850528000004</c:v>
                </c:pt>
                <c:pt idx="95">
                  <c:v>4.3240400000000001</c:v>
                </c:pt>
                <c:pt idx="96">
                  <c:v>4.3228880960000069</c:v>
                </c:pt>
                <c:pt idx="97">
                  <c:v>4.3050021990369212</c:v>
                </c:pt>
                <c:pt idx="98">
                  <c:v>4.2962745599999996</c:v>
                </c:pt>
                <c:pt idx="99">
                  <c:v>4.2936866079999945</c:v>
                </c:pt>
                <c:pt idx="100">
                  <c:v>4.2722054400000005</c:v>
                </c:pt>
                <c:pt idx="101">
                  <c:v>4.2728245906902069</c:v>
                </c:pt>
                <c:pt idx="102">
                  <c:v>4.2649310240000107</c:v>
                </c:pt>
                <c:pt idx="103">
                  <c:v>4.2458280479999981</c:v>
                </c:pt>
                <c:pt idx="104">
                  <c:v>4.2485739040000041</c:v>
                </c:pt>
                <c:pt idx="105">
                  <c:v>4.2416539040000041</c:v>
                </c:pt>
                <c:pt idx="106">
                  <c:v>4.2345730651955922</c:v>
                </c:pt>
                <c:pt idx="107">
                  <c:v>4.2256490020000026</c:v>
                </c:pt>
                <c:pt idx="108">
                  <c:v>4.2211215720000022</c:v>
                </c:pt>
                <c:pt idx="109">
                  <c:v>4.2174124260000045</c:v>
                </c:pt>
                <c:pt idx="110">
                  <c:v>4.2106479394061029</c:v>
                </c:pt>
                <c:pt idx="111">
                  <c:v>4.2057659330143542</c:v>
                </c:pt>
                <c:pt idx="112">
                  <c:v>4.1977087138844347</c:v>
                </c:pt>
                <c:pt idx="113">
                  <c:v>4.1903932499999996</c:v>
                </c:pt>
                <c:pt idx="114">
                  <c:v>4.1919239999999993</c:v>
                </c:pt>
                <c:pt idx="115">
                  <c:v>4.1834119999999997</c:v>
                </c:pt>
                <c:pt idx="116">
                  <c:v>4.1708703330658103</c:v>
                </c:pt>
                <c:pt idx="117">
                  <c:v>4.1735305821371664</c:v>
                </c:pt>
                <c:pt idx="118">
                  <c:v>4.1660213884430188</c:v>
                </c:pt>
                <c:pt idx="119">
                  <c:v>4.1524205719999969</c:v>
                </c:pt>
                <c:pt idx="120">
                  <c:v>4.155068856000006</c:v>
                </c:pt>
                <c:pt idx="121">
                  <c:v>4.148779929999999</c:v>
                </c:pt>
                <c:pt idx="122">
                  <c:v>4.1492070270812507</c:v>
                </c:pt>
                <c:pt idx="123">
                  <c:v>4.1410205240000089</c:v>
                </c:pt>
                <c:pt idx="124">
                  <c:v>4.1329143319999959</c:v>
                </c:pt>
                <c:pt idx="125">
                  <c:v>4.136022584269675</c:v>
                </c:pt>
                <c:pt idx="126">
                  <c:v>4.1234067503987237</c:v>
                </c:pt>
                <c:pt idx="127">
                  <c:v>4.1238026123595573</c:v>
                </c:pt>
                <c:pt idx="128">
                  <c:v>4.1158059520000014</c:v>
                </c:pt>
                <c:pt idx="129">
                  <c:v>4.1090800720000011</c:v>
                </c:pt>
                <c:pt idx="130">
                  <c:v>4.1048499999999999</c:v>
                </c:pt>
                <c:pt idx="131">
                  <c:v>4.1033854864593833</c:v>
                </c:pt>
                <c:pt idx="132">
                  <c:v>4.0879529139999988</c:v>
                </c:pt>
                <c:pt idx="133">
                  <c:v>4.0922613839999995</c:v>
                </c:pt>
                <c:pt idx="134">
                  <c:v>4.0918071060000072</c:v>
                </c:pt>
                <c:pt idx="135">
                  <c:v>4.0765159169341878</c:v>
                </c:pt>
                <c:pt idx="136">
                  <c:v>4.0808425717703329</c:v>
                </c:pt>
                <c:pt idx="137">
                  <c:v>4.0717033747993563</c:v>
                </c:pt>
                <c:pt idx="138">
                  <c:v>4.0742330479999982</c:v>
                </c:pt>
                <c:pt idx="139">
                  <c:v>4.0677307139999996</c:v>
                </c:pt>
                <c:pt idx="140">
                  <c:v>4.0651072379999977</c:v>
                </c:pt>
                <c:pt idx="141">
                  <c:v>4.0597554755216683</c:v>
                </c:pt>
                <c:pt idx="142">
                  <c:v>4.0584940131578957</c:v>
                </c:pt>
                <c:pt idx="143">
                  <c:v>4.0561909510433383</c:v>
                </c:pt>
                <c:pt idx="144">
                  <c:v>4.0532342260000052</c:v>
                </c:pt>
                <c:pt idx="145">
                  <c:v>4.0444366440000028</c:v>
                </c:pt>
                <c:pt idx="146">
                  <c:v>4.0399244754262815</c:v>
                </c:pt>
                <c:pt idx="147">
                  <c:v>4.0356729280000074</c:v>
                </c:pt>
                <c:pt idx="148">
                  <c:v>4.0259208239999955</c:v>
                </c:pt>
                <c:pt idx="149">
                  <c:v>4.0317327840000035</c:v>
                </c:pt>
                <c:pt idx="150">
                  <c:v>4.0261043097913412</c:v>
                </c:pt>
                <c:pt idx="151">
                  <c:v>4.0133744258373207</c:v>
                </c:pt>
                <c:pt idx="152">
                  <c:v>4.0206400000000002</c:v>
                </c:pt>
                <c:pt idx="153">
                  <c:v>4.0200630000000004</c:v>
                </c:pt>
                <c:pt idx="154">
                  <c:v>4.0139440369181392</c:v>
                </c:pt>
                <c:pt idx="155">
                  <c:v>4.0054033971291876</c:v>
                </c:pt>
                <c:pt idx="156">
                  <c:v>4.0029928892455855</c:v>
                </c:pt>
                <c:pt idx="157">
                  <c:v>3.9999986799999991</c:v>
                </c:pt>
                <c:pt idx="158">
                  <c:v>4.0003158560000056</c:v>
                </c:pt>
                <c:pt idx="159">
                  <c:v>3.9935145360000046</c:v>
                </c:pt>
                <c:pt idx="160">
                  <c:v>3.9876237071213696</c:v>
                </c:pt>
                <c:pt idx="161">
                  <c:v>3.9811746780000021</c:v>
                </c:pt>
                <c:pt idx="162">
                  <c:v>3.9791099999999999</c:v>
                </c:pt>
                <c:pt idx="163">
                  <c:v>3.9784952588282554</c:v>
                </c:pt>
                <c:pt idx="164">
                  <c:v>3.9732145913078152</c:v>
                </c:pt>
                <c:pt idx="165">
                  <c:v>3.9724361095505598</c:v>
                </c:pt>
                <c:pt idx="166">
                  <c:v>3.9724804760000048</c:v>
                </c:pt>
                <c:pt idx="167">
                  <c:v>3.9573024759999966</c:v>
                </c:pt>
                <c:pt idx="168">
                  <c:v>3.9661917140000034</c:v>
                </c:pt>
                <c:pt idx="169">
                  <c:v>3.9557755145436286</c:v>
                </c:pt>
                <c:pt idx="170">
                  <c:v>3.9620556450648086</c:v>
                </c:pt>
                <c:pt idx="171">
                  <c:v>3.9551423771313932</c:v>
                </c:pt>
                <c:pt idx="172">
                  <c:v>3.9568010960000017</c:v>
                </c:pt>
                <c:pt idx="173">
                  <c:v>3.9536007400000006</c:v>
                </c:pt>
                <c:pt idx="174">
                  <c:v>3.9518021920000028</c:v>
                </c:pt>
                <c:pt idx="175">
                  <c:v>3.9461798274478319</c:v>
                </c:pt>
                <c:pt idx="176">
                  <c:v>3.9489402312599662</c:v>
                </c:pt>
                <c:pt idx="177">
                  <c:v>3.9386003250401287</c:v>
                </c:pt>
                <c:pt idx="178">
                  <c:v>3.937180023999999</c:v>
                </c:pt>
                <c:pt idx="179">
                  <c:v>3.9327816934189386</c:v>
                </c:pt>
                <c:pt idx="180">
                  <c:v>3.9235368421052597</c:v>
                </c:pt>
                <c:pt idx="181">
                  <c:v>3.9303921067415728</c:v>
                </c:pt>
                <c:pt idx="182">
                  <c:v>3.9267008605817528</c:v>
                </c:pt>
                <c:pt idx="183">
                  <c:v>3.9153503349950105</c:v>
                </c:pt>
                <c:pt idx="184">
                  <c:v>3.9211547462387175</c:v>
                </c:pt>
                <c:pt idx="185">
                  <c:v>3.9191199999999999</c:v>
                </c:pt>
                <c:pt idx="186">
                  <c:v>3.918137074000005</c:v>
                </c:pt>
                <c:pt idx="187">
                  <c:v>3.9113313579999982</c:v>
                </c:pt>
                <c:pt idx="188">
                  <c:v>3.912513216292139</c:v>
                </c:pt>
                <c:pt idx="189">
                  <c:v>3.9067178289473681</c:v>
                </c:pt>
                <c:pt idx="190">
                  <c:v>3.9083172191011255</c:v>
                </c:pt>
                <c:pt idx="191">
                  <c:v>3.90513625</c:v>
                </c:pt>
                <c:pt idx="192">
                  <c:v>3.90254375</c:v>
                </c:pt>
                <c:pt idx="193">
                  <c:v>3.8914399999999998</c:v>
                </c:pt>
                <c:pt idx="194">
                  <c:v>3.8918738884430173</c:v>
                </c:pt>
                <c:pt idx="195">
                  <c:v>3.8938674481658748</c:v>
                </c:pt>
                <c:pt idx="196">
                  <c:v>3.887399353932584</c:v>
                </c:pt>
                <c:pt idx="197">
                  <c:v>3.8915874299999991</c:v>
                </c:pt>
                <c:pt idx="198">
                  <c:v>3.8915554260000067</c:v>
                </c:pt>
                <c:pt idx="199">
                  <c:v>3.8839277160000041</c:v>
                </c:pt>
                <c:pt idx="200">
                  <c:v>3.8793072196589806</c:v>
                </c:pt>
                <c:pt idx="201">
                  <c:v>3.8754404287138575</c:v>
                </c:pt>
                <c:pt idx="202">
                  <c:v>3.8764400000000001</c:v>
                </c:pt>
                <c:pt idx="203">
                  <c:v>3.876893951999997</c:v>
                </c:pt>
                <c:pt idx="204">
                  <c:v>3.8792951680000041</c:v>
                </c:pt>
                <c:pt idx="205">
                  <c:v>3.875896773675759</c:v>
                </c:pt>
                <c:pt idx="206">
                  <c:v>3.8786594880000025</c:v>
                </c:pt>
                <c:pt idx="207">
                  <c:v>3.8703599498495493</c:v>
                </c:pt>
                <c:pt idx="208">
                  <c:v>3.8671055912263252</c:v>
                </c:pt>
                <c:pt idx="209">
                  <c:v>3.8602278716148422</c:v>
                </c:pt>
                <c:pt idx="210">
                  <c:v>3.8667345960000015</c:v>
                </c:pt>
                <c:pt idx="211">
                  <c:v>3.8626411820000039</c:v>
                </c:pt>
                <c:pt idx="212">
                  <c:v>3.8566308079999967</c:v>
                </c:pt>
                <c:pt idx="213">
                  <c:v>3.862440104333869</c:v>
                </c:pt>
                <c:pt idx="214">
                  <c:v>3.8598240530303007</c:v>
                </c:pt>
                <c:pt idx="215">
                  <c:v>3.8499099999999999</c:v>
                </c:pt>
                <c:pt idx="216">
                  <c:v>3.8502347860000006</c:v>
                </c:pt>
                <c:pt idx="217">
                  <c:v>3.8510839519999975</c:v>
                </c:pt>
                <c:pt idx="218">
                  <c:v>3.8446264760000011</c:v>
                </c:pt>
                <c:pt idx="219">
                  <c:v>3.8474377909309787</c:v>
                </c:pt>
                <c:pt idx="220">
                  <c:v>3.8456229206539096</c:v>
                </c:pt>
                <c:pt idx="221">
                  <c:v>3.8408422090690211</c:v>
                </c:pt>
                <c:pt idx="222">
                  <c:v>3.8408349040000029</c:v>
                </c:pt>
                <c:pt idx="223">
                  <c:v>3.8350768079999993</c:v>
                </c:pt>
                <c:pt idx="224">
                  <c:v>3.8347387321965942</c:v>
                </c:pt>
                <c:pt idx="225">
                  <c:v>3.8273479279999973</c:v>
                </c:pt>
                <c:pt idx="226">
                  <c:v>3.8308079279999974</c:v>
                </c:pt>
                <c:pt idx="227">
                  <c:v>3.8315580000000091</c:v>
                </c:pt>
                <c:pt idx="228">
                  <c:v>3.8196097552166903</c:v>
                </c:pt>
                <c:pt idx="229">
                  <c:v>3.8247019497607657</c:v>
                </c:pt>
                <c:pt idx="230">
                  <c:v>3.8256800000000002</c:v>
                </c:pt>
                <c:pt idx="231">
                  <c:v>3.8249885000000003</c:v>
                </c:pt>
                <c:pt idx="232">
                  <c:v>3.8203747752809001</c:v>
                </c:pt>
                <c:pt idx="233">
                  <c:v>3.8155703827751237</c:v>
                </c:pt>
                <c:pt idx="234">
                  <c:v>3.8108630537720707</c:v>
                </c:pt>
                <c:pt idx="235">
                  <c:v>3.8114861080000022</c:v>
                </c:pt>
                <c:pt idx="236">
                  <c:v>3.8084698560000061</c:v>
                </c:pt>
                <c:pt idx="237">
                  <c:v>3.801903748000004</c:v>
                </c:pt>
                <c:pt idx="238">
                  <c:v>3.7976450431293904</c:v>
                </c:pt>
                <c:pt idx="239">
                  <c:v>3.7958690927218335</c:v>
                </c:pt>
                <c:pt idx="240">
                  <c:v>3.7957766659979999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F0-408F-A621-E5F6A2F28B2D}"/>
            </c:ext>
          </c:extLst>
        </c:ser>
        <c:ser>
          <c:idx val="3"/>
          <c:order val="3"/>
          <c:tx>
            <c:v>DOPC 1 fit</c:v>
          </c:tx>
          <c:spPr>
            <a:ln w="14288">
              <a:solidFill>
                <a:srgbClr val="4472C4"/>
              </a:solidFill>
              <a:prstDash val="dash"/>
            </a:ln>
          </c:spPr>
          <c:marker>
            <c:symbol val="none"/>
          </c:marker>
          <c:cat>
            <c:numRef>
              <c:f>Analysis!$A$102:$A$342</c:f>
              <c:numCache>
                <c:formatCode>0.0000</c:formatCode>
                <c:ptCount val="241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1.1666666666666667</c:v>
                </c:pt>
                <c:pt idx="15">
                  <c:v>1.25</c:v>
                </c:pt>
                <c:pt idx="16">
                  <c:v>1.3333333333333333</c:v>
                </c:pt>
                <c:pt idx="17">
                  <c:v>1.4166666666666667</c:v>
                </c:pt>
                <c:pt idx="18">
                  <c:v>1.5</c:v>
                </c:pt>
                <c:pt idx="19">
                  <c:v>1.5833333333333333</c:v>
                </c:pt>
                <c:pt idx="20">
                  <c:v>1.6666666666666667</c:v>
                </c:pt>
                <c:pt idx="21">
                  <c:v>1.75</c:v>
                </c:pt>
                <c:pt idx="22">
                  <c:v>1.8333333333333333</c:v>
                </c:pt>
                <c:pt idx="23">
                  <c:v>1.9166666666666667</c:v>
                </c:pt>
                <c:pt idx="24">
                  <c:v>2</c:v>
                </c:pt>
                <c:pt idx="25">
                  <c:v>2.0833333333333335</c:v>
                </c:pt>
                <c:pt idx="26">
                  <c:v>2.1666666666666665</c:v>
                </c:pt>
                <c:pt idx="27">
                  <c:v>2.25</c:v>
                </c:pt>
                <c:pt idx="28">
                  <c:v>2.3333333333333335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2.6666666666666665</c:v>
                </c:pt>
                <c:pt idx="33">
                  <c:v>2.75</c:v>
                </c:pt>
                <c:pt idx="34">
                  <c:v>2.8333333333333335</c:v>
                </c:pt>
                <c:pt idx="35">
                  <c:v>2.9166666666666665</c:v>
                </c:pt>
                <c:pt idx="36">
                  <c:v>3</c:v>
                </c:pt>
                <c:pt idx="37">
                  <c:v>3.0833333333333335</c:v>
                </c:pt>
                <c:pt idx="38">
                  <c:v>3.1666666666666665</c:v>
                </c:pt>
                <c:pt idx="39">
                  <c:v>3.25</c:v>
                </c:pt>
                <c:pt idx="40">
                  <c:v>3.3333333333333335</c:v>
                </c:pt>
                <c:pt idx="41">
                  <c:v>3.4166666666666665</c:v>
                </c:pt>
                <c:pt idx="42">
                  <c:v>3.5</c:v>
                </c:pt>
                <c:pt idx="43">
                  <c:v>3.5833333333333335</c:v>
                </c:pt>
                <c:pt idx="44">
                  <c:v>3.6666666666666665</c:v>
                </c:pt>
                <c:pt idx="45">
                  <c:v>3.75</c:v>
                </c:pt>
                <c:pt idx="46">
                  <c:v>3.8333333333333335</c:v>
                </c:pt>
                <c:pt idx="47">
                  <c:v>3.9166666666666665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8.0833333333333339</c:v>
                </c:pt>
                <c:pt idx="98">
                  <c:v>8.1666666666666661</c:v>
                </c:pt>
                <c:pt idx="99">
                  <c:v>8.25</c:v>
                </c:pt>
                <c:pt idx="100">
                  <c:v>8.3333333333333339</c:v>
                </c:pt>
                <c:pt idx="101">
                  <c:v>8.4166666666666661</c:v>
                </c:pt>
                <c:pt idx="102">
                  <c:v>8.5</c:v>
                </c:pt>
                <c:pt idx="103">
                  <c:v>8.5833333333333339</c:v>
                </c:pt>
                <c:pt idx="104">
                  <c:v>8.6666666666666661</c:v>
                </c:pt>
                <c:pt idx="105">
                  <c:v>8.75</c:v>
                </c:pt>
                <c:pt idx="106">
                  <c:v>8.8333333333333339</c:v>
                </c:pt>
                <c:pt idx="107">
                  <c:v>8.9166666666666661</c:v>
                </c:pt>
                <c:pt idx="108">
                  <c:v>9</c:v>
                </c:pt>
                <c:pt idx="109">
                  <c:v>9.0833333333333339</c:v>
                </c:pt>
                <c:pt idx="110">
                  <c:v>9.1666666666666661</c:v>
                </c:pt>
                <c:pt idx="111">
                  <c:v>9.25</c:v>
                </c:pt>
                <c:pt idx="112">
                  <c:v>9.3333333333333339</c:v>
                </c:pt>
                <c:pt idx="113">
                  <c:v>9.4166666666666661</c:v>
                </c:pt>
                <c:pt idx="114">
                  <c:v>9.5</c:v>
                </c:pt>
                <c:pt idx="115">
                  <c:v>9.5833333333333339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9.9166666666666661</c:v>
                </c:pt>
                <c:pt idx="120">
                  <c:v>10</c:v>
                </c:pt>
                <c:pt idx="121">
                  <c:v>10.083333333333334</c:v>
                </c:pt>
                <c:pt idx="122">
                  <c:v>10.166666666666666</c:v>
                </c:pt>
                <c:pt idx="123">
                  <c:v>10.25</c:v>
                </c:pt>
                <c:pt idx="124">
                  <c:v>10.333333333333334</c:v>
                </c:pt>
                <c:pt idx="125">
                  <c:v>10.416666666666666</c:v>
                </c:pt>
                <c:pt idx="126">
                  <c:v>10.5</c:v>
                </c:pt>
                <c:pt idx="127">
                  <c:v>10.583333333333334</c:v>
                </c:pt>
                <c:pt idx="128">
                  <c:v>10.666666666666666</c:v>
                </c:pt>
                <c:pt idx="129">
                  <c:v>10.75</c:v>
                </c:pt>
                <c:pt idx="130">
                  <c:v>10.833333333333334</c:v>
                </c:pt>
                <c:pt idx="131">
                  <c:v>10.916666666666666</c:v>
                </c:pt>
                <c:pt idx="132">
                  <c:v>11</c:v>
                </c:pt>
                <c:pt idx="133">
                  <c:v>11.083333333333334</c:v>
                </c:pt>
                <c:pt idx="134">
                  <c:v>11.166666666666666</c:v>
                </c:pt>
                <c:pt idx="135">
                  <c:v>11.25</c:v>
                </c:pt>
                <c:pt idx="136">
                  <c:v>11.333333333333334</c:v>
                </c:pt>
                <c:pt idx="137">
                  <c:v>11.416666666666666</c:v>
                </c:pt>
                <c:pt idx="138">
                  <c:v>11.5</c:v>
                </c:pt>
                <c:pt idx="139">
                  <c:v>11.583333333333334</c:v>
                </c:pt>
                <c:pt idx="140">
                  <c:v>11.666666666666666</c:v>
                </c:pt>
                <c:pt idx="141">
                  <c:v>11.75</c:v>
                </c:pt>
                <c:pt idx="142">
                  <c:v>11.833333333333334</c:v>
                </c:pt>
                <c:pt idx="143">
                  <c:v>11.916666666666666</c:v>
                </c:pt>
                <c:pt idx="144">
                  <c:v>12</c:v>
                </c:pt>
                <c:pt idx="145">
                  <c:v>12.083333333333334</c:v>
                </c:pt>
                <c:pt idx="146">
                  <c:v>12.166666666666666</c:v>
                </c:pt>
                <c:pt idx="147">
                  <c:v>12.25</c:v>
                </c:pt>
                <c:pt idx="148">
                  <c:v>12.333333333333334</c:v>
                </c:pt>
                <c:pt idx="149">
                  <c:v>12.416666666666666</c:v>
                </c:pt>
                <c:pt idx="150">
                  <c:v>12.5</c:v>
                </c:pt>
                <c:pt idx="151">
                  <c:v>12.583333333333334</c:v>
                </c:pt>
                <c:pt idx="152">
                  <c:v>12.666666666666666</c:v>
                </c:pt>
                <c:pt idx="153">
                  <c:v>12.75</c:v>
                </c:pt>
                <c:pt idx="154">
                  <c:v>12.833333333333334</c:v>
                </c:pt>
                <c:pt idx="155">
                  <c:v>12.916666666666666</c:v>
                </c:pt>
                <c:pt idx="156">
                  <c:v>13</c:v>
                </c:pt>
                <c:pt idx="157">
                  <c:v>13.083333333333334</c:v>
                </c:pt>
                <c:pt idx="158">
                  <c:v>13.166666666666666</c:v>
                </c:pt>
                <c:pt idx="159">
                  <c:v>13.25</c:v>
                </c:pt>
                <c:pt idx="160">
                  <c:v>13.333333333333334</c:v>
                </c:pt>
                <c:pt idx="161">
                  <c:v>13.416666666666666</c:v>
                </c:pt>
                <c:pt idx="162">
                  <c:v>13.5</c:v>
                </c:pt>
                <c:pt idx="163">
                  <c:v>13.583333333333334</c:v>
                </c:pt>
                <c:pt idx="164">
                  <c:v>13.666666666666666</c:v>
                </c:pt>
                <c:pt idx="165">
                  <c:v>13.75</c:v>
                </c:pt>
                <c:pt idx="166">
                  <c:v>13.833333333333334</c:v>
                </c:pt>
                <c:pt idx="167">
                  <c:v>13.916666666666666</c:v>
                </c:pt>
                <c:pt idx="168">
                  <c:v>14</c:v>
                </c:pt>
                <c:pt idx="169">
                  <c:v>14.083333333333334</c:v>
                </c:pt>
                <c:pt idx="170">
                  <c:v>14.166666666666666</c:v>
                </c:pt>
                <c:pt idx="171">
                  <c:v>14.25</c:v>
                </c:pt>
                <c:pt idx="172">
                  <c:v>14.333333333333334</c:v>
                </c:pt>
                <c:pt idx="173">
                  <c:v>14.416666666666666</c:v>
                </c:pt>
                <c:pt idx="174">
                  <c:v>14.5</c:v>
                </c:pt>
                <c:pt idx="175">
                  <c:v>14.583333333333334</c:v>
                </c:pt>
                <c:pt idx="176">
                  <c:v>14.666666666666666</c:v>
                </c:pt>
                <c:pt idx="177">
                  <c:v>14.75</c:v>
                </c:pt>
                <c:pt idx="178">
                  <c:v>14.833333333333334</c:v>
                </c:pt>
                <c:pt idx="179">
                  <c:v>14.916666666666666</c:v>
                </c:pt>
                <c:pt idx="180">
                  <c:v>15</c:v>
                </c:pt>
                <c:pt idx="181">
                  <c:v>15.083333333333334</c:v>
                </c:pt>
                <c:pt idx="182">
                  <c:v>15.166666666666666</c:v>
                </c:pt>
                <c:pt idx="183">
                  <c:v>15.25</c:v>
                </c:pt>
                <c:pt idx="184">
                  <c:v>15.333333333333334</c:v>
                </c:pt>
                <c:pt idx="185">
                  <c:v>15.416666666666666</c:v>
                </c:pt>
                <c:pt idx="186">
                  <c:v>15.5</c:v>
                </c:pt>
                <c:pt idx="187">
                  <c:v>15.583333333333334</c:v>
                </c:pt>
                <c:pt idx="188">
                  <c:v>15.666666666666666</c:v>
                </c:pt>
                <c:pt idx="189">
                  <c:v>15.75</c:v>
                </c:pt>
                <c:pt idx="190">
                  <c:v>15.833333333333334</c:v>
                </c:pt>
                <c:pt idx="191">
                  <c:v>15.916666666666666</c:v>
                </c:pt>
                <c:pt idx="192">
                  <c:v>16</c:v>
                </c:pt>
                <c:pt idx="193">
                  <c:v>16.083333333333332</c:v>
                </c:pt>
                <c:pt idx="194">
                  <c:v>16.166666666666668</c:v>
                </c:pt>
                <c:pt idx="195">
                  <c:v>16.25</c:v>
                </c:pt>
                <c:pt idx="196">
                  <c:v>16.333333333333332</c:v>
                </c:pt>
                <c:pt idx="197">
                  <c:v>16.416666666666668</c:v>
                </c:pt>
                <c:pt idx="198">
                  <c:v>16.5</c:v>
                </c:pt>
                <c:pt idx="199">
                  <c:v>16.583333333333332</c:v>
                </c:pt>
                <c:pt idx="200">
                  <c:v>16.666666666666668</c:v>
                </c:pt>
                <c:pt idx="201">
                  <c:v>16.75</c:v>
                </c:pt>
                <c:pt idx="202">
                  <c:v>16.833333333333332</c:v>
                </c:pt>
                <c:pt idx="203">
                  <c:v>16.916666666666668</c:v>
                </c:pt>
                <c:pt idx="204">
                  <c:v>17</c:v>
                </c:pt>
                <c:pt idx="205">
                  <c:v>17.083333333333332</c:v>
                </c:pt>
                <c:pt idx="206">
                  <c:v>17.166666666666668</c:v>
                </c:pt>
                <c:pt idx="207">
                  <c:v>17.25</c:v>
                </c:pt>
                <c:pt idx="208">
                  <c:v>17.333333333333332</c:v>
                </c:pt>
                <c:pt idx="209">
                  <c:v>17.416666666666668</c:v>
                </c:pt>
                <c:pt idx="210">
                  <c:v>17.5</c:v>
                </c:pt>
                <c:pt idx="211">
                  <c:v>17.583333333333332</c:v>
                </c:pt>
                <c:pt idx="212">
                  <c:v>17.666666666666668</c:v>
                </c:pt>
                <c:pt idx="213">
                  <c:v>17.75</c:v>
                </c:pt>
                <c:pt idx="214">
                  <c:v>17.833333333333332</c:v>
                </c:pt>
                <c:pt idx="215">
                  <c:v>17.916666666666668</c:v>
                </c:pt>
                <c:pt idx="216">
                  <c:v>18</c:v>
                </c:pt>
                <c:pt idx="217">
                  <c:v>18.083333333333332</c:v>
                </c:pt>
                <c:pt idx="218">
                  <c:v>18.166666666666668</c:v>
                </c:pt>
                <c:pt idx="219">
                  <c:v>18.25</c:v>
                </c:pt>
                <c:pt idx="220">
                  <c:v>18.333333333333332</c:v>
                </c:pt>
                <c:pt idx="221">
                  <c:v>18.416666666666668</c:v>
                </c:pt>
                <c:pt idx="222">
                  <c:v>18.5</c:v>
                </c:pt>
                <c:pt idx="223">
                  <c:v>18.583333333333332</c:v>
                </c:pt>
                <c:pt idx="224">
                  <c:v>18.666666666666668</c:v>
                </c:pt>
                <c:pt idx="225">
                  <c:v>18.75</c:v>
                </c:pt>
                <c:pt idx="226">
                  <c:v>18.833333333333332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19.166666666666668</c:v>
                </c:pt>
                <c:pt idx="231">
                  <c:v>19.25</c:v>
                </c:pt>
                <c:pt idx="232">
                  <c:v>19.333333333333332</c:v>
                </c:pt>
                <c:pt idx="233">
                  <c:v>19.416666666666668</c:v>
                </c:pt>
                <c:pt idx="234">
                  <c:v>19.5</c:v>
                </c:pt>
                <c:pt idx="235">
                  <c:v>19.583333333333332</c:v>
                </c:pt>
                <c:pt idx="236">
                  <c:v>19.666666666666668</c:v>
                </c:pt>
                <c:pt idx="237">
                  <c:v>19.75</c:v>
                </c:pt>
                <c:pt idx="238">
                  <c:v>19.833333333333332</c:v>
                </c:pt>
                <c:pt idx="239">
                  <c:v>19.916666666666668</c:v>
                </c:pt>
                <c:pt idx="240">
                  <c:v>20</c:v>
                </c:pt>
              </c:numCache>
            </c:numRef>
          </c:cat>
          <c:val>
            <c:numRef>
              <c:f>Analysis!$G$102:$G$342</c:f>
              <c:numCache>
                <c:formatCode>0.0000</c:formatCode>
                <c:ptCount val="241"/>
                <c:pt idx="0">
                  <c:v>7.729383495161775</c:v>
                </c:pt>
                <c:pt idx="1">
                  <c:v>7.6769069228073405</c:v>
                </c:pt>
                <c:pt idx="2">
                  <c:v>7.625102800079695</c:v>
                </c:pt>
                <c:pt idx="3">
                  <c:v>7.5739625100193013</c:v>
                </c:pt>
                <c:pt idx="4">
                  <c:v>7.5234775460867764</c:v>
                </c:pt>
                <c:pt idx="5">
                  <c:v>7.4736395107479403</c:v>
                </c:pt>
                <c:pt idx="6">
                  <c:v>7.4244401140769858</c:v>
                </c:pt>
                <c:pt idx="7">
                  <c:v>7.3758711723775594</c:v>
                </c:pt>
                <c:pt idx="8">
                  <c:v>7.3279246068215027</c:v>
                </c:pt>
                <c:pt idx="9">
                  <c:v>7.2805924421050472</c:v>
                </c:pt>
                <c:pt idx="10">
                  <c:v>7.2338668051222186</c:v>
                </c:pt>
                <c:pt idx="11">
                  <c:v>7.1877399236552471</c:v>
                </c:pt>
                <c:pt idx="12">
                  <c:v>7.1422041250817596</c:v>
                </c:pt>
                <c:pt idx="13">
                  <c:v>7.0972518350985325</c:v>
                </c:pt>
                <c:pt idx="14">
                  <c:v>7.052875576461604</c:v>
                </c:pt>
                <c:pt idx="15">
                  <c:v>7.0090679677425305</c:v>
                </c:pt>
                <c:pt idx="16">
                  <c:v>6.9658217221005776</c:v>
                </c:pt>
                <c:pt idx="17">
                  <c:v>6.9231296460706453</c:v>
                </c:pt>
                <c:pt idx="18">
                  <c:v>6.8809846383667335</c:v>
                </c:pt>
                <c:pt idx="19">
                  <c:v>6.8393796887007205</c:v>
                </c:pt>
                <c:pt idx="20">
                  <c:v>6.7983078766163025</c:v>
                </c:pt>
                <c:pt idx="21">
                  <c:v>6.7577623703378578</c:v>
                </c:pt>
                <c:pt idx="22">
                  <c:v>6.7177364256340661</c:v>
                </c:pt>
                <c:pt idx="23">
                  <c:v>6.6782233846960937</c:v>
                </c:pt>
                <c:pt idx="24">
                  <c:v>6.6392166750301511</c:v>
                </c:pt>
                <c:pt idx="25">
                  <c:v>6.6007098083642415</c:v>
                </c:pt>
                <c:pt idx="26">
                  <c:v>6.5626963795689184</c:v>
                </c:pt>
                <c:pt idx="27">
                  <c:v>6.5251700655918743</c:v>
                </c:pt>
                <c:pt idx="28">
                  <c:v>6.4881246244061819</c:v>
                </c:pt>
                <c:pt idx="29">
                  <c:v>6.4515538939720081</c:v>
                </c:pt>
                <c:pt idx="30">
                  <c:v>6.4154517912116402</c:v>
                </c:pt>
                <c:pt idx="31">
                  <c:v>6.3798123109976448</c:v>
                </c:pt>
                <c:pt idx="32">
                  <c:v>6.3446295251539855</c:v>
                </c:pt>
                <c:pt idx="33">
                  <c:v>6.3098975814699489</c:v>
                </c:pt>
                <c:pt idx="34">
                  <c:v>6.2756107027267074</c:v>
                </c:pt>
                <c:pt idx="35">
                  <c:v>6.2417631857363407</c:v>
                </c:pt>
                <c:pt idx="36">
                  <c:v>6.2083494003931978</c:v>
                </c:pt>
                <c:pt idx="37">
                  <c:v>6.1753637887373873</c:v>
                </c:pt>
                <c:pt idx="38">
                  <c:v>6.1428008640302867</c:v>
                </c:pt>
                <c:pt idx="39">
                  <c:v>6.1106552098418963</c:v>
                </c:pt>
                <c:pt idx="40">
                  <c:v>6.0789214791498765</c:v>
                </c:pt>
                <c:pt idx="41">
                  <c:v>6.0475943934501473</c:v>
                </c:pt>
                <c:pt idx="42">
                  <c:v>6.0166687418788669</c:v>
                </c:pt>
                <c:pt idx="43">
                  <c:v>5.9861393803456791</c:v>
                </c:pt>
                <c:pt idx="44">
                  <c:v>5.9560012306780532</c:v>
                </c:pt>
                <c:pt idx="45">
                  <c:v>5.9262492797765951</c:v>
                </c:pt>
                <c:pt idx="46">
                  <c:v>5.8968785787811875</c:v>
                </c:pt>
                <c:pt idx="47">
                  <c:v>5.8678842422477997</c:v>
                </c:pt>
                <c:pt idx="48">
                  <c:v>5.8392614473358648</c:v>
                </c:pt>
                <c:pt idx="49">
                  <c:v>5.8110054330060557</c:v>
                </c:pt>
                <c:pt idx="50">
                  <c:v>5.783111499228351</c:v>
                </c:pt>
                <c:pt idx="51">
                  <c:v>5.7555750062002389</c:v>
                </c:pt>
                <c:pt idx="52">
                  <c:v>5.7283913735749508</c:v>
                </c:pt>
                <c:pt idx="53">
                  <c:v>5.701556079699575</c:v>
                </c:pt>
                <c:pt idx="54">
                  <c:v>5.6750646608629367</c:v>
                </c:pt>
                <c:pt idx="55">
                  <c:v>5.6489127105531214</c:v>
                </c:pt>
                <c:pt idx="56">
                  <c:v>5.6230958787244969</c:v>
                </c:pt>
                <c:pt idx="57">
                  <c:v>5.5976098710741509</c:v>
                </c:pt>
                <c:pt idx="58">
                  <c:v>5.5724504483275794</c:v>
                </c:pt>
                <c:pt idx="59">
                  <c:v>5.5476134255335401</c:v>
                </c:pt>
                <c:pt idx="60">
                  <c:v>5.5230946713679394</c:v>
                </c:pt>
                <c:pt idx="61">
                  <c:v>5.4988901074466359</c:v>
                </c:pt>
                <c:pt idx="62">
                  <c:v>5.4749957076470581</c:v>
                </c:pt>
                <c:pt idx="63">
                  <c:v>5.4514074974385043</c:v>
                </c:pt>
                <c:pt idx="64">
                  <c:v>5.4281215532210325</c:v>
                </c:pt>
                <c:pt idx="65">
                  <c:v>5.4051340016728204</c:v>
                </c:pt>
                <c:pt idx="66">
                  <c:v>5.3824410191058858</c:v>
                </c:pt>
                <c:pt idx="67">
                  <c:v>5.3600388308300637</c:v>
                </c:pt>
                <c:pt idx="68">
                  <c:v>5.3379237105251374</c:v>
                </c:pt>
                <c:pt idx="69">
                  <c:v>5.3160919796210075</c:v>
                </c:pt>
                <c:pt idx="70">
                  <c:v>5.2945400066858141</c:v>
                </c:pt>
                <c:pt idx="71">
                  <c:v>5.2732642068218905</c:v>
                </c:pt>
                <c:pt idx="72">
                  <c:v>5.2522610410694606</c:v>
                </c:pt>
                <c:pt idx="73">
                  <c:v>5.2315270158179796</c:v>
                </c:pt>
                <c:pt idx="74">
                  <c:v>5.2110586822250173</c:v>
                </c:pt>
                <c:pt idx="75">
                  <c:v>5.1908526356425817</c:v>
                </c:pt>
                <c:pt idx="76">
                  <c:v>5.1709055150508041</c:v>
                </c:pt>
                <c:pt idx="77">
                  <c:v>5.1512140024988735</c:v>
                </c:pt>
                <c:pt idx="78">
                  <c:v>5.1317748225531403</c:v>
                </c:pt>
                <c:pt idx="79">
                  <c:v>5.1125847417522836</c:v>
                </c:pt>
                <c:pt idx="80">
                  <c:v>5.0936405680694712</c:v>
                </c:pt>
                <c:pt idx="81">
                  <c:v>5.0749391503814074</c:v>
                </c:pt>
                <c:pt idx="82">
                  <c:v>5.0564773779441756</c:v>
                </c:pt>
                <c:pt idx="83">
                  <c:v>5.0382521798758146</c:v>
                </c:pt>
                <c:pt idx="84">
                  <c:v>5.0202605246455123</c:v>
                </c:pt>
                <c:pt idx="85">
                  <c:v>5.0024994195693466</c:v>
                </c:pt>
                <c:pt idx="86">
                  <c:v>4.9849659103124955</c:v>
                </c:pt>
                <c:pt idx="87">
                  <c:v>4.9676570803978164</c:v>
                </c:pt>
                <c:pt idx="88">
                  <c:v>4.9505700507207306</c:v>
                </c:pt>
                <c:pt idx="89">
                  <c:v>4.9337019790703165</c:v>
                </c:pt>
                <c:pt idx="90">
                  <c:v>4.9170500596565496</c:v>
                </c:pt>
                <c:pt idx="91">
                  <c:v>4.9006115226435885</c:v>
                </c:pt>
                <c:pt idx="92">
                  <c:v>4.8843836336890538</c:v>
                </c:pt>
                <c:pt idx="93">
                  <c:v>4.8683636934891998</c:v>
                </c:pt>
                <c:pt idx="94">
                  <c:v>4.8525490373299238</c:v>
                </c:pt>
                <c:pt idx="95">
                  <c:v>4.836937034643519</c:v>
                </c:pt>
                <c:pt idx="96">
                  <c:v>4.8215250885711214</c:v>
                </c:pt>
                <c:pt idx="97">
                  <c:v>4.806310635530747</c:v>
                </c:pt>
                <c:pt idx="98">
                  <c:v>4.7912911447908764</c:v>
                </c:pt>
                <c:pt idx="99">
                  <c:v>4.7764641180494998</c:v>
                </c:pt>
                <c:pt idx="100">
                  <c:v>4.7618270890185528</c:v>
                </c:pt>
                <c:pt idx="101">
                  <c:v>4.7473776230136879</c:v>
                </c:pt>
                <c:pt idx="102">
                  <c:v>4.7331133165492858</c:v>
                </c:pt>
                <c:pt idx="103">
                  <c:v>4.7190317969386752</c:v>
                </c:pt>
                <c:pt idx="104">
                  <c:v>4.7051307218994589</c:v>
                </c:pt>
                <c:pt idx="105">
                  <c:v>4.6914077791639102</c:v>
                </c:pt>
                <c:pt idx="106">
                  <c:v>4.6778606860943537</c:v>
                </c:pt>
                <c:pt idx="107">
                  <c:v>4.6644871893034781</c:v>
                </c:pt>
                <c:pt idx="108">
                  <c:v>4.6512850642795147</c:v>
                </c:pt>
                <c:pt idx="109">
                  <c:v>4.6382521150162175</c:v>
                </c:pt>
                <c:pt idx="110">
                  <c:v>4.6253861736475823</c:v>
                </c:pt>
                <c:pt idx="111">
                  <c:v>4.6126851000872566</c:v>
                </c:pt>
                <c:pt idx="112">
                  <c:v>4.6001467816725548</c:v>
                </c:pt>
                <c:pt idx="113">
                  <c:v>4.5877691328130528</c:v>
                </c:pt>
                <c:pt idx="114">
                  <c:v>4.575550094643666</c:v>
                </c:pt>
                <c:pt idx="115">
                  <c:v>4.5634876346821924</c:v>
                </c:pt>
                <c:pt idx="116">
                  <c:v>4.5515797464912326</c:v>
                </c:pt>
                <c:pt idx="117">
                  <c:v>4.5398244493444384</c:v>
                </c:pt>
                <c:pt idx="118">
                  <c:v>4.5282197878970516</c:v>
                </c:pt>
                <c:pt idx="119">
                  <c:v>4.5167638318606551</c:v>
                </c:pt>
                <c:pt idx="120">
                  <c:v>4.5054546756820919</c:v>
                </c:pt>
                <c:pt idx="121">
                  <c:v>4.4942904382264999</c:v>
                </c:pt>
                <c:pt idx="122">
                  <c:v>4.4832692624644128</c:v>
                </c:pt>
                <c:pt idx="123">
                  <c:v>4.4723893151628662</c:v>
                </c:pt>
                <c:pt idx="124">
                  <c:v>4.4616487865804562</c:v>
                </c:pt>
                <c:pt idx="125">
                  <c:v>4.4510458901663208</c:v>
                </c:pt>
                <c:pt idx="126">
                  <c:v>4.4405788622629636</c:v>
                </c:pt>
                <c:pt idx="127">
                  <c:v>4.4302459618128953</c:v>
                </c:pt>
                <c:pt idx="128">
                  <c:v>4.4200454700690273</c:v>
                </c:pt>
                <c:pt idx="129">
                  <c:v>4.4099756903087819</c:v>
                </c:pt>
                <c:pt idx="130">
                  <c:v>4.400034947551867</c:v>
                </c:pt>
                <c:pt idx="131">
                  <c:v>4.3902215882816575</c:v>
                </c:pt>
                <c:pt idx="132">
                  <c:v>4.3805339801701599</c:v>
                </c:pt>
                <c:pt idx="133">
                  <c:v>4.3709705118064921</c:v>
                </c:pt>
                <c:pt idx="134">
                  <c:v>4.3615295924288464</c:v>
                </c:pt>
                <c:pt idx="135">
                  <c:v>4.3522096516598854</c:v>
                </c:pt>
                <c:pt idx="136">
                  <c:v>4.3430091392455337</c:v>
                </c:pt>
                <c:pt idx="137">
                  <c:v>4.3339265247971062</c:v>
                </c:pt>
                <c:pt idx="138">
                  <c:v>4.3249602975367525</c:v>
                </c:pt>
                <c:pt idx="139">
                  <c:v>4.3161089660461576</c:v>
                </c:pt>
                <c:pt idx="140">
                  <c:v>4.3073710580184592</c:v>
                </c:pt>
                <c:pt idx="141">
                  <c:v>4.2987451200133551</c:v>
                </c:pt>
                <c:pt idx="142">
                  <c:v>4.2902297172153334</c:v>
                </c:pt>
                <c:pt idx="143">
                  <c:v>4.2818234331950169</c:v>
                </c:pt>
                <c:pt idx="144">
                  <c:v>4.2735248696735546</c:v>
                </c:pt>
                <c:pt idx="145">
                  <c:v>4.2653326462900338</c:v>
                </c:pt>
                <c:pt idx="146">
                  <c:v>4.2572454003718772</c:v>
                </c:pt>
                <c:pt idx="147">
                  <c:v>4.249261786708181</c:v>
                </c:pt>
                <c:pt idx="148">
                  <c:v>4.2413804773259516</c:v>
                </c:pt>
                <c:pt idx="149">
                  <c:v>4.2336001612692176</c:v>
                </c:pt>
                <c:pt idx="150">
                  <c:v>4.2259195443809681</c:v>
                </c:pt>
                <c:pt idx="151">
                  <c:v>4.2183373490878857</c:v>
                </c:pt>
                <c:pt idx="152">
                  <c:v>4.2108523141878376</c:v>
                </c:pt>
                <c:pt idx="153">
                  <c:v>4.2034631946400918</c:v>
                </c:pt>
                <c:pt idx="154">
                  <c:v>4.1961687613582219</c:v>
                </c:pt>
                <c:pt idx="155">
                  <c:v>4.1889678010056608</c:v>
                </c:pt>
                <c:pt idx="156">
                  <c:v>4.1818591157938769</c:v>
                </c:pt>
                <c:pt idx="157">
                  <c:v>4.1748415232831446</c:v>
                </c:pt>
                <c:pt idx="158">
                  <c:v>4.1679138561858498</c:v>
                </c:pt>
                <c:pt idx="159">
                  <c:v>4.1610749621723349</c:v>
                </c:pt>
                <c:pt idx="160">
                  <c:v>4.1543237036792187</c:v>
                </c:pt>
                <c:pt idx="161">
                  <c:v>4.1476589577201786</c:v>
                </c:pt>
                <c:pt idx="162">
                  <c:v>4.1410796156991578</c:v>
                </c:pt>
                <c:pt idx="163">
                  <c:v>4.1345845832259611</c:v>
                </c:pt>
                <c:pt idx="164">
                  <c:v>4.1281727799342187</c:v>
                </c:pt>
                <c:pt idx="165">
                  <c:v>4.1218431393016797</c:v>
                </c:pt>
                <c:pt idx="166">
                  <c:v>4.1155946084728132</c:v>
                </c:pt>
                <c:pt idx="167">
                  <c:v>4.1094261480836751</c:v>
                </c:pt>
                <c:pt idx="168">
                  <c:v>4.1033367320890237</c:v>
                </c:pt>
                <c:pt idx="169">
                  <c:v>4.0973253475916538</c:v>
                </c:pt>
                <c:pt idx="170">
                  <c:v>4.0913909946739073</c:v>
                </c:pt>
                <c:pt idx="171">
                  <c:v>4.0855326862313568</c:v>
                </c:pt>
                <c:pt idx="172">
                  <c:v>4.0797494478086085</c:v>
                </c:pt>
                <c:pt idx="173">
                  <c:v>4.0740403174372162</c:v>
                </c:pt>
                <c:pt idx="174">
                  <c:v>4.0684043454756678</c:v>
                </c:pt>
                <c:pt idx="175">
                  <c:v>4.0628405944514272</c:v>
                </c:pt>
                <c:pt idx="176">
                  <c:v>4.0573481389049952</c:v>
                </c:pt>
                <c:pt idx="177">
                  <c:v>4.051926065235973</c:v>
                </c:pt>
                <c:pt idx="178">
                  <c:v>4.0465734715510964</c:v>
                </c:pt>
                <c:pt idx="179">
                  <c:v>4.0412894675142139</c:v>
                </c:pt>
                <c:pt idx="180">
                  <c:v>4.0360731741981946</c:v>
                </c:pt>
                <c:pt idx="181">
                  <c:v>4.0309237239387272</c:v>
                </c:pt>
                <c:pt idx="182">
                  <c:v>4.0258402601899981</c:v>
                </c:pt>
                <c:pt idx="183">
                  <c:v>4.0208219373822116</c:v>
                </c:pt>
                <c:pt idx="184">
                  <c:v>4.0158679207809431</c:v>
                </c:pt>
                <c:pt idx="185">
                  <c:v>4.0109773863482916</c:v>
                </c:pt>
                <c:pt idx="186">
                  <c:v>4.0061495206058098</c:v>
                </c:pt>
                <c:pt idx="187">
                  <c:v>4.0013835204991919</c:v>
                </c:pt>
                <c:pt idx="188">
                  <c:v>3.9966785932646998</c:v>
                </c:pt>
                <c:pt idx="189">
                  <c:v>3.9920339562972913</c:v>
                </c:pt>
                <c:pt idx="190">
                  <c:v>3.9874488370204477</c:v>
                </c:pt>
                <c:pt idx="191">
                  <c:v>3.9829224727576644</c:v>
                </c:pt>
                <c:pt idx="192">
                  <c:v>3.9784541106055871</c:v>
                </c:pt>
                <c:pt idx="193">
                  <c:v>3.9740430073087807</c:v>
                </c:pt>
                <c:pt idx="194">
                  <c:v>3.9696884291360925</c:v>
                </c:pt>
                <c:pt idx="195">
                  <c:v>3.9653896517586102</c:v>
                </c:pt>
                <c:pt idx="196">
                  <c:v>3.9611459601291754</c:v>
                </c:pt>
                <c:pt idx="197">
                  <c:v>3.9569566483634473</c:v>
                </c:pt>
                <c:pt idx="198">
                  <c:v>3.952821019622486</c:v>
                </c:pt>
                <c:pt idx="199">
                  <c:v>3.9487383859968417</c:v>
                </c:pt>
                <c:pt idx="200">
                  <c:v>3.9447080683921323</c:v>
                </c:pt>
                <c:pt idx="201">
                  <c:v>3.9407293964160823</c:v>
                </c:pt>
                <c:pt idx="202">
                  <c:v>3.9368017082670117</c:v>
                </c:pt>
                <c:pt idx="203">
                  <c:v>3.9329243506237548</c:v>
                </c:pt>
                <c:pt idx="204">
                  <c:v>3.9290966785369887</c:v>
                </c:pt>
                <c:pt idx="205">
                  <c:v>3.9253180553219518</c:v>
                </c:pt>
                <c:pt idx="206">
                  <c:v>3.921587852452542</c:v>
                </c:pt>
                <c:pt idx="207">
                  <c:v>3.917905449456768</c:v>
                </c:pt>
                <c:pt idx="208">
                  <c:v>3.9142702338135416</c:v>
                </c:pt>
                <c:pt idx="209">
                  <c:v>3.9106816008507934</c:v>
                </c:pt>
                <c:pt idx="210">
                  <c:v>3.9071389536448931</c:v>
                </c:pt>
                <c:pt idx="211">
                  <c:v>3.903641702921357</c:v>
                </c:pt>
                <c:pt idx="212">
                  <c:v>3.9001892669568328</c:v>
                </c:pt>
                <c:pt idx="213">
                  <c:v>3.896781071482335</c:v>
                </c:pt>
                <c:pt idx="214">
                  <c:v>3.8934165495877227</c:v>
                </c:pt>
                <c:pt idx="215">
                  <c:v>3.8900951416274023</c:v>
                </c:pt>
                <c:pt idx="216">
                  <c:v>3.8868162951272365</c:v>
                </c:pt>
                <c:pt idx="217">
                  <c:v>3.8835794646926485</c:v>
                </c:pt>
                <c:pt idx="218">
                  <c:v>3.880384111917901</c:v>
                </c:pt>
                <c:pt idx="219">
                  <c:v>3.8772297052965405</c:v>
                </c:pt>
                <c:pt idx="220">
                  <c:v>3.8741157201329863</c:v>
                </c:pt>
                <c:pt idx="221">
                  <c:v>3.8710416384552566</c:v>
                </c:pt>
                <c:pt idx="222">
                  <c:v>3.8680069489288087</c:v>
                </c:pt>
                <c:pt idx="223">
                  <c:v>3.8650111467714834</c:v>
                </c:pt>
                <c:pt idx="224">
                  <c:v>3.8620537336695451</c:v>
                </c:pt>
                <c:pt idx="225">
                  <c:v>3.8591342176947903</c:v>
                </c:pt>
                <c:pt idx="226">
                  <c:v>3.8562521132227219</c:v>
                </c:pt>
                <c:pt idx="227">
                  <c:v>3.853406940851773</c:v>
                </c:pt>
                <c:pt idx="228">
                  <c:v>3.8505982273235642</c:v>
                </c:pt>
                <c:pt idx="229">
                  <c:v>3.8478255054441819</c:v>
                </c:pt>
                <c:pt idx="230">
                  <c:v>3.8450883140064676</c:v>
                </c:pt>
                <c:pt idx="231">
                  <c:v>3.8423861977133016</c:v>
                </c:pt>
                <c:pt idx="232">
                  <c:v>3.8397187071018704</c:v>
                </c:pt>
                <c:pt idx="233">
                  <c:v>3.8370853984689037</c:v>
                </c:pt>
                <c:pt idx="234">
                  <c:v>3.8344858337968706</c:v>
                </c:pt>
                <c:pt idx="235">
                  <c:v>3.8319195806811206</c:v>
                </c:pt>
                <c:pt idx="236">
                  <c:v>3.8293862122579583</c:v>
                </c:pt>
                <c:pt idx="237">
                  <c:v>3.8268853071336402</c:v>
                </c:pt>
                <c:pt idx="238">
                  <c:v>3.8244164493142816</c:v>
                </c:pt>
                <c:pt idx="239">
                  <c:v>3.8219792281366614</c:v>
                </c:pt>
                <c:pt idx="240">
                  <c:v>3.8195732381999123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7F0-408F-A621-E5F6A2F28B2D}"/>
            </c:ext>
          </c:extLst>
        </c:ser>
        <c:ser>
          <c:idx val="4"/>
          <c:order val="4"/>
          <c:tx>
            <c:v>DOPC 2 fit</c:v>
          </c:tx>
          <c:spPr>
            <a:ln w="14288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numRef>
              <c:f>Analysis!$A$102:$A$342</c:f>
              <c:numCache>
                <c:formatCode>0.0000</c:formatCode>
                <c:ptCount val="241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1.1666666666666667</c:v>
                </c:pt>
                <c:pt idx="15">
                  <c:v>1.25</c:v>
                </c:pt>
                <c:pt idx="16">
                  <c:v>1.3333333333333333</c:v>
                </c:pt>
                <c:pt idx="17">
                  <c:v>1.4166666666666667</c:v>
                </c:pt>
                <c:pt idx="18">
                  <c:v>1.5</c:v>
                </c:pt>
                <c:pt idx="19">
                  <c:v>1.5833333333333333</c:v>
                </c:pt>
                <c:pt idx="20">
                  <c:v>1.6666666666666667</c:v>
                </c:pt>
                <c:pt idx="21">
                  <c:v>1.75</c:v>
                </c:pt>
                <c:pt idx="22">
                  <c:v>1.8333333333333333</c:v>
                </c:pt>
                <c:pt idx="23">
                  <c:v>1.9166666666666667</c:v>
                </c:pt>
                <c:pt idx="24">
                  <c:v>2</c:v>
                </c:pt>
                <c:pt idx="25">
                  <c:v>2.0833333333333335</c:v>
                </c:pt>
                <c:pt idx="26">
                  <c:v>2.1666666666666665</c:v>
                </c:pt>
                <c:pt idx="27">
                  <c:v>2.25</c:v>
                </c:pt>
                <c:pt idx="28">
                  <c:v>2.3333333333333335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2.6666666666666665</c:v>
                </c:pt>
                <c:pt idx="33">
                  <c:v>2.75</c:v>
                </c:pt>
                <c:pt idx="34">
                  <c:v>2.8333333333333335</c:v>
                </c:pt>
                <c:pt idx="35">
                  <c:v>2.9166666666666665</c:v>
                </c:pt>
                <c:pt idx="36">
                  <c:v>3</c:v>
                </c:pt>
                <c:pt idx="37">
                  <c:v>3.0833333333333335</c:v>
                </c:pt>
                <c:pt idx="38">
                  <c:v>3.1666666666666665</c:v>
                </c:pt>
                <c:pt idx="39">
                  <c:v>3.25</c:v>
                </c:pt>
                <c:pt idx="40">
                  <c:v>3.3333333333333335</c:v>
                </c:pt>
                <c:pt idx="41">
                  <c:v>3.4166666666666665</c:v>
                </c:pt>
                <c:pt idx="42">
                  <c:v>3.5</c:v>
                </c:pt>
                <c:pt idx="43">
                  <c:v>3.5833333333333335</c:v>
                </c:pt>
                <c:pt idx="44">
                  <c:v>3.6666666666666665</c:v>
                </c:pt>
                <c:pt idx="45">
                  <c:v>3.75</c:v>
                </c:pt>
                <c:pt idx="46">
                  <c:v>3.8333333333333335</c:v>
                </c:pt>
                <c:pt idx="47">
                  <c:v>3.9166666666666665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8.0833333333333339</c:v>
                </c:pt>
                <c:pt idx="98">
                  <c:v>8.1666666666666661</c:v>
                </c:pt>
                <c:pt idx="99">
                  <c:v>8.25</c:v>
                </c:pt>
                <c:pt idx="100">
                  <c:v>8.3333333333333339</c:v>
                </c:pt>
                <c:pt idx="101">
                  <c:v>8.4166666666666661</c:v>
                </c:pt>
                <c:pt idx="102">
                  <c:v>8.5</c:v>
                </c:pt>
                <c:pt idx="103">
                  <c:v>8.5833333333333339</c:v>
                </c:pt>
                <c:pt idx="104">
                  <c:v>8.6666666666666661</c:v>
                </c:pt>
                <c:pt idx="105">
                  <c:v>8.75</c:v>
                </c:pt>
                <c:pt idx="106">
                  <c:v>8.8333333333333339</c:v>
                </c:pt>
                <c:pt idx="107">
                  <c:v>8.9166666666666661</c:v>
                </c:pt>
                <c:pt idx="108">
                  <c:v>9</c:v>
                </c:pt>
                <c:pt idx="109">
                  <c:v>9.0833333333333339</c:v>
                </c:pt>
                <c:pt idx="110">
                  <c:v>9.1666666666666661</c:v>
                </c:pt>
                <c:pt idx="111">
                  <c:v>9.25</c:v>
                </c:pt>
                <c:pt idx="112">
                  <c:v>9.3333333333333339</c:v>
                </c:pt>
                <c:pt idx="113">
                  <c:v>9.4166666666666661</c:v>
                </c:pt>
                <c:pt idx="114">
                  <c:v>9.5</c:v>
                </c:pt>
                <c:pt idx="115">
                  <c:v>9.5833333333333339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9.9166666666666661</c:v>
                </c:pt>
                <c:pt idx="120">
                  <c:v>10</c:v>
                </c:pt>
                <c:pt idx="121">
                  <c:v>10.083333333333334</c:v>
                </c:pt>
                <c:pt idx="122">
                  <c:v>10.166666666666666</c:v>
                </c:pt>
                <c:pt idx="123">
                  <c:v>10.25</c:v>
                </c:pt>
                <c:pt idx="124">
                  <c:v>10.333333333333334</c:v>
                </c:pt>
                <c:pt idx="125">
                  <c:v>10.416666666666666</c:v>
                </c:pt>
                <c:pt idx="126">
                  <c:v>10.5</c:v>
                </c:pt>
                <c:pt idx="127">
                  <c:v>10.583333333333334</c:v>
                </c:pt>
                <c:pt idx="128">
                  <c:v>10.666666666666666</c:v>
                </c:pt>
                <c:pt idx="129">
                  <c:v>10.75</c:v>
                </c:pt>
                <c:pt idx="130">
                  <c:v>10.833333333333334</c:v>
                </c:pt>
                <c:pt idx="131">
                  <c:v>10.916666666666666</c:v>
                </c:pt>
                <c:pt idx="132">
                  <c:v>11</c:v>
                </c:pt>
                <c:pt idx="133">
                  <c:v>11.083333333333334</c:v>
                </c:pt>
                <c:pt idx="134">
                  <c:v>11.166666666666666</c:v>
                </c:pt>
                <c:pt idx="135">
                  <c:v>11.25</c:v>
                </c:pt>
                <c:pt idx="136">
                  <c:v>11.333333333333334</c:v>
                </c:pt>
                <c:pt idx="137">
                  <c:v>11.416666666666666</c:v>
                </c:pt>
                <c:pt idx="138">
                  <c:v>11.5</c:v>
                </c:pt>
                <c:pt idx="139">
                  <c:v>11.583333333333334</c:v>
                </c:pt>
                <c:pt idx="140">
                  <c:v>11.666666666666666</c:v>
                </c:pt>
                <c:pt idx="141">
                  <c:v>11.75</c:v>
                </c:pt>
                <c:pt idx="142">
                  <c:v>11.833333333333334</c:v>
                </c:pt>
                <c:pt idx="143">
                  <c:v>11.916666666666666</c:v>
                </c:pt>
                <c:pt idx="144">
                  <c:v>12</c:v>
                </c:pt>
                <c:pt idx="145">
                  <c:v>12.083333333333334</c:v>
                </c:pt>
                <c:pt idx="146">
                  <c:v>12.166666666666666</c:v>
                </c:pt>
                <c:pt idx="147">
                  <c:v>12.25</c:v>
                </c:pt>
                <c:pt idx="148">
                  <c:v>12.333333333333334</c:v>
                </c:pt>
                <c:pt idx="149">
                  <c:v>12.416666666666666</c:v>
                </c:pt>
                <c:pt idx="150">
                  <c:v>12.5</c:v>
                </c:pt>
                <c:pt idx="151">
                  <c:v>12.583333333333334</c:v>
                </c:pt>
                <c:pt idx="152">
                  <c:v>12.666666666666666</c:v>
                </c:pt>
                <c:pt idx="153">
                  <c:v>12.75</c:v>
                </c:pt>
                <c:pt idx="154">
                  <c:v>12.833333333333334</c:v>
                </c:pt>
                <c:pt idx="155">
                  <c:v>12.916666666666666</c:v>
                </c:pt>
                <c:pt idx="156">
                  <c:v>13</c:v>
                </c:pt>
                <c:pt idx="157">
                  <c:v>13.083333333333334</c:v>
                </c:pt>
                <c:pt idx="158">
                  <c:v>13.166666666666666</c:v>
                </c:pt>
                <c:pt idx="159">
                  <c:v>13.25</c:v>
                </c:pt>
                <c:pt idx="160">
                  <c:v>13.333333333333334</c:v>
                </c:pt>
                <c:pt idx="161">
                  <c:v>13.416666666666666</c:v>
                </c:pt>
                <c:pt idx="162">
                  <c:v>13.5</c:v>
                </c:pt>
                <c:pt idx="163">
                  <c:v>13.583333333333334</c:v>
                </c:pt>
                <c:pt idx="164">
                  <c:v>13.666666666666666</c:v>
                </c:pt>
                <c:pt idx="165">
                  <c:v>13.75</c:v>
                </c:pt>
                <c:pt idx="166">
                  <c:v>13.833333333333334</c:v>
                </c:pt>
                <c:pt idx="167">
                  <c:v>13.916666666666666</c:v>
                </c:pt>
                <c:pt idx="168">
                  <c:v>14</c:v>
                </c:pt>
                <c:pt idx="169">
                  <c:v>14.083333333333334</c:v>
                </c:pt>
                <c:pt idx="170">
                  <c:v>14.166666666666666</c:v>
                </c:pt>
                <c:pt idx="171">
                  <c:v>14.25</c:v>
                </c:pt>
                <c:pt idx="172">
                  <c:v>14.333333333333334</c:v>
                </c:pt>
                <c:pt idx="173">
                  <c:v>14.416666666666666</c:v>
                </c:pt>
                <c:pt idx="174">
                  <c:v>14.5</c:v>
                </c:pt>
                <c:pt idx="175">
                  <c:v>14.583333333333334</c:v>
                </c:pt>
                <c:pt idx="176">
                  <c:v>14.666666666666666</c:v>
                </c:pt>
                <c:pt idx="177">
                  <c:v>14.75</c:v>
                </c:pt>
                <c:pt idx="178">
                  <c:v>14.833333333333334</c:v>
                </c:pt>
                <c:pt idx="179">
                  <c:v>14.916666666666666</c:v>
                </c:pt>
                <c:pt idx="180">
                  <c:v>15</c:v>
                </c:pt>
                <c:pt idx="181">
                  <c:v>15.083333333333334</c:v>
                </c:pt>
                <c:pt idx="182">
                  <c:v>15.166666666666666</c:v>
                </c:pt>
                <c:pt idx="183">
                  <c:v>15.25</c:v>
                </c:pt>
                <c:pt idx="184">
                  <c:v>15.333333333333334</c:v>
                </c:pt>
                <c:pt idx="185">
                  <c:v>15.416666666666666</c:v>
                </c:pt>
                <c:pt idx="186">
                  <c:v>15.5</c:v>
                </c:pt>
                <c:pt idx="187">
                  <c:v>15.583333333333334</c:v>
                </c:pt>
                <c:pt idx="188">
                  <c:v>15.666666666666666</c:v>
                </c:pt>
                <c:pt idx="189">
                  <c:v>15.75</c:v>
                </c:pt>
                <c:pt idx="190">
                  <c:v>15.833333333333334</c:v>
                </c:pt>
                <c:pt idx="191">
                  <c:v>15.916666666666666</c:v>
                </c:pt>
                <c:pt idx="192">
                  <c:v>16</c:v>
                </c:pt>
                <c:pt idx="193">
                  <c:v>16.083333333333332</c:v>
                </c:pt>
                <c:pt idx="194">
                  <c:v>16.166666666666668</c:v>
                </c:pt>
                <c:pt idx="195">
                  <c:v>16.25</c:v>
                </c:pt>
                <c:pt idx="196">
                  <c:v>16.333333333333332</c:v>
                </c:pt>
                <c:pt idx="197">
                  <c:v>16.416666666666668</c:v>
                </c:pt>
                <c:pt idx="198">
                  <c:v>16.5</c:v>
                </c:pt>
                <c:pt idx="199">
                  <c:v>16.583333333333332</c:v>
                </c:pt>
                <c:pt idx="200">
                  <c:v>16.666666666666668</c:v>
                </c:pt>
                <c:pt idx="201">
                  <c:v>16.75</c:v>
                </c:pt>
                <c:pt idx="202">
                  <c:v>16.833333333333332</c:v>
                </c:pt>
                <c:pt idx="203">
                  <c:v>16.916666666666668</c:v>
                </c:pt>
                <c:pt idx="204">
                  <c:v>17</c:v>
                </c:pt>
                <c:pt idx="205">
                  <c:v>17.083333333333332</c:v>
                </c:pt>
                <c:pt idx="206">
                  <c:v>17.166666666666668</c:v>
                </c:pt>
                <c:pt idx="207">
                  <c:v>17.25</c:v>
                </c:pt>
                <c:pt idx="208">
                  <c:v>17.333333333333332</c:v>
                </c:pt>
                <c:pt idx="209">
                  <c:v>17.416666666666668</c:v>
                </c:pt>
                <c:pt idx="210">
                  <c:v>17.5</c:v>
                </c:pt>
                <c:pt idx="211">
                  <c:v>17.583333333333332</c:v>
                </c:pt>
                <c:pt idx="212">
                  <c:v>17.666666666666668</c:v>
                </c:pt>
                <c:pt idx="213">
                  <c:v>17.75</c:v>
                </c:pt>
                <c:pt idx="214">
                  <c:v>17.833333333333332</c:v>
                </c:pt>
                <c:pt idx="215">
                  <c:v>17.916666666666668</c:v>
                </c:pt>
                <c:pt idx="216">
                  <c:v>18</c:v>
                </c:pt>
                <c:pt idx="217">
                  <c:v>18.083333333333332</c:v>
                </c:pt>
                <c:pt idx="218">
                  <c:v>18.166666666666668</c:v>
                </c:pt>
                <c:pt idx="219">
                  <c:v>18.25</c:v>
                </c:pt>
                <c:pt idx="220">
                  <c:v>18.333333333333332</c:v>
                </c:pt>
                <c:pt idx="221">
                  <c:v>18.416666666666668</c:v>
                </c:pt>
                <c:pt idx="222">
                  <c:v>18.5</c:v>
                </c:pt>
                <c:pt idx="223">
                  <c:v>18.583333333333332</c:v>
                </c:pt>
                <c:pt idx="224">
                  <c:v>18.666666666666668</c:v>
                </c:pt>
                <c:pt idx="225">
                  <c:v>18.75</c:v>
                </c:pt>
                <c:pt idx="226">
                  <c:v>18.833333333333332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19.166666666666668</c:v>
                </c:pt>
                <c:pt idx="231">
                  <c:v>19.25</c:v>
                </c:pt>
                <c:pt idx="232">
                  <c:v>19.333333333333332</c:v>
                </c:pt>
                <c:pt idx="233">
                  <c:v>19.416666666666668</c:v>
                </c:pt>
                <c:pt idx="234">
                  <c:v>19.5</c:v>
                </c:pt>
                <c:pt idx="235">
                  <c:v>19.583333333333332</c:v>
                </c:pt>
                <c:pt idx="236">
                  <c:v>19.666666666666668</c:v>
                </c:pt>
                <c:pt idx="237">
                  <c:v>19.75</c:v>
                </c:pt>
                <c:pt idx="238">
                  <c:v>19.833333333333332</c:v>
                </c:pt>
                <c:pt idx="239">
                  <c:v>19.916666666666668</c:v>
                </c:pt>
                <c:pt idx="240">
                  <c:v>20</c:v>
                </c:pt>
              </c:numCache>
            </c:numRef>
          </c:cat>
          <c:val>
            <c:numRef>
              <c:f>Analysis!$H$102:$H$342</c:f>
              <c:numCache>
                <c:formatCode>0.0000</c:formatCode>
                <c:ptCount val="241"/>
                <c:pt idx="0">
                  <c:v>7.7361384749357054</c:v>
                </c:pt>
                <c:pt idx="1">
                  <c:v>7.6411779571600906</c:v>
                </c:pt>
                <c:pt idx="2">
                  <c:v>7.5483218699632211</c:v>
                </c:pt>
                <c:pt idx="3">
                  <c:v>7.4575235768253663</c:v>
                </c:pt>
                <c:pt idx="4">
                  <c:v>7.3687374747438898</c:v>
                </c:pt>
                <c:pt idx="5">
                  <c:v>7.2819189713293611</c:v>
                </c:pt>
                <c:pt idx="6">
                  <c:v>7.1970244624092388</c:v>
                </c:pt>
                <c:pt idx="7">
                  <c:v>7.1140113101278963</c:v>
                </c:pt>
                <c:pt idx="8">
                  <c:v>7.032837821531956</c:v>
                </c:pt>
                <c:pt idx="9">
                  <c:v>6.9534632276302126</c:v>
                </c:pt>
                <c:pt idx="10">
                  <c:v>6.8758476629176002</c:v>
                </c:pt>
                <c:pt idx="11">
                  <c:v>6.7999521453529379</c:v>
                </c:pt>
                <c:pt idx="12">
                  <c:v>6.7257385567803869</c:v>
                </c:pt>
                <c:pt idx="13">
                  <c:v>6.6531696237847946</c:v>
                </c:pt>
                <c:pt idx="14">
                  <c:v>6.582208898971297</c:v>
                </c:pt>
                <c:pt idx="15">
                  <c:v>6.512820742659799</c:v>
                </c:pt>
                <c:pt idx="16">
                  <c:v>6.4449703049851106</c:v>
                </c:pt>
                <c:pt idx="17">
                  <c:v>6.3786235083937743</c:v>
                </c:pt>
                <c:pt idx="18">
                  <c:v>6.3137470305287806</c:v>
                </c:pt>
                <c:pt idx="19">
                  <c:v>6.2503082874935707</c:v>
                </c:pt>
                <c:pt idx="20">
                  <c:v>6.1882754174869374</c:v>
                </c:pt>
                <c:pt idx="21">
                  <c:v>6.1276172648005893</c:v>
                </c:pt>
                <c:pt idx="22">
                  <c:v>6.0683033641713422</c:v>
                </c:pt>
                <c:pt idx="23">
                  <c:v>6.0103039254800947</c:v>
                </c:pt>
                <c:pt idx="24">
                  <c:v>5.953589818789883</c:v>
                </c:pt>
                <c:pt idx="25">
                  <c:v>5.8981325597155108</c:v>
                </c:pt>
                <c:pt idx="26">
                  <c:v>5.8439042951174027</c:v>
                </c:pt>
                <c:pt idx="27">
                  <c:v>5.7908777891125052</c:v>
                </c:pt>
                <c:pt idx="28">
                  <c:v>5.7390264093951906</c:v>
                </c:pt>
                <c:pt idx="29">
                  <c:v>5.6883241138613183</c:v>
                </c:pt>
                <c:pt idx="30">
                  <c:v>5.6387454375287014</c:v>
                </c:pt>
                <c:pt idx="31">
                  <c:v>5.5902654797474582</c:v>
                </c:pt>
                <c:pt idx="32">
                  <c:v>5.5428598916937712</c:v>
                </c:pt>
                <c:pt idx="33">
                  <c:v>5.4965048641408103</c:v>
                </c:pt>
                <c:pt idx="34">
                  <c:v>5.4511771155006645</c:v>
                </c:pt>
                <c:pt idx="35">
                  <c:v>5.4068538801312815</c:v>
                </c:pt>
                <c:pt idx="36">
                  <c:v>5.3635128969025256</c:v>
                </c:pt>
                <c:pt idx="37">
                  <c:v>5.3211323980156413</c:v>
                </c:pt>
                <c:pt idx="38">
                  <c:v>5.2796910980704777</c:v>
                </c:pt>
                <c:pt idx="39">
                  <c:v>5.2391681833749981</c:v>
                </c:pt>
                <c:pt idx="40">
                  <c:v>5.1995433014917083</c:v>
                </c:pt>
                <c:pt idx="41">
                  <c:v>5.160796551015741</c:v>
                </c:pt>
                <c:pt idx="42">
                  <c:v>5.1229084715794713</c:v>
                </c:pt>
                <c:pt idx="43">
                  <c:v>5.0858600340786424</c:v>
                </c:pt>
                <c:pt idx="44">
                  <c:v>5.0496326311150899</c:v>
                </c:pt>
                <c:pt idx="45">
                  <c:v>5.0142080676512677</c:v>
                </c:pt>
                <c:pt idx="46">
                  <c:v>4.9795685518718749</c:v>
                </c:pt>
                <c:pt idx="47">
                  <c:v>4.945696686248005</c:v>
                </c:pt>
                <c:pt idx="48">
                  <c:v>4.9125754587993242</c:v>
                </c:pt>
                <c:pt idx="49">
                  <c:v>4.8801882345498804</c:v>
                </c:pt>
                <c:pt idx="50">
                  <c:v>4.8485187471732738</c:v>
                </c:pt>
                <c:pt idx="51">
                  <c:v>4.8175510908229677</c:v>
                </c:pt>
                <c:pt idx="52">
                  <c:v>4.787269712143658</c:v>
                </c:pt>
                <c:pt idx="53">
                  <c:v>4.757659402459673</c:v>
                </c:pt>
                <c:pt idx="54">
                  <c:v>4.728705290136495</c:v>
                </c:pt>
                <c:pt idx="55">
                  <c:v>4.700392833111545</c:v>
                </c:pt>
                <c:pt idx="56">
                  <c:v>4.6727078115905121</c:v>
                </c:pt>
                <c:pt idx="57">
                  <c:v>4.645636320905524</c:v>
                </c:pt>
                <c:pt idx="58">
                  <c:v>4.6191647645315959</c:v>
                </c:pt>
                <c:pt idx="59">
                  <c:v>4.5932798472578451</c:v>
                </c:pt>
                <c:pt idx="60">
                  <c:v>4.5679685685100333</c:v>
                </c:pt>
                <c:pt idx="61">
                  <c:v>4.5432182158210903</c:v>
                </c:pt>
                <c:pt idx="62">
                  <c:v>4.5190163584463408</c:v>
                </c:pt>
                <c:pt idx="63">
                  <c:v>4.4953508411202234</c:v>
                </c:pt>
                <c:pt idx="64">
                  <c:v>4.472209777951365</c:v>
                </c:pt>
                <c:pt idx="65">
                  <c:v>4.4495815464529516</c:v>
                </c:pt>
                <c:pt idx="66">
                  <c:v>4.4274547817053911</c:v>
                </c:pt>
                <c:pt idx="67">
                  <c:v>4.4058183706483334</c:v>
                </c:pt>
                <c:pt idx="68">
                  <c:v>4.3846614464991971</c:v>
                </c:pt>
                <c:pt idx="69">
                  <c:v>4.3639733832953738</c:v>
                </c:pt>
                <c:pt idx="70">
                  <c:v>4.343743790557391</c:v>
                </c:pt>
                <c:pt idx="71">
                  <c:v>4.3239625080703483</c:v>
                </c:pt>
                <c:pt idx="72">
                  <c:v>4.3046196007809954</c:v>
                </c:pt>
                <c:pt idx="73">
                  <c:v>4.2857053538078977</c:v>
                </c:pt>
                <c:pt idx="74">
                  <c:v>4.2672102675621897</c:v>
                </c:pt>
                <c:pt idx="75">
                  <c:v>4.2491250529764484</c:v>
                </c:pt>
                <c:pt idx="76">
                  <c:v>4.2314406268393059</c:v>
                </c:pt>
                <c:pt idx="77">
                  <c:v>4.2141481072334495</c:v>
                </c:pt>
                <c:pt idx="78">
                  <c:v>4.1972388090747215</c:v>
                </c:pt>
                <c:pt idx="79">
                  <c:v>4.1807042397500815</c:v>
                </c:pt>
                <c:pt idx="80">
                  <c:v>4.1645360948522256</c:v>
                </c:pt>
                <c:pt idx="81">
                  <c:v>4.1487262540087464</c:v>
                </c:pt>
                <c:pt idx="82">
                  <c:v>4.1332667768037075</c:v>
                </c:pt>
                <c:pt idx="83">
                  <c:v>4.1181498987896141</c:v>
                </c:pt>
                <c:pt idx="84">
                  <c:v>4.1033680275877549</c:v>
                </c:pt>
                <c:pt idx="85">
                  <c:v>4.0889137390749628</c:v>
                </c:pt>
                <c:pt idx="86">
                  <c:v>4.0747797736548934</c:v>
                </c:pt>
                <c:pt idx="87">
                  <c:v>4.0609590326119189</c:v>
                </c:pt>
                <c:pt idx="88">
                  <c:v>4.0474445745458381</c:v>
                </c:pt>
                <c:pt idx="89">
                  <c:v>4.0342296118855918</c:v>
                </c:pt>
                <c:pt idx="90">
                  <c:v>4.0213075074802358</c:v>
                </c:pt>
                <c:pt idx="91">
                  <c:v>4.0086717712654636</c:v>
                </c:pt>
                <c:pt idx="92">
                  <c:v>3.996316057004007</c:v>
                </c:pt>
                <c:pt idx="93">
                  <c:v>3.9842341590982642</c:v>
                </c:pt>
                <c:pt idx="94">
                  <c:v>3.9724200094735722</c:v>
                </c:pt>
                <c:pt idx="95">
                  <c:v>3.9608676745305438</c:v>
                </c:pt>
                <c:pt idx="96">
                  <c:v>3.949571352164948</c:v>
                </c:pt>
                <c:pt idx="97">
                  <c:v>3.9385253688536279</c:v>
                </c:pt>
                <c:pt idx="98">
                  <c:v>3.9277241768050053</c:v>
                </c:pt>
                <c:pt idx="99">
                  <c:v>3.9171623511727254</c:v>
                </c:pt>
                <c:pt idx="100">
                  <c:v>3.9068345873310566</c:v>
                </c:pt>
                <c:pt idx="101">
                  <c:v>3.8967356982106676</c:v>
                </c:pt>
                <c:pt idx="102">
                  <c:v>3.8868606116934461</c:v>
                </c:pt>
                <c:pt idx="103">
                  <c:v>3.8772043680650521</c:v>
                </c:pt>
                <c:pt idx="104">
                  <c:v>3.8677621175239265</c:v>
                </c:pt>
                <c:pt idx="105">
                  <c:v>3.8585291177455008</c:v>
                </c:pt>
                <c:pt idx="106">
                  <c:v>3.8495007315003873</c:v>
                </c:pt>
                <c:pt idx="107">
                  <c:v>3.8406724243253554</c:v>
                </c:pt>
                <c:pt idx="108">
                  <c:v>3.8320397622459152</c:v>
                </c:pt>
                <c:pt idx="109">
                  <c:v>3.8235984095493794</c:v>
                </c:pt>
                <c:pt idx="110">
                  <c:v>3.815344126607271</c:v>
                </c:pt>
                <c:pt idx="111">
                  <c:v>3.8072727677459897</c:v>
                </c:pt>
                <c:pt idx="112">
                  <c:v>3.7993802791646685</c:v>
                </c:pt>
                <c:pt idx="113">
                  <c:v>3.7916626968991727</c:v>
                </c:pt>
                <c:pt idx="114">
                  <c:v>3.7841161448312146</c:v>
                </c:pt>
                <c:pt idx="115">
                  <c:v>3.7767368327415958</c:v>
                </c:pt>
                <c:pt idx="116">
                  <c:v>3.7695210544065865</c:v>
                </c:pt>
                <c:pt idx="117">
                  <c:v>3.7624651857364921</c:v>
                </c:pt>
                <c:pt idx="118">
                  <c:v>3.7555656829554724</c:v>
                </c:pt>
                <c:pt idx="119">
                  <c:v>3.7488190808216961</c:v>
                </c:pt>
                <c:pt idx="120">
                  <c:v>3.742221990886943</c:v>
                </c:pt>
                <c:pt idx="121">
                  <c:v>3.7357710997947673</c:v>
                </c:pt>
                <c:pt idx="122">
                  <c:v>3.7294631676163865</c:v>
                </c:pt>
                <c:pt idx="123">
                  <c:v>3.7232950262234366</c:v>
                </c:pt>
                <c:pt idx="124">
                  <c:v>3.7172635776968002</c:v>
                </c:pt>
                <c:pt idx="125">
                  <c:v>3.7113657927706889</c:v>
                </c:pt>
                <c:pt idx="126">
                  <c:v>3.7055987093112086</c:v>
                </c:pt>
                <c:pt idx="127">
                  <c:v>3.6999594308286454</c:v>
                </c:pt>
                <c:pt idx="128">
                  <c:v>3.6944451250227139</c:v>
                </c:pt>
                <c:pt idx="129">
                  <c:v>3.6890530223600506</c:v>
                </c:pt>
                <c:pt idx="130">
                  <c:v>3.6837804146832278</c:v>
                </c:pt>
                <c:pt idx="131">
                  <c:v>3.6786246538505964</c:v>
                </c:pt>
                <c:pt idx="132">
                  <c:v>3.6735831504062677</c:v>
                </c:pt>
                <c:pt idx="133">
                  <c:v>3.668653372279572</c:v>
                </c:pt>
                <c:pt idx="134">
                  <c:v>3.6638328435133394</c:v>
                </c:pt>
                <c:pt idx="135">
                  <c:v>3.6591191430203618</c:v>
                </c:pt>
                <c:pt idx="136">
                  <c:v>3.6545099033674138</c:v>
                </c:pt>
                <c:pt idx="137">
                  <c:v>3.65000280958622</c:v>
                </c:pt>
                <c:pt idx="138">
                  <c:v>3.6455955980107744</c:v>
                </c:pt>
                <c:pt idx="139">
                  <c:v>3.6412860551404247</c:v>
                </c:pt>
                <c:pt idx="140">
                  <c:v>3.637072016528152</c:v>
                </c:pt>
                <c:pt idx="141">
                  <c:v>3.6329513656934882</c:v>
                </c:pt>
                <c:pt idx="142">
                  <c:v>3.6289220330595247</c:v>
                </c:pt>
                <c:pt idx="143">
                  <c:v>3.6249819949134752</c:v>
                </c:pt>
                <c:pt idx="144">
                  <c:v>3.6211292723902782</c:v>
                </c:pt>
                <c:pt idx="145">
                  <c:v>3.6173619304787201</c:v>
                </c:pt>
                <c:pt idx="146">
                  <c:v>3.613678077049586</c:v>
                </c:pt>
                <c:pt idx="147">
                  <c:v>3.6100758619053464</c:v>
                </c:pt>
                <c:pt idx="148">
                  <c:v>3.6065534758509044</c:v>
                </c:pt>
                <c:pt idx="149">
                  <c:v>3.6031091497849368</c:v>
                </c:pt>
                <c:pt idx="150">
                  <c:v>3.5997411538113719</c:v>
                </c:pt>
                <c:pt idx="151">
                  <c:v>3.5964477963705561</c:v>
                </c:pt>
                <c:pt idx="152">
                  <c:v>3.5932274233896773</c:v>
                </c:pt>
                <c:pt idx="153">
                  <c:v>3.5900784174520144</c:v>
                </c:pt>
                <c:pt idx="154">
                  <c:v>3.5869991969845989</c:v>
                </c:pt>
                <c:pt idx="155">
                  <c:v>3.5839882154638749</c:v>
                </c:pt>
                <c:pt idx="156">
                  <c:v>3.5810439606389681</c:v>
                </c:pt>
                <c:pt idx="157">
                  <c:v>3.5781649537721631</c:v>
                </c:pt>
                <c:pt idx="158">
                  <c:v>3.5753497488962158</c:v>
                </c:pt>
                <c:pt idx="159">
                  <c:v>3.5725969320881212</c:v>
                </c:pt>
                <c:pt idx="160">
                  <c:v>3.5699051207589814</c:v>
                </c:pt>
                <c:pt idx="161">
                  <c:v>3.5672729629596023</c:v>
                </c:pt>
                <c:pt idx="162">
                  <c:v>3.5646991367014871</c:v>
                </c:pt>
                <c:pt idx="163">
                  <c:v>3.5621823492928737</c:v>
                </c:pt>
                <c:pt idx="164">
                  <c:v>3.5597213366894835</c:v>
                </c:pt>
                <c:pt idx="165">
                  <c:v>3.5573148628596658</c:v>
                </c:pt>
                <c:pt idx="166">
                  <c:v>3.5549617191636029</c:v>
                </c:pt>
                <c:pt idx="167">
                  <c:v>3.5526607237462793</c:v>
                </c:pt>
                <c:pt idx="168">
                  <c:v>3.5504107209438991</c:v>
                </c:pt>
                <c:pt idx="169">
                  <c:v>3.5482105807034605</c:v>
                </c:pt>
                <c:pt idx="170">
                  <c:v>3.5460591980151914</c:v>
                </c:pt>
                <c:pt idx="171">
                  <c:v>3.5439554923575649</c:v>
                </c:pt>
                <c:pt idx="172">
                  <c:v>3.5418984071546098</c:v>
                </c:pt>
                <c:pt idx="173">
                  <c:v>3.5398869092452543</c:v>
                </c:pt>
                <c:pt idx="174">
                  <c:v>3.5379199883644228</c:v>
                </c:pt>
                <c:pt idx="175">
                  <c:v>3.5359966566356364</c:v>
                </c:pt>
                <c:pt idx="176">
                  <c:v>3.5341159480748563</c:v>
                </c:pt>
                <c:pt idx="177">
                  <c:v>3.5322769181053233</c:v>
                </c:pt>
                <c:pt idx="178">
                  <c:v>3.5304786430831494</c:v>
                </c:pt>
                <c:pt idx="179">
                  <c:v>3.5287202198334207</c:v>
                </c:pt>
                <c:pt idx="180">
                  <c:v>3.5270007651965827</c:v>
                </c:pt>
                <c:pt idx="181">
                  <c:v>3.5253194155848782</c:v>
                </c:pt>
                <c:pt idx="182">
                  <c:v>3.5236753265486138</c:v>
                </c:pt>
                <c:pt idx="183">
                  <c:v>3.5220676723520401</c:v>
                </c:pt>
                <c:pt idx="184">
                  <c:v>3.5204956455586291</c:v>
                </c:pt>
                <c:pt idx="185">
                  <c:v>3.5189584566255432</c:v>
                </c:pt>
                <c:pt idx="186">
                  <c:v>3.5174553335070913</c:v>
                </c:pt>
                <c:pt idx="187">
                  <c:v>3.5159855212669724</c:v>
                </c:pt>
                <c:pt idx="188">
                  <c:v>3.5145482816991134</c:v>
                </c:pt>
                <c:pt idx="189">
                  <c:v>3.5131428929569073</c:v>
                </c:pt>
                <c:pt idx="190">
                  <c:v>3.5117686491906701</c:v>
                </c:pt>
                <c:pt idx="191">
                  <c:v>3.5104248601931314</c:v>
                </c:pt>
                <c:pt idx="192">
                  <c:v>3.50911085105278</c:v>
                </c:pt>
                <c:pt idx="193">
                  <c:v>3.5078259618148939</c:v>
                </c:pt>
                <c:pt idx="194">
                  <c:v>3.506569547150082</c:v>
                </c:pt>
                <c:pt idx="195">
                  <c:v>3.5053409760301673</c:v>
                </c:pt>
                <c:pt idx="196">
                  <c:v>3.5041396314112609</c:v>
                </c:pt>
                <c:pt idx="197">
                  <c:v>3.50296490992385</c:v>
                </c:pt>
                <c:pt idx="198">
                  <c:v>3.5018162215697615</c:v>
                </c:pt>
                <c:pt idx="199">
                  <c:v>3.5006929894258367</c:v>
                </c:pt>
                <c:pt idx="200">
                  <c:v>3.4995946493541763</c:v>
                </c:pt>
                <c:pt idx="201">
                  <c:v>3.4985206497188028</c:v>
                </c:pt>
                <c:pt idx="202">
                  <c:v>3.4974704511086045</c:v>
                </c:pt>
                <c:pt idx="203">
                  <c:v>3.4964435260664195</c:v>
                </c:pt>
                <c:pt idx="204">
                  <c:v>3.4954393588241235</c:v>
                </c:pt>
                <c:pt idx="205">
                  <c:v>3.4944574450435852</c:v>
                </c:pt>
                <c:pt idx="206">
                  <c:v>3.4934972915633686</c:v>
                </c:pt>
                <c:pt idx="207">
                  <c:v>3.4925584161510415</c:v>
                </c:pt>
                <c:pt idx="208">
                  <c:v>3.4916403472609785</c:v>
                </c:pt>
                <c:pt idx="209">
                  <c:v>3.4907426237975296</c:v>
                </c:pt>
                <c:pt idx="210">
                  <c:v>3.4898647948834367</c:v>
                </c:pt>
                <c:pt idx="211">
                  <c:v>3.4890064196333825</c:v>
                </c:pt>
                <c:pt idx="212">
                  <c:v>3.4881670669325575</c:v>
                </c:pt>
                <c:pt idx="213">
                  <c:v>3.4873463152201363</c:v>
                </c:pt>
                <c:pt idx="214">
                  <c:v>3.4865437522775498</c:v>
                </c:pt>
                <c:pt idx="215">
                  <c:v>3.4857589750214495</c:v>
                </c:pt>
                <c:pt idx="216">
                  <c:v>3.4849915893012624</c:v>
                </c:pt>
                <c:pt idx="217">
                  <c:v>3.4842412097012305</c:v>
                </c:pt>
                <c:pt idx="218">
                  <c:v>3.483507459346836</c:v>
                </c:pt>
                <c:pt idx="219">
                  <c:v>3.4827899697155202</c:v>
                </c:pt>
                <c:pt idx="220">
                  <c:v>3.4820883804515934</c:v>
                </c:pt>
                <c:pt idx="221">
                  <c:v>3.481402339185248</c:v>
                </c:pt>
                <c:pt idx="222">
                  <c:v>3.4807315013555837</c:v>
                </c:pt>
                <c:pt idx="223">
                  <c:v>3.4800755300375514</c:v>
                </c:pt>
                <c:pt idx="224">
                  <c:v>3.4794340957727368</c:v>
                </c:pt>
                <c:pt idx="225">
                  <c:v>3.4788068764038886</c:v>
                </c:pt>
                <c:pt idx="226">
                  <c:v>3.4781935569131197</c:v>
                </c:pt>
                <c:pt idx="227">
                  <c:v>3.4775938292636877</c:v>
                </c:pt>
                <c:pt idx="228">
                  <c:v>3.4770073922452882</c:v>
                </c:pt>
                <c:pt idx="229">
                  <c:v>3.4764339513227704</c:v>
                </c:pt>
                <c:pt idx="230">
                  <c:v>3.4758732184882111</c:v>
                </c:pt>
                <c:pt idx="231">
                  <c:v>3.4753249121162617</c:v>
                </c:pt>
                <c:pt idx="232">
                  <c:v>3.4747887568227043</c:v>
                </c:pt>
                <c:pt idx="233">
                  <c:v>3.4742644833261416</c:v>
                </c:pt>
                <c:pt idx="234">
                  <c:v>3.4737518283127513</c:v>
                </c:pt>
                <c:pt idx="235">
                  <c:v>3.4732505343040372</c:v>
                </c:pt>
                <c:pt idx="236">
                  <c:v>3.4727603495275132</c:v>
                </c:pt>
                <c:pt idx="237">
                  <c:v>3.4722810277902516</c:v>
                </c:pt>
                <c:pt idx="238">
                  <c:v>3.4718123283552331</c:v>
                </c:pt>
                <c:pt idx="239">
                  <c:v>3.4713540158204377</c:v>
                </c:pt>
                <c:pt idx="240">
                  <c:v>3.4709058600006162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7F0-408F-A621-E5F6A2F28B2D}"/>
            </c:ext>
          </c:extLst>
        </c:ser>
        <c:ser>
          <c:idx val="5"/>
          <c:order val="5"/>
          <c:tx>
            <c:v>DOPC 3 fit</c:v>
          </c:tx>
          <c:spPr>
            <a:ln w="14288">
              <a:solidFill>
                <a:srgbClr val="70AD47"/>
              </a:solidFill>
              <a:prstDash val="dash"/>
            </a:ln>
          </c:spPr>
          <c:marker>
            <c:symbol val="none"/>
          </c:marker>
          <c:cat>
            <c:numRef>
              <c:f>Analysis!$A$102:$A$342</c:f>
              <c:numCache>
                <c:formatCode>0.0000</c:formatCode>
                <c:ptCount val="241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  <c:pt idx="13">
                  <c:v>1.0833333333333333</c:v>
                </c:pt>
                <c:pt idx="14">
                  <c:v>1.1666666666666667</c:v>
                </c:pt>
                <c:pt idx="15">
                  <c:v>1.25</c:v>
                </c:pt>
                <c:pt idx="16">
                  <c:v>1.3333333333333333</c:v>
                </c:pt>
                <c:pt idx="17">
                  <c:v>1.4166666666666667</c:v>
                </c:pt>
                <c:pt idx="18">
                  <c:v>1.5</c:v>
                </c:pt>
                <c:pt idx="19">
                  <c:v>1.5833333333333333</c:v>
                </c:pt>
                <c:pt idx="20">
                  <c:v>1.6666666666666667</c:v>
                </c:pt>
                <c:pt idx="21">
                  <c:v>1.75</c:v>
                </c:pt>
                <c:pt idx="22">
                  <c:v>1.8333333333333333</c:v>
                </c:pt>
                <c:pt idx="23">
                  <c:v>1.9166666666666667</c:v>
                </c:pt>
                <c:pt idx="24">
                  <c:v>2</c:v>
                </c:pt>
                <c:pt idx="25">
                  <c:v>2.0833333333333335</c:v>
                </c:pt>
                <c:pt idx="26">
                  <c:v>2.1666666666666665</c:v>
                </c:pt>
                <c:pt idx="27">
                  <c:v>2.25</c:v>
                </c:pt>
                <c:pt idx="28">
                  <c:v>2.3333333333333335</c:v>
                </c:pt>
                <c:pt idx="29">
                  <c:v>2.4166666666666665</c:v>
                </c:pt>
                <c:pt idx="30">
                  <c:v>2.5</c:v>
                </c:pt>
                <c:pt idx="31">
                  <c:v>2.5833333333333335</c:v>
                </c:pt>
                <c:pt idx="32">
                  <c:v>2.6666666666666665</c:v>
                </c:pt>
                <c:pt idx="33">
                  <c:v>2.75</c:v>
                </c:pt>
                <c:pt idx="34">
                  <c:v>2.8333333333333335</c:v>
                </c:pt>
                <c:pt idx="35">
                  <c:v>2.9166666666666665</c:v>
                </c:pt>
                <c:pt idx="36">
                  <c:v>3</c:v>
                </c:pt>
                <c:pt idx="37">
                  <c:v>3.0833333333333335</c:v>
                </c:pt>
                <c:pt idx="38">
                  <c:v>3.1666666666666665</c:v>
                </c:pt>
                <c:pt idx="39">
                  <c:v>3.25</c:v>
                </c:pt>
                <c:pt idx="40">
                  <c:v>3.3333333333333335</c:v>
                </c:pt>
                <c:pt idx="41">
                  <c:v>3.4166666666666665</c:v>
                </c:pt>
                <c:pt idx="42">
                  <c:v>3.5</c:v>
                </c:pt>
                <c:pt idx="43">
                  <c:v>3.5833333333333335</c:v>
                </c:pt>
                <c:pt idx="44">
                  <c:v>3.6666666666666665</c:v>
                </c:pt>
                <c:pt idx="45">
                  <c:v>3.75</c:v>
                </c:pt>
                <c:pt idx="46">
                  <c:v>3.8333333333333335</c:v>
                </c:pt>
                <c:pt idx="47">
                  <c:v>3.9166666666666665</c:v>
                </c:pt>
                <c:pt idx="48">
                  <c:v>4</c:v>
                </c:pt>
                <c:pt idx="49">
                  <c:v>4.083333333333333</c:v>
                </c:pt>
                <c:pt idx="50">
                  <c:v>4.166666666666667</c:v>
                </c:pt>
                <c:pt idx="51">
                  <c:v>4.25</c:v>
                </c:pt>
                <c:pt idx="52">
                  <c:v>4.333333333333333</c:v>
                </c:pt>
                <c:pt idx="53">
                  <c:v>4.416666666666667</c:v>
                </c:pt>
                <c:pt idx="54">
                  <c:v>4.5</c:v>
                </c:pt>
                <c:pt idx="55">
                  <c:v>4.583333333333333</c:v>
                </c:pt>
                <c:pt idx="56">
                  <c:v>4.666666666666667</c:v>
                </c:pt>
                <c:pt idx="57">
                  <c:v>4.75</c:v>
                </c:pt>
                <c:pt idx="58">
                  <c:v>4.833333333333333</c:v>
                </c:pt>
                <c:pt idx="59">
                  <c:v>4.916666666666667</c:v>
                </c:pt>
                <c:pt idx="60">
                  <c:v>5</c:v>
                </c:pt>
                <c:pt idx="61">
                  <c:v>5.083333333333333</c:v>
                </c:pt>
                <c:pt idx="62">
                  <c:v>5.166666666666667</c:v>
                </c:pt>
                <c:pt idx="63">
                  <c:v>5.25</c:v>
                </c:pt>
                <c:pt idx="64">
                  <c:v>5.333333333333333</c:v>
                </c:pt>
                <c:pt idx="65">
                  <c:v>5.416666666666667</c:v>
                </c:pt>
                <c:pt idx="66">
                  <c:v>5.5</c:v>
                </c:pt>
                <c:pt idx="67">
                  <c:v>5.583333333333333</c:v>
                </c:pt>
                <c:pt idx="68">
                  <c:v>5.666666666666667</c:v>
                </c:pt>
                <c:pt idx="69">
                  <c:v>5.75</c:v>
                </c:pt>
                <c:pt idx="70">
                  <c:v>5.833333333333333</c:v>
                </c:pt>
                <c:pt idx="71">
                  <c:v>5.916666666666667</c:v>
                </c:pt>
                <c:pt idx="72">
                  <c:v>6</c:v>
                </c:pt>
                <c:pt idx="73">
                  <c:v>6.083333333333333</c:v>
                </c:pt>
                <c:pt idx="74">
                  <c:v>6.166666666666667</c:v>
                </c:pt>
                <c:pt idx="75">
                  <c:v>6.25</c:v>
                </c:pt>
                <c:pt idx="76">
                  <c:v>6.333333333333333</c:v>
                </c:pt>
                <c:pt idx="77">
                  <c:v>6.416666666666667</c:v>
                </c:pt>
                <c:pt idx="78">
                  <c:v>6.5</c:v>
                </c:pt>
                <c:pt idx="79">
                  <c:v>6.583333333333333</c:v>
                </c:pt>
                <c:pt idx="80">
                  <c:v>6.666666666666667</c:v>
                </c:pt>
                <c:pt idx="81">
                  <c:v>6.75</c:v>
                </c:pt>
                <c:pt idx="82">
                  <c:v>6.833333333333333</c:v>
                </c:pt>
                <c:pt idx="83">
                  <c:v>6.916666666666667</c:v>
                </c:pt>
                <c:pt idx="84">
                  <c:v>7</c:v>
                </c:pt>
                <c:pt idx="85">
                  <c:v>7.083333333333333</c:v>
                </c:pt>
                <c:pt idx="86">
                  <c:v>7.166666666666667</c:v>
                </c:pt>
                <c:pt idx="87">
                  <c:v>7.25</c:v>
                </c:pt>
                <c:pt idx="88">
                  <c:v>7.333333333333333</c:v>
                </c:pt>
                <c:pt idx="89">
                  <c:v>7.416666666666667</c:v>
                </c:pt>
                <c:pt idx="90">
                  <c:v>7.5</c:v>
                </c:pt>
                <c:pt idx="91">
                  <c:v>7.583333333333333</c:v>
                </c:pt>
                <c:pt idx="92">
                  <c:v>7.666666666666667</c:v>
                </c:pt>
                <c:pt idx="93">
                  <c:v>7.75</c:v>
                </c:pt>
                <c:pt idx="94">
                  <c:v>7.833333333333333</c:v>
                </c:pt>
                <c:pt idx="95">
                  <c:v>7.916666666666667</c:v>
                </c:pt>
                <c:pt idx="96">
                  <c:v>8</c:v>
                </c:pt>
                <c:pt idx="97">
                  <c:v>8.0833333333333339</c:v>
                </c:pt>
                <c:pt idx="98">
                  <c:v>8.1666666666666661</c:v>
                </c:pt>
                <c:pt idx="99">
                  <c:v>8.25</c:v>
                </c:pt>
                <c:pt idx="100">
                  <c:v>8.3333333333333339</c:v>
                </c:pt>
                <c:pt idx="101">
                  <c:v>8.4166666666666661</c:v>
                </c:pt>
                <c:pt idx="102">
                  <c:v>8.5</c:v>
                </c:pt>
                <c:pt idx="103">
                  <c:v>8.5833333333333339</c:v>
                </c:pt>
                <c:pt idx="104">
                  <c:v>8.6666666666666661</c:v>
                </c:pt>
                <c:pt idx="105">
                  <c:v>8.75</c:v>
                </c:pt>
                <c:pt idx="106">
                  <c:v>8.8333333333333339</c:v>
                </c:pt>
                <c:pt idx="107">
                  <c:v>8.9166666666666661</c:v>
                </c:pt>
                <c:pt idx="108">
                  <c:v>9</c:v>
                </c:pt>
                <c:pt idx="109">
                  <c:v>9.0833333333333339</c:v>
                </c:pt>
                <c:pt idx="110">
                  <c:v>9.1666666666666661</c:v>
                </c:pt>
                <c:pt idx="111">
                  <c:v>9.25</c:v>
                </c:pt>
                <c:pt idx="112">
                  <c:v>9.3333333333333339</c:v>
                </c:pt>
                <c:pt idx="113">
                  <c:v>9.4166666666666661</c:v>
                </c:pt>
                <c:pt idx="114">
                  <c:v>9.5</c:v>
                </c:pt>
                <c:pt idx="115">
                  <c:v>9.5833333333333339</c:v>
                </c:pt>
                <c:pt idx="116">
                  <c:v>9.6666666666666661</c:v>
                </c:pt>
                <c:pt idx="117">
                  <c:v>9.75</c:v>
                </c:pt>
                <c:pt idx="118">
                  <c:v>9.8333333333333339</c:v>
                </c:pt>
                <c:pt idx="119">
                  <c:v>9.9166666666666661</c:v>
                </c:pt>
                <c:pt idx="120">
                  <c:v>10</c:v>
                </c:pt>
                <c:pt idx="121">
                  <c:v>10.083333333333334</c:v>
                </c:pt>
                <c:pt idx="122">
                  <c:v>10.166666666666666</c:v>
                </c:pt>
                <c:pt idx="123">
                  <c:v>10.25</c:v>
                </c:pt>
                <c:pt idx="124">
                  <c:v>10.333333333333334</c:v>
                </c:pt>
                <c:pt idx="125">
                  <c:v>10.416666666666666</c:v>
                </c:pt>
                <c:pt idx="126">
                  <c:v>10.5</c:v>
                </c:pt>
                <c:pt idx="127">
                  <c:v>10.583333333333334</c:v>
                </c:pt>
                <c:pt idx="128">
                  <c:v>10.666666666666666</c:v>
                </c:pt>
                <c:pt idx="129">
                  <c:v>10.75</c:v>
                </c:pt>
                <c:pt idx="130">
                  <c:v>10.833333333333334</c:v>
                </c:pt>
                <c:pt idx="131">
                  <c:v>10.916666666666666</c:v>
                </c:pt>
                <c:pt idx="132">
                  <c:v>11</c:v>
                </c:pt>
                <c:pt idx="133">
                  <c:v>11.083333333333334</c:v>
                </c:pt>
                <c:pt idx="134">
                  <c:v>11.166666666666666</c:v>
                </c:pt>
                <c:pt idx="135">
                  <c:v>11.25</c:v>
                </c:pt>
                <c:pt idx="136">
                  <c:v>11.333333333333334</c:v>
                </c:pt>
                <c:pt idx="137">
                  <c:v>11.416666666666666</c:v>
                </c:pt>
                <c:pt idx="138">
                  <c:v>11.5</c:v>
                </c:pt>
                <c:pt idx="139">
                  <c:v>11.583333333333334</c:v>
                </c:pt>
                <c:pt idx="140">
                  <c:v>11.666666666666666</c:v>
                </c:pt>
                <c:pt idx="141">
                  <c:v>11.75</c:v>
                </c:pt>
                <c:pt idx="142">
                  <c:v>11.833333333333334</c:v>
                </c:pt>
                <c:pt idx="143">
                  <c:v>11.916666666666666</c:v>
                </c:pt>
                <c:pt idx="144">
                  <c:v>12</c:v>
                </c:pt>
                <c:pt idx="145">
                  <c:v>12.083333333333334</c:v>
                </c:pt>
                <c:pt idx="146">
                  <c:v>12.166666666666666</c:v>
                </c:pt>
                <c:pt idx="147">
                  <c:v>12.25</c:v>
                </c:pt>
                <c:pt idx="148">
                  <c:v>12.333333333333334</c:v>
                </c:pt>
                <c:pt idx="149">
                  <c:v>12.416666666666666</c:v>
                </c:pt>
                <c:pt idx="150">
                  <c:v>12.5</c:v>
                </c:pt>
                <c:pt idx="151">
                  <c:v>12.583333333333334</c:v>
                </c:pt>
                <c:pt idx="152">
                  <c:v>12.666666666666666</c:v>
                </c:pt>
                <c:pt idx="153">
                  <c:v>12.75</c:v>
                </c:pt>
                <c:pt idx="154">
                  <c:v>12.833333333333334</c:v>
                </c:pt>
                <c:pt idx="155">
                  <c:v>12.916666666666666</c:v>
                </c:pt>
                <c:pt idx="156">
                  <c:v>13</c:v>
                </c:pt>
                <c:pt idx="157">
                  <c:v>13.083333333333334</c:v>
                </c:pt>
                <c:pt idx="158">
                  <c:v>13.166666666666666</c:v>
                </c:pt>
                <c:pt idx="159">
                  <c:v>13.25</c:v>
                </c:pt>
                <c:pt idx="160">
                  <c:v>13.333333333333334</c:v>
                </c:pt>
                <c:pt idx="161">
                  <c:v>13.416666666666666</c:v>
                </c:pt>
                <c:pt idx="162">
                  <c:v>13.5</c:v>
                </c:pt>
                <c:pt idx="163">
                  <c:v>13.583333333333334</c:v>
                </c:pt>
                <c:pt idx="164">
                  <c:v>13.666666666666666</c:v>
                </c:pt>
                <c:pt idx="165">
                  <c:v>13.75</c:v>
                </c:pt>
                <c:pt idx="166">
                  <c:v>13.833333333333334</c:v>
                </c:pt>
                <c:pt idx="167">
                  <c:v>13.916666666666666</c:v>
                </c:pt>
                <c:pt idx="168">
                  <c:v>14</c:v>
                </c:pt>
                <c:pt idx="169">
                  <c:v>14.083333333333334</c:v>
                </c:pt>
                <c:pt idx="170">
                  <c:v>14.166666666666666</c:v>
                </c:pt>
                <c:pt idx="171">
                  <c:v>14.25</c:v>
                </c:pt>
                <c:pt idx="172">
                  <c:v>14.333333333333334</c:v>
                </c:pt>
                <c:pt idx="173">
                  <c:v>14.416666666666666</c:v>
                </c:pt>
                <c:pt idx="174">
                  <c:v>14.5</c:v>
                </c:pt>
                <c:pt idx="175">
                  <c:v>14.583333333333334</c:v>
                </c:pt>
                <c:pt idx="176">
                  <c:v>14.666666666666666</c:v>
                </c:pt>
                <c:pt idx="177">
                  <c:v>14.75</c:v>
                </c:pt>
                <c:pt idx="178">
                  <c:v>14.833333333333334</c:v>
                </c:pt>
                <c:pt idx="179">
                  <c:v>14.916666666666666</c:v>
                </c:pt>
                <c:pt idx="180">
                  <c:v>15</c:v>
                </c:pt>
                <c:pt idx="181">
                  <c:v>15.083333333333334</c:v>
                </c:pt>
                <c:pt idx="182">
                  <c:v>15.166666666666666</c:v>
                </c:pt>
                <c:pt idx="183">
                  <c:v>15.25</c:v>
                </c:pt>
                <c:pt idx="184">
                  <c:v>15.333333333333334</c:v>
                </c:pt>
                <c:pt idx="185">
                  <c:v>15.416666666666666</c:v>
                </c:pt>
                <c:pt idx="186">
                  <c:v>15.5</c:v>
                </c:pt>
                <c:pt idx="187">
                  <c:v>15.583333333333334</c:v>
                </c:pt>
                <c:pt idx="188">
                  <c:v>15.666666666666666</c:v>
                </c:pt>
                <c:pt idx="189">
                  <c:v>15.75</c:v>
                </c:pt>
                <c:pt idx="190">
                  <c:v>15.833333333333334</c:v>
                </c:pt>
                <c:pt idx="191">
                  <c:v>15.916666666666666</c:v>
                </c:pt>
                <c:pt idx="192">
                  <c:v>16</c:v>
                </c:pt>
                <c:pt idx="193">
                  <c:v>16.083333333333332</c:v>
                </c:pt>
                <c:pt idx="194">
                  <c:v>16.166666666666668</c:v>
                </c:pt>
                <c:pt idx="195">
                  <c:v>16.25</c:v>
                </c:pt>
                <c:pt idx="196">
                  <c:v>16.333333333333332</c:v>
                </c:pt>
                <c:pt idx="197">
                  <c:v>16.416666666666668</c:v>
                </c:pt>
                <c:pt idx="198">
                  <c:v>16.5</c:v>
                </c:pt>
                <c:pt idx="199">
                  <c:v>16.583333333333332</c:v>
                </c:pt>
                <c:pt idx="200">
                  <c:v>16.666666666666668</c:v>
                </c:pt>
                <c:pt idx="201">
                  <c:v>16.75</c:v>
                </c:pt>
                <c:pt idx="202">
                  <c:v>16.833333333333332</c:v>
                </c:pt>
                <c:pt idx="203">
                  <c:v>16.916666666666668</c:v>
                </c:pt>
                <c:pt idx="204">
                  <c:v>17</c:v>
                </c:pt>
                <c:pt idx="205">
                  <c:v>17.083333333333332</c:v>
                </c:pt>
                <c:pt idx="206">
                  <c:v>17.166666666666668</c:v>
                </c:pt>
                <c:pt idx="207">
                  <c:v>17.25</c:v>
                </c:pt>
                <c:pt idx="208">
                  <c:v>17.333333333333332</c:v>
                </c:pt>
                <c:pt idx="209">
                  <c:v>17.416666666666668</c:v>
                </c:pt>
                <c:pt idx="210">
                  <c:v>17.5</c:v>
                </c:pt>
                <c:pt idx="211">
                  <c:v>17.583333333333332</c:v>
                </c:pt>
                <c:pt idx="212">
                  <c:v>17.666666666666668</c:v>
                </c:pt>
                <c:pt idx="213">
                  <c:v>17.75</c:v>
                </c:pt>
                <c:pt idx="214">
                  <c:v>17.833333333333332</c:v>
                </c:pt>
                <c:pt idx="215">
                  <c:v>17.916666666666668</c:v>
                </c:pt>
                <c:pt idx="216">
                  <c:v>18</c:v>
                </c:pt>
                <c:pt idx="217">
                  <c:v>18.083333333333332</c:v>
                </c:pt>
                <c:pt idx="218">
                  <c:v>18.166666666666668</c:v>
                </c:pt>
                <c:pt idx="219">
                  <c:v>18.25</c:v>
                </c:pt>
                <c:pt idx="220">
                  <c:v>18.333333333333332</c:v>
                </c:pt>
                <c:pt idx="221">
                  <c:v>18.416666666666668</c:v>
                </c:pt>
                <c:pt idx="222">
                  <c:v>18.5</c:v>
                </c:pt>
                <c:pt idx="223">
                  <c:v>18.583333333333332</c:v>
                </c:pt>
                <c:pt idx="224">
                  <c:v>18.666666666666668</c:v>
                </c:pt>
                <c:pt idx="225">
                  <c:v>18.75</c:v>
                </c:pt>
                <c:pt idx="226">
                  <c:v>18.833333333333332</c:v>
                </c:pt>
                <c:pt idx="227">
                  <c:v>18.916666666666668</c:v>
                </c:pt>
                <c:pt idx="228">
                  <c:v>19</c:v>
                </c:pt>
                <c:pt idx="229">
                  <c:v>19.083333333333332</c:v>
                </c:pt>
                <c:pt idx="230">
                  <c:v>19.166666666666668</c:v>
                </c:pt>
                <c:pt idx="231">
                  <c:v>19.25</c:v>
                </c:pt>
                <c:pt idx="232">
                  <c:v>19.333333333333332</c:v>
                </c:pt>
                <c:pt idx="233">
                  <c:v>19.416666666666668</c:v>
                </c:pt>
                <c:pt idx="234">
                  <c:v>19.5</c:v>
                </c:pt>
                <c:pt idx="235">
                  <c:v>19.583333333333332</c:v>
                </c:pt>
                <c:pt idx="236">
                  <c:v>19.666666666666668</c:v>
                </c:pt>
                <c:pt idx="237">
                  <c:v>19.75</c:v>
                </c:pt>
                <c:pt idx="238">
                  <c:v>19.833333333333332</c:v>
                </c:pt>
                <c:pt idx="239">
                  <c:v>19.916666666666668</c:v>
                </c:pt>
                <c:pt idx="240">
                  <c:v>20</c:v>
                </c:pt>
              </c:numCache>
            </c:numRef>
          </c:cat>
          <c:val>
            <c:numRef>
              <c:f>Analysis!$I$102:$I$342</c:f>
              <c:numCache>
                <c:formatCode>0.0000</c:formatCode>
                <c:ptCount val="241"/>
                <c:pt idx="0">
                  <c:v>7.4601645331710227</c:v>
                </c:pt>
                <c:pt idx="1">
                  <c:v>7.3946065018963978</c:v>
                </c:pt>
                <c:pt idx="2">
                  <c:v>7.3302056878778314</c:v>
                </c:pt>
                <c:pt idx="3">
                  <c:v>7.2669416641477707</c:v>
                </c:pt>
                <c:pt idx="4">
                  <c:v>7.2047943643114074</c:v>
                </c:pt>
                <c:pt idx="5">
                  <c:v>7.143744076181922</c:v>
                </c:pt>
                <c:pt idx="6">
                  <c:v>7.0837714355280728</c:v>
                </c:pt>
                <c:pt idx="7">
                  <c:v>7.0248574199321556</c:v>
                </c:pt>
                <c:pt idx="8">
                  <c:v>6.9669833427563814</c:v>
                </c:pt>
                <c:pt idx="9">
                  <c:v>6.9101308472157497</c:v>
                </c:pt>
                <c:pt idx="10">
                  <c:v>6.8542819005555593</c:v>
                </c:pt>
                <c:pt idx="11">
                  <c:v>6.7994187883316908</c:v>
                </c:pt>
                <c:pt idx="12">
                  <c:v>6.7455241087918445</c:v>
                </c:pt>
                <c:pt idx="13">
                  <c:v>6.6925807673559747</c:v>
                </c:pt>
                <c:pt idx="14">
                  <c:v>6.6405719711941451</c:v>
                </c:pt>
                <c:pt idx="15">
                  <c:v>6.5894812239000906</c:v>
                </c:pt>
                <c:pt idx="16">
                  <c:v>6.5392923202588147</c:v>
                </c:pt>
                <c:pt idx="17">
                  <c:v>6.4899893411065319</c:v>
                </c:pt>
                <c:pt idx="18">
                  <c:v>6.4415566482813524</c:v>
                </c:pt>
                <c:pt idx="19">
                  <c:v>6.3939788796630932</c:v>
                </c:pt>
                <c:pt idx="20">
                  <c:v>6.3472409443006441</c:v>
                </c:pt>
                <c:pt idx="21">
                  <c:v>6.3013280176253428</c:v>
                </c:pt>
                <c:pt idx="22">
                  <c:v>6.256225536748854</c:v>
                </c:pt>
                <c:pt idx="23">
                  <c:v>6.211919195844029</c:v>
                </c:pt>
                <c:pt idx="24">
                  <c:v>6.1683949416073212</c:v>
                </c:pt>
                <c:pt idx="25">
                  <c:v>6.1256389688012867</c:v>
                </c:pt>
                <c:pt idx="26">
                  <c:v>6.0836377158757724</c:v>
                </c:pt>
                <c:pt idx="27">
                  <c:v>6.0423778606663969</c:v>
                </c:pt>
                <c:pt idx="28">
                  <c:v>6.0018463161689564</c:v>
                </c:pt>
                <c:pt idx="29">
                  <c:v>5.9620302263884328</c:v>
                </c:pt>
                <c:pt idx="30">
                  <c:v>5.9229169622612572</c:v>
                </c:pt>
                <c:pt idx="31">
                  <c:v>5.8844941176495666</c:v>
                </c:pt>
                <c:pt idx="32">
                  <c:v>5.8467495054061613</c:v>
                </c:pt>
                <c:pt idx="33">
                  <c:v>5.8096711535089263</c:v>
                </c:pt>
                <c:pt idx="34">
                  <c:v>5.7732473012634884</c:v>
                </c:pt>
                <c:pt idx="35">
                  <c:v>5.7374663955728975</c:v>
                </c:pt>
                <c:pt idx="36">
                  <c:v>5.7023170872731601</c:v>
                </c:pt>
                <c:pt idx="37">
                  <c:v>5.6677882275334577</c:v>
                </c:pt>
                <c:pt idx="38">
                  <c:v>5.6338688643198997</c:v>
                </c:pt>
                <c:pt idx="39">
                  <c:v>5.6005482389217107</c:v>
                </c:pt>
                <c:pt idx="40">
                  <c:v>5.5678157825387249</c:v>
                </c:pt>
                <c:pt idx="41">
                  <c:v>5.5356611129291231</c:v>
                </c:pt>
                <c:pt idx="42">
                  <c:v>5.5040740311163434</c:v>
                </c:pt>
                <c:pt idx="43">
                  <c:v>5.4730445181541159</c:v>
                </c:pt>
                <c:pt idx="44">
                  <c:v>5.4425627319486081</c:v>
                </c:pt>
                <c:pt idx="45">
                  <c:v>5.4126190041366593</c:v>
                </c:pt>
                <c:pt idx="46">
                  <c:v>5.3832038370191215</c:v>
                </c:pt>
                <c:pt idx="47">
                  <c:v>5.3543079005483323</c:v>
                </c:pt>
                <c:pt idx="48">
                  <c:v>5.3259220293687637</c:v>
                </c:pt>
                <c:pt idx="49">
                  <c:v>5.2980372199099124</c:v>
                </c:pt>
                <c:pt idx="50">
                  <c:v>5.2706446275304986</c:v>
                </c:pt>
                <c:pt idx="51">
                  <c:v>5.2437355637130834</c:v>
                </c:pt>
                <c:pt idx="52">
                  <c:v>5.2173014933081987</c:v>
                </c:pt>
                <c:pt idx="53">
                  <c:v>5.191334031827127</c:v>
                </c:pt>
                <c:pt idx="54">
                  <c:v>5.1658249427824714</c:v>
                </c:pt>
                <c:pt idx="55">
                  <c:v>5.1407661350756602</c:v>
                </c:pt>
                <c:pt idx="56">
                  <c:v>5.116149660430577</c:v>
                </c:pt>
                <c:pt idx="57">
                  <c:v>5.0919677108724866</c:v>
                </c:pt>
                <c:pt idx="58">
                  <c:v>5.0682126162514596</c:v>
                </c:pt>
                <c:pt idx="59">
                  <c:v>5.0448768418095202</c:v>
                </c:pt>
                <c:pt idx="60">
                  <c:v>5.0219529857907368</c:v>
                </c:pt>
                <c:pt idx="61">
                  <c:v>4.9994337770934862</c:v>
                </c:pt>
                <c:pt idx="62">
                  <c:v>4.9773120729641827</c:v>
                </c:pt>
                <c:pt idx="63">
                  <c:v>4.9555808567316957</c:v>
                </c:pt>
                <c:pt idx="64">
                  <c:v>4.9342332355817708</c:v>
                </c:pt>
                <c:pt idx="65">
                  <c:v>4.9132624383707313</c:v>
                </c:pt>
                <c:pt idx="66">
                  <c:v>4.8926618134777753</c:v>
                </c:pt>
                <c:pt idx="67">
                  <c:v>4.8724248266951813</c:v>
                </c:pt>
                <c:pt idx="68">
                  <c:v>4.8525450591557542</c:v>
                </c:pt>
                <c:pt idx="69">
                  <c:v>4.8330162052968602</c:v>
                </c:pt>
                <c:pt idx="70">
                  <c:v>4.8138320708603946</c:v>
                </c:pt>
                <c:pt idx="71">
                  <c:v>4.7949865709280592</c:v>
                </c:pt>
                <c:pt idx="72">
                  <c:v>4.7764737279913163</c:v>
                </c:pt>
                <c:pt idx="73">
                  <c:v>4.7582876700554131</c:v>
                </c:pt>
                <c:pt idx="74">
                  <c:v>4.7404226287768729</c:v>
                </c:pt>
                <c:pt idx="75">
                  <c:v>4.7228729376338663</c:v>
                </c:pt>
                <c:pt idx="76">
                  <c:v>4.7056330301288716</c:v>
                </c:pt>
                <c:pt idx="77">
                  <c:v>4.6886974380230697</c:v>
                </c:pt>
                <c:pt idx="78">
                  <c:v>4.6720607896018995</c:v>
                </c:pt>
                <c:pt idx="79">
                  <c:v>4.6557178079712305</c:v>
                </c:pt>
                <c:pt idx="80">
                  <c:v>4.6396633093836108</c:v>
                </c:pt>
                <c:pt idx="81">
                  <c:v>4.6238922015940638</c:v>
                </c:pt>
                <c:pt idx="82">
                  <c:v>4.6083994822449004</c:v>
                </c:pt>
                <c:pt idx="83">
                  <c:v>4.5931802372790518</c:v>
                </c:pt>
                <c:pt idx="84">
                  <c:v>4.5782296393814006</c:v>
                </c:pt>
                <c:pt idx="85">
                  <c:v>4.5635429464476287</c:v>
                </c:pt>
                <c:pt idx="86">
                  <c:v>4.549115500080096</c:v>
                </c:pt>
                <c:pt idx="87">
                  <c:v>4.5349427241102678</c:v>
                </c:pt>
                <c:pt idx="88">
                  <c:v>4.5210201231472187</c:v>
                </c:pt>
                <c:pt idx="89">
                  <c:v>4.5073432811517646</c:v>
                </c:pt>
                <c:pt idx="90">
                  <c:v>4.4939078600357636</c:v>
                </c:pt>
                <c:pt idx="91">
                  <c:v>4.480709598286138</c:v>
                </c:pt>
                <c:pt idx="92">
                  <c:v>4.4677443096131846</c:v>
                </c:pt>
                <c:pt idx="93">
                  <c:v>4.4550078816227501</c:v>
                </c:pt>
                <c:pt idx="94">
                  <c:v>4.442496274511841</c:v>
                </c:pt>
                <c:pt idx="95">
                  <c:v>4.4302055197872567</c:v>
                </c:pt>
                <c:pt idx="96">
                  <c:v>4.4181317190068459</c:v>
                </c:pt>
                <c:pt idx="97">
                  <c:v>4.4062710425429774</c:v>
                </c:pt>
                <c:pt idx="98">
                  <c:v>4.3946197283678439</c:v>
                </c:pt>
                <c:pt idx="99">
                  <c:v>4.3831740808601953</c:v>
                </c:pt>
                <c:pt idx="100">
                  <c:v>4.3719304696331545</c:v>
                </c:pt>
                <c:pt idx="101">
                  <c:v>4.3608853283827029</c:v>
                </c:pt>
                <c:pt idx="102">
                  <c:v>4.3500351537565098</c:v>
                </c:pt>
                <c:pt idx="103">
                  <c:v>4.3393765042427184</c:v>
                </c:pt>
                <c:pt idx="104">
                  <c:v>4.3289059990783496</c:v>
                </c:pt>
                <c:pt idx="105">
                  <c:v>4.318620317176979</c:v>
                </c:pt>
                <c:pt idx="106">
                  <c:v>4.3085161960753329</c:v>
                </c:pt>
                <c:pt idx="107">
                  <c:v>4.2985904308984875</c:v>
                </c:pt>
                <c:pt idx="108">
                  <c:v>4.2888398733433313</c:v>
                </c:pt>
                <c:pt idx="109">
                  <c:v>4.279261430679969</c:v>
                </c:pt>
                <c:pt idx="110">
                  <c:v>4.2698520647707543</c:v>
                </c:pt>
                <c:pt idx="111">
                  <c:v>4.2606087911066384</c:v>
                </c:pt>
                <c:pt idx="112">
                  <c:v>4.2515286778605317</c:v>
                </c:pt>
                <c:pt idx="113">
                  <c:v>4.2426088449573678</c:v>
                </c:pt>
                <c:pt idx="114">
                  <c:v>4.2338464631605897</c:v>
                </c:pt>
                <c:pt idx="115">
                  <c:v>4.2252387531747599</c:v>
                </c:pt>
                <c:pt idx="116">
                  <c:v>4.2167829847640066</c:v>
                </c:pt>
                <c:pt idx="117">
                  <c:v>4.2084764758860347</c:v>
                </c:pt>
                <c:pt idx="118">
                  <c:v>4.2003165918414247</c:v>
                </c:pt>
                <c:pt idx="119">
                  <c:v>4.1923007444379454</c:v>
                </c:pt>
                <c:pt idx="120">
                  <c:v>4.1844263911696133</c:v>
                </c:pt>
                <c:pt idx="121">
                  <c:v>4.1766910344102568</c:v>
                </c:pt>
                <c:pt idx="122">
                  <c:v>4.1690922206212981</c:v>
                </c:pt>
                <c:pt idx="123">
                  <c:v>4.1616275395735336</c:v>
                </c:pt>
                <c:pt idx="124">
                  <c:v>4.1542946235826426</c:v>
                </c:pt>
                <c:pt idx="125">
                  <c:v>4.1470911467581963</c:v>
                </c:pt>
                <c:pt idx="126">
                  <c:v>4.1400148242659158</c:v>
                </c:pt>
                <c:pt idx="127">
                  <c:v>4.1330634116029623</c:v>
                </c:pt>
                <c:pt idx="128">
                  <c:v>4.126234703886011</c:v>
                </c:pt>
                <c:pt idx="129">
                  <c:v>4.1195265351518966</c:v>
                </c:pt>
                <c:pt idx="130">
                  <c:v>4.112936777670603</c:v>
                </c:pt>
                <c:pt idx="131">
                  <c:v>4.1064633412703779</c:v>
                </c:pt>
                <c:pt idx="132">
                  <c:v>4.1001041726747625</c:v>
                </c:pt>
                <c:pt idx="133">
                  <c:v>4.0938572548513257</c:v>
                </c:pt>
                <c:pt idx="134">
                  <c:v>4.0877206063718869</c:v>
                </c:pt>
                <c:pt idx="135">
                  <c:v>4.0816922807840408</c:v>
                </c:pt>
                <c:pt idx="136">
                  <c:v>4.0757703659937699</c:v>
                </c:pt>
                <c:pt idx="137">
                  <c:v>4.0699529836589576</c:v>
                </c:pt>
                <c:pt idx="138">
                  <c:v>4.0642382885936081</c:v>
                </c:pt>
                <c:pt idx="139">
                  <c:v>4.0586244681825789</c:v>
                </c:pt>
                <c:pt idx="140">
                  <c:v>4.0531097418066482</c:v>
                </c:pt>
                <c:pt idx="141">
                  <c:v>4.0476923602777255</c:v>
                </c:pt>
                <c:pt idx="142">
                  <c:v>4.0423706052840434</c:v>
                </c:pt>
                <c:pt idx="143">
                  <c:v>4.0371427888451263</c:v>
                </c:pt>
                <c:pt idx="144">
                  <c:v>4.0320072527763946</c:v>
                </c:pt>
                <c:pt idx="145">
                  <c:v>4.0269623681632103</c:v>
                </c:pt>
                <c:pt idx="146">
                  <c:v>4.02200653484421</c:v>
                </c:pt>
                <c:pt idx="147">
                  <c:v>4.0171381809037605</c:v>
                </c:pt>
                <c:pt idx="148">
                  <c:v>4.0123557621733674</c:v>
                </c:pt>
                <c:pt idx="149">
                  <c:v>4.0076577617418909</c:v>
                </c:pt>
                <c:pt idx="150">
                  <c:v>4.0030426894744027</c:v>
                </c:pt>
                <c:pt idx="151">
                  <c:v>3.9985090815395377</c:v>
                </c:pt>
                <c:pt idx="152">
                  <c:v>3.99405549994519</c:v>
                </c:pt>
                <c:pt idx="153">
                  <c:v>3.9896805320824029</c:v>
                </c:pt>
                <c:pt idx="154">
                  <c:v>3.9853827902773094</c:v>
                </c:pt>
                <c:pt idx="155">
                  <c:v>3.9811609113509858</c:v>
                </c:pt>
                <c:pt idx="156">
                  <c:v>3.9770135561870679</c:v>
                </c:pt>
                <c:pt idx="157">
                  <c:v>3.9729394093070076</c:v>
                </c:pt>
                <c:pt idx="158">
                  <c:v>3.9689371784528205</c:v>
                </c:pt>
                <c:pt idx="159">
                  <c:v>3.9650055941772009</c:v>
                </c:pt>
                <c:pt idx="160">
                  <c:v>3.9611434094408744</c:v>
                </c:pt>
                <c:pt idx="161">
                  <c:v>3.957349399217053</c:v>
                </c:pt>
                <c:pt idx="162">
                  <c:v>3.9536223601028779</c:v>
                </c:pt>
                <c:pt idx="163">
                  <c:v>3.9499611099377159</c:v>
                </c:pt>
                <c:pt idx="164">
                  <c:v>3.9463644874281973</c:v>
                </c:pt>
                <c:pt idx="165">
                  <c:v>3.9428313517798705</c:v>
                </c:pt>
                <c:pt idx="166">
                  <c:v>3.9393605823353592</c:v>
                </c:pt>
                <c:pt idx="167">
                  <c:v>3.9359510782189084</c:v>
                </c:pt>
                <c:pt idx="168">
                  <c:v>3.9326017579871992</c:v>
                </c:pt>
                <c:pt idx="169">
                  <c:v>3.9293115592863361</c:v>
                </c:pt>
                <c:pt idx="170">
                  <c:v>3.9260794385148814</c:v>
                </c:pt>
                <c:pt idx="171">
                  <c:v>3.9229043704928408</c:v>
                </c:pt>
                <c:pt idx="172">
                  <c:v>3.9197853481364922</c:v>
                </c:pt>
                <c:pt idx="173">
                  <c:v>3.9167213821389546</c:v>
                </c:pt>
                <c:pt idx="174">
                  <c:v>3.9137115006563943</c:v>
                </c:pt>
                <c:pt idx="175">
                  <c:v>3.9107547489997696</c:v>
                </c:pt>
                <c:pt idx="176">
                  <c:v>3.9078501893320192</c:v>
                </c:pt>
                <c:pt idx="177">
                  <c:v>3.9049969003705947</c:v>
                </c:pt>
                <c:pt idx="178">
                  <c:v>3.9021939770952425</c:v>
                </c:pt>
                <c:pt idx="179">
                  <c:v>3.8994405304609452</c:v>
                </c:pt>
                <c:pt idx="180">
                  <c:v>3.8967356871159304</c:v>
                </c:pt>
                <c:pt idx="181">
                  <c:v>3.894078589124657</c:v>
                </c:pt>
                <c:pt idx="182">
                  <c:v>3.89146839369569</c:v>
                </c:pt>
                <c:pt idx="183">
                  <c:v>3.8889042729143806</c:v>
                </c:pt>
                <c:pt idx="184">
                  <c:v>3.8863854134802627</c:v>
                </c:pt>
                <c:pt idx="185">
                  <c:v>3.8839110164490891</c:v>
                </c:pt>
                <c:pt idx="186">
                  <c:v>3.8814802969794155</c:v>
                </c:pt>
                <c:pt idx="187">
                  <c:v>3.879092484083662</c:v>
                </c:pt>
                <c:pt idx="188">
                  <c:v>3.8767468203835675</c:v>
                </c:pt>
                <c:pt idx="189">
                  <c:v>3.8744425618699601</c:v>
                </c:pt>
                <c:pt idx="190">
                  <c:v>3.8721789776667697</c:v>
                </c:pt>
                <c:pt idx="191">
                  <c:v>3.869955349799203</c:v>
                </c:pt>
                <c:pt idx="192">
                  <c:v>3.8677709729660159</c:v>
                </c:pt>
                <c:pt idx="193">
                  <c:v>3.8656251543157998</c:v>
                </c:pt>
                <c:pt idx="194">
                  <c:v>3.8635172132272206</c:v>
                </c:pt>
                <c:pt idx="195">
                  <c:v>3.8614464810931359</c:v>
                </c:pt>
                <c:pt idx="196">
                  <c:v>3.8594123011085233</c:v>
                </c:pt>
                <c:pt idx="197">
                  <c:v>3.8574140280621507</c:v>
                </c:pt>
                <c:pt idx="198">
                  <c:v>3.8554510281319265</c:v>
                </c:pt>
                <c:pt idx="199">
                  <c:v>3.8535226786838583</c:v>
                </c:pt>
                <c:pt idx="200">
                  <c:v>3.8516283680745662</c:v>
                </c:pt>
                <c:pt idx="201">
                  <c:v>3.849767495457276</c:v>
                </c:pt>
                <c:pt idx="202">
                  <c:v>3.84793947059124</c:v>
                </c:pt>
                <c:pt idx="203">
                  <c:v>3.8461437136545236</c:v>
                </c:pt>
                <c:pt idx="204">
                  <c:v>3.8443796550600919</c:v>
                </c:pt>
                <c:pt idx="205">
                  <c:v>3.8426467352751468</c:v>
                </c:pt>
                <c:pt idx="206">
                  <c:v>3.8409444046436509</c:v>
                </c:pt>
                <c:pt idx="207">
                  <c:v>3.8392721232119862</c:v>
                </c:pt>
                <c:pt idx="208">
                  <c:v>3.8376293605576866</c:v>
                </c:pt>
                <c:pt idx="209">
                  <c:v>3.8360155956211983</c:v>
                </c:pt>
                <c:pt idx="210">
                  <c:v>3.834430316540606</c:v>
                </c:pt>
                <c:pt idx="211">
                  <c:v>3.8328730204892794</c:v>
                </c:pt>
                <c:pt idx="212">
                  <c:v>3.8313432135163819</c:v>
                </c:pt>
                <c:pt idx="213">
                  <c:v>3.8298404103901995</c:v>
                </c:pt>
                <c:pt idx="214">
                  <c:v>3.828364134444231</c:v>
                </c:pt>
                <c:pt idx="215">
                  <c:v>3.8269139174259963</c:v>
                </c:pt>
                <c:pt idx="216">
                  <c:v>3.8254892993485154</c:v>
                </c:pt>
                <c:pt idx="217">
                  <c:v>3.8240898283444062</c:v>
                </c:pt>
                <c:pt idx="218">
                  <c:v>3.822715060522559</c:v>
                </c:pt>
                <c:pt idx="219">
                  <c:v>3.8213645598273409</c:v>
                </c:pt>
                <c:pt idx="220">
                  <c:v>3.8200378979002867</c:v>
                </c:pt>
                <c:pt idx="221">
                  <c:v>3.8187346539442286</c:v>
                </c:pt>
                <c:pt idx="222">
                  <c:v>3.8174544145898262</c:v>
                </c:pt>
                <c:pt idx="223">
                  <c:v>3.8161967737644518</c:v>
                </c:pt>
                <c:pt idx="224">
                  <c:v>3.8149613325633913</c:v>
                </c:pt>
                <c:pt idx="225">
                  <c:v>3.8137476991233163</c:v>
                </c:pt>
                <c:pt idx="226">
                  <c:v>3.812555488497992</c:v>
                </c:pt>
                <c:pt idx="227">
                  <c:v>3.8113843225361759</c:v>
                </c:pt>
                <c:pt idx="228">
                  <c:v>3.8102338297616778</c:v>
                </c:pt>
                <c:pt idx="229">
                  <c:v>3.8091036452555298</c:v>
                </c:pt>
                <c:pt idx="230">
                  <c:v>3.8079934105402407</c:v>
                </c:pt>
                <c:pt idx="231">
                  <c:v>3.8069027734660921</c:v>
                </c:pt>
                <c:pt idx="232">
                  <c:v>3.8058313880994423</c:v>
                </c:pt>
                <c:pt idx="233">
                  <c:v>3.8047789146130011</c:v>
                </c:pt>
                <c:pt idx="234">
                  <c:v>3.8037450191780415</c:v>
                </c:pt>
                <c:pt idx="235">
                  <c:v>3.8027293738585146</c:v>
                </c:pt>
                <c:pt idx="236">
                  <c:v>3.8017316565070325</c:v>
                </c:pt>
                <c:pt idx="237">
                  <c:v>3.8007515506626897</c:v>
                </c:pt>
                <c:pt idx="238">
                  <c:v>3.7997887454506842</c:v>
                </c:pt>
                <c:pt idx="239">
                  <c:v>3.7988429354837137</c:v>
                </c:pt>
                <c:pt idx="240">
                  <c:v>3.7979138207651131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7F0-408F-A621-E5F6A2F28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n-US"/>
                  <a:t>Time (min)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tickLblSkip val="24"/>
        <c:noMultiLvlLbl val="1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n-US"/>
                  <a:t>pH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t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DOPC apparent k, full record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Full-record k (min^-1)</c:v>
          </c:tx>
          <c:spPr>
            <a:solidFill>
              <a:srgbClr val="4472C4"/>
            </a:solidFill>
            <a:ln w="14288">
              <a:solidFill>
                <a:srgbClr val="4472C4"/>
              </a:solidFill>
              <a:prstDash val="solid"/>
            </a:ln>
          </c:spPr>
          <c:invertIfNegative val="0"/>
          <c:cat>
            <c:strRef>
              <c:f>Analysis!$A$54:$A$56</c:f>
              <c:strCache>
                <c:ptCount val="3"/>
                <c:pt idx="0">
                  <c:v>DOPC 1</c:v>
                </c:pt>
                <c:pt idx="1">
                  <c:v>DOPC 2</c:v>
                </c:pt>
                <c:pt idx="2">
                  <c:v>DOPC 3</c:v>
                </c:pt>
              </c:strCache>
            </c:strRef>
          </c:cat>
          <c:val>
            <c:numRef>
              <c:f>Analysis!$B$54:$B$56</c:f>
              <c:numCache>
                <c:formatCode>0.0000</c:formatCode>
                <c:ptCount val="3"/>
                <c:pt idx="0">
                  <c:v>0.1547651243927487</c:v>
                </c:pt>
                <c:pt idx="1">
                  <c:v>0.26892429277610547</c:v>
                </c:pt>
                <c:pt idx="2">
                  <c:v>0.21371341183599718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58-4EB7-B4DF-629DEC446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Series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k (min^-1)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885825</xdr:colOff>
      <xdr:row>15</xdr:row>
      <xdr:rowOff>47625</xdr:rowOff>
    </xdr:from>
    <xdr:to>
      <xdr:col>15</xdr:col>
      <xdr:colOff>809625</xdr:colOff>
      <xdr:row>35</xdr:row>
      <xdr:rowOff>47625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161925</xdr:colOff>
      <xdr:row>37</xdr:row>
      <xdr:rowOff>85725</xdr:rowOff>
    </xdr:from>
    <xdr:to>
      <xdr:col>13</xdr:col>
      <xdr:colOff>923925</xdr:colOff>
      <xdr:row>54</xdr:row>
      <xdr:rowOff>9525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00"/>
  <sheetViews>
    <sheetView tabSelected="1" workbookViewId="0">
      <pane ySplit="3" topLeftCell="A15" activePane="bottomLeft" state="frozen"/>
      <selection pane="bottomLeft" activeCell="C33" sqref="C33"/>
    </sheetView>
  </sheetViews>
  <sheetFormatPr defaultRowHeight="14.25"/>
  <cols>
    <col min="1" max="1" width="31" customWidth="1"/>
    <col min="2" max="6" width="14" customWidth="1"/>
    <col min="7" max="17" width="13" customWidth="1"/>
    <col min="18" max="19" width="18" customWidth="1"/>
  </cols>
  <sheetData>
    <row r="1" spans="1:6" ht="20.100000000000001" customHeight="1">
      <c r="A1" s="2" t="s">
        <v>0</v>
      </c>
    </row>
    <row r="2" spans="1:6" ht="20.100000000000001" customHeight="1"/>
    <row r="3" spans="1:6" ht="20.100000000000001" customHeight="1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4" spans="1:6" ht="20.100000000000001" customHeight="1">
      <c r="A4" t="s">
        <v>7</v>
      </c>
      <c r="B4" s="7">
        <f>COUNT(D347:D588)</f>
        <v>242</v>
      </c>
      <c r="C4" s="7">
        <f>COUNT(D589:D831)</f>
        <v>243</v>
      </c>
      <c r="D4" s="7">
        <f>COUNT(D832:D1074)</f>
        <v>243</v>
      </c>
      <c r="E4" s="7"/>
      <c r="F4" s="7"/>
    </row>
    <row r="5" spans="1:6" ht="20.100000000000001" customHeight="1">
      <c r="A5" t="s">
        <v>8</v>
      </c>
      <c r="B5" s="1">
        <f>MAX(C347:C588)</f>
        <v>20.070566666666725</v>
      </c>
      <c r="C5" s="1">
        <f>MAX(C589:C831)</f>
        <v>20.153650000000074</v>
      </c>
      <c r="D5" s="1">
        <f>MAX(C832:C1074)</f>
        <v>20.153650000000074</v>
      </c>
      <c r="E5" s="1"/>
      <c r="F5" s="1"/>
    </row>
    <row r="6" spans="1:6" ht="20.100000000000001" customHeight="1">
      <c r="A6" t="s">
        <v>9</v>
      </c>
      <c r="B6" s="1">
        <f>D347</f>
        <v>7.4064500000000004</v>
      </c>
      <c r="C6" s="1">
        <f>D589</f>
        <v>7.2622499999999999</v>
      </c>
      <c r="D6" s="1">
        <f>D832</f>
        <v>7.1284299999999998</v>
      </c>
      <c r="E6" s="1"/>
      <c r="F6" s="1"/>
    </row>
    <row r="7" spans="1:6" ht="20.100000000000001" customHeight="1">
      <c r="A7" t="s">
        <v>10</v>
      </c>
      <c r="B7" s="1">
        <f>D588</f>
        <v>3.8902800000000002</v>
      </c>
      <c r="C7" s="1">
        <f>D831</f>
        <v>3.4553799999999999</v>
      </c>
      <c r="D7" s="1">
        <f>D1074</f>
        <v>3.8003</v>
      </c>
      <c r="E7" s="1"/>
      <c r="F7" s="1"/>
    </row>
    <row r="8" spans="1:6" ht="20.100000000000001" customHeight="1">
      <c r="A8" t="s">
        <v>11</v>
      </c>
      <c r="B8" s="1">
        <f>B102-B246</f>
        <v>3.2011254755216694</v>
      </c>
      <c r="C8" s="1">
        <f>C102-C246</f>
        <v>3.6161651300000086</v>
      </c>
      <c r="D8" s="1">
        <f>D102-D246</f>
        <v>3.0751957739999947</v>
      </c>
      <c r="E8" s="1"/>
      <c r="F8" s="1"/>
    </row>
    <row r="9" spans="1:6" ht="20.100000000000001" customHeight="1">
      <c r="A9" t="s">
        <v>12</v>
      </c>
      <c r="B9" s="1">
        <v>3.6342207701493048</v>
      </c>
      <c r="C9" s="1">
        <v>3.4511313916463675</v>
      </c>
      <c r="D9" s="1">
        <v>3.7462072428677966</v>
      </c>
      <c r="E9" s="1"/>
      <c r="F9" s="1"/>
    </row>
    <row r="10" spans="1:6" ht="20.100000000000001" customHeight="1">
      <c r="A10" t="s">
        <v>13</v>
      </c>
      <c r="B10" s="1">
        <v>4.0951627250124707</v>
      </c>
      <c r="C10" s="1">
        <v>4.2850070832893383</v>
      </c>
      <c r="D10" s="1">
        <v>3.7139572903032261</v>
      </c>
      <c r="E10" s="1"/>
      <c r="F10" s="1"/>
    </row>
    <row r="11" spans="1:6" ht="20.100000000000001" customHeight="1">
      <c r="A11" t="s">
        <v>14</v>
      </c>
      <c r="B11" s="1">
        <v>0.1547651243927487</v>
      </c>
      <c r="C11" s="1">
        <v>0.26892429277610547</v>
      </c>
      <c r="D11" s="1">
        <v>0.21371341183599718</v>
      </c>
      <c r="E11" s="1"/>
      <c r="F11" s="1"/>
    </row>
    <row r="12" spans="1:6" ht="20.100000000000001" customHeight="1">
      <c r="A12" t="s">
        <v>15</v>
      </c>
      <c r="B12" s="1">
        <f>LN(2)/B11</f>
        <v>4.478703992773851</v>
      </c>
      <c r="C12" s="1">
        <f>LN(2)/C11</f>
        <v>2.5774807229372509</v>
      </c>
      <c r="D12" s="1">
        <f>LN(2)/D11</f>
        <v>3.2433489999769582</v>
      </c>
      <c r="E12" s="1"/>
      <c r="F12" s="1"/>
    </row>
    <row r="13" spans="1:6" ht="20.100000000000001" customHeight="1">
      <c r="A13" t="s">
        <v>16</v>
      </c>
      <c r="B13" s="1">
        <f>1-B15/DEVSQ(D347:D588)</f>
        <v>0.99261826499933437</v>
      </c>
      <c r="C13" s="1">
        <f>1-C15/DEVSQ(D589:D831)</f>
        <v>0.98813392749118389</v>
      </c>
      <c r="D13" s="1">
        <f>1-D15/DEVSQ(D832:D1074)</f>
        <v>0.98930093318672552</v>
      </c>
      <c r="E13" s="1"/>
      <c r="F13" s="1"/>
    </row>
    <row r="14" spans="1:6" ht="20.100000000000001" customHeight="1">
      <c r="A14" t="s">
        <v>17</v>
      </c>
      <c r="B14" s="1">
        <f>SQRT(B15/B4)</f>
        <v>9.1369848731548811E-2</v>
      </c>
      <c r="C14" s="1">
        <f>SQRT(C15/C4)</f>
        <v>0.11475173442008266</v>
      </c>
      <c r="D14" s="1">
        <f>SQRT(D15/D4)</f>
        <v>9.8221574079756999E-2</v>
      </c>
      <c r="E14" s="1"/>
      <c r="F14" s="1"/>
    </row>
    <row r="15" spans="1:6" ht="20.100000000000001" customHeight="1">
      <c r="A15" t="s">
        <v>18</v>
      </c>
      <c r="B15" s="1">
        <f>SUM(J347:J588)</f>
        <v>2.0203247202487193</v>
      </c>
      <c r="C15" s="1">
        <f>SUM(J589:J831)</f>
        <v>3.1998144142373754</v>
      </c>
      <c r="D15" s="1">
        <f>SUM(J832:J1074)</f>
        <v>2.3443370603733613</v>
      </c>
      <c r="E15" s="1"/>
      <c r="F15" s="1"/>
    </row>
    <row r="16" spans="1:6" ht="20.100000000000001" customHeight="1">
      <c r="A16" t="s">
        <v>19</v>
      </c>
      <c r="B16" s="1">
        <f>SLOPE(D347:D588,C347:C588)</f>
        <v>-0.16848988005128104</v>
      </c>
      <c r="C16" s="1">
        <f>SLOPE(D589:D831,C589:C831)</f>
        <v>-0.14930985180726328</v>
      </c>
      <c r="D16" s="1">
        <f>SLOPE(D832:D1074,C832:C1074)</f>
        <v>-0.14187913538341904</v>
      </c>
      <c r="E16" s="1"/>
      <c r="F16" s="1"/>
    </row>
    <row r="17" spans="1:6" ht="20.100000000000001" customHeight="1">
      <c r="A17" t="s">
        <v>20</v>
      </c>
      <c r="B17" s="1">
        <f>INTERCEPT(D347:D588,C347:C588)</f>
        <v>6.5880645059262344</v>
      </c>
      <c r="C17" s="1">
        <f>INTERCEPT(D589:D831,C589:C831)</f>
        <v>5.7484816994431194</v>
      </c>
      <c r="D17" s="1">
        <f>INTERCEPT(D832:D1074,C832:C1074)</f>
        <v>6.0308441626665923</v>
      </c>
      <c r="E17" s="1"/>
      <c r="F17" s="1"/>
    </row>
    <row r="18" spans="1:6" ht="20.100000000000001" customHeight="1">
      <c r="A18" t="s">
        <v>21</v>
      </c>
      <c r="B18" s="1">
        <f>RSQ(D347:D588,C347:C588)</f>
        <v>0.84961826355544245</v>
      </c>
      <c r="C18" s="1">
        <f>RSQ(D589:D831,C589:C831)</f>
        <v>0.68560208337238071</v>
      </c>
      <c r="D18" s="1">
        <f>RSQ(D832:D1074,C832:C1074)</f>
        <v>0.7618603898060442</v>
      </c>
      <c r="E18" s="1"/>
      <c r="F18" s="1"/>
    </row>
    <row r="19" spans="1:6" ht="20.100000000000001" customHeight="1">
      <c r="A19" t="s">
        <v>22</v>
      </c>
      <c r="B19" s="1">
        <f>SLOPE(D347:D367,C347:C367)</f>
        <v>-0.40510274688538167</v>
      </c>
      <c r="C19" s="1">
        <f>SLOPE(D589:D609,C589:C609)</f>
        <v>-0.56104101239251447</v>
      </c>
      <c r="D19" s="1">
        <f>SLOPE(D832:D852,C832:C852)</f>
        <v>-0.42608119303130143</v>
      </c>
      <c r="E19" s="1"/>
      <c r="F19" s="1"/>
    </row>
    <row r="20" spans="1:6" ht="20.100000000000001" customHeight="1">
      <c r="A20" t="s">
        <v>23</v>
      </c>
      <c r="B20" s="1">
        <f>SLOPE(D564:D588,C564:C588)</f>
        <v>-2.6094255235574588E-2</v>
      </c>
      <c r="C20" s="1">
        <f>SLOPE(D807:D831,C807:C831)</f>
        <v>-1.8699944898182812E-2</v>
      </c>
      <c r="D20" s="1">
        <f>SLOPE(D1050:D1074,C1050:C1074)</f>
        <v>-2.7684398945074479E-2</v>
      </c>
      <c r="E20" s="1"/>
      <c r="F20" s="1"/>
    </row>
    <row r="21" spans="1:6" ht="20.100000000000001" customHeight="1">
      <c r="A21" t="s">
        <v>24</v>
      </c>
      <c r="B21" s="1">
        <f>IF(D347&lt;=6,0,IF(COUNT(P347:P588)=0,"Not reached",MIN(P347:P588)))</f>
        <v>4.0481874584598367</v>
      </c>
      <c r="C21" s="1">
        <f>IF(D589&lt;=6,0,IF(COUNT(P589:P831)=0,"Not reached",MIN(P589:P831)))</f>
        <v>2.3936974499089696</v>
      </c>
      <c r="D21" s="1">
        <f>IF(D832&lt;=6,0,IF(COUNT(P832:P1074)=0,"Not reached",MIN(P832:P1074)))</f>
        <v>2.8556878735347921</v>
      </c>
      <c r="E21" s="1"/>
      <c r="F21" s="1"/>
    </row>
    <row r="22" spans="1:6" ht="20.100000000000001" customHeight="1">
      <c r="A22" t="s">
        <v>25</v>
      </c>
      <c r="B22" s="1">
        <f>IF(D347&lt;=5,0,IF(COUNT(Q347:Q588)=0,"Not reached",MIN(Q347:Q588)))</f>
        <v>6.8836954483880373</v>
      </c>
      <c r="C22" s="1">
        <f>IF(D589&lt;=5,0,IF(COUNT(Q589:Q831)=0,"Not reached",MIN(Q589:Q831)))</f>
        <v>3.8031815462611607</v>
      </c>
      <c r="D22" s="1">
        <f>IF(D832&lt;=5,0,IF(COUNT(Q832:Q1074)=0,"Not reached",MIN(Q832:Q1074)))</f>
        <v>4.9040885834571819</v>
      </c>
      <c r="E22" s="1"/>
      <c r="F22" s="1"/>
    </row>
    <row r="23" spans="1:6" ht="20.100000000000001" customHeight="1">
      <c r="A23" t="s">
        <v>26</v>
      </c>
      <c r="B23" s="1">
        <f>IF(D347&lt;=4,0,IF(COUNT(R347:R588)=0,"Not reached",MIN(R347:R588)))</f>
        <v>16.355340121317155</v>
      </c>
      <c r="C23" s="1">
        <f>IF(D589&lt;=4,0,IF(COUNT(R589:R831)=0,"Not reached",MIN(R589:R831)))</f>
        <v>6.8491082430481001</v>
      </c>
      <c r="D23" s="1">
        <f>IF(D832&lt;=4,0,IF(COUNT(R832:R1074)=0,"Not reached",MIN(R832:R1074)))</f>
        <v>13.071852408477909</v>
      </c>
      <c r="E23" s="1"/>
      <c r="F23" s="1"/>
    </row>
    <row r="24" spans="1:6" ht="20.100000000000001" customHeight="1">
      <c r="A24" t="s">
        <v>27</v>
      </c>
      <c r="B24" s="1" t="str">
        <f>IF(D347&lt;=3,0,IF(COUNT(S347:S588)=0,"Not reached",MIN(S347:S588)))</f>
        <v>Not reached</v>
      </c>
      <c r="C24" s="1" t="str">
        <f>IF(D589&lt;=3,0,IF(COUNT(S589:S831)=0,"Not reached",MIN(S589:S831)))</f>
        <v>Not reached</v>
      </c>
      <c r="D24" s="1" t="str">
        <f>IF(D832&lt;=3,0,IF(COUNT(S832:S1074)=0,"Not reached",MIN(S832:S1074)))</f>
        <v>Not reached</v>
      </c>
      <c r="E24" s="1"/>
      <c r="F24" s="1"/>
    </row>
    <row r="25" spans="1:6" ht="20.100000000000001" customHeight="1">
      <c r="A25" t="s">
        <v>28</v>
      </c>
      <c r="B25" s="1">
        <f>B102-B342</f>
        <v>3.5122577839999973</v>
      </c>
      <c r="C25" s="1">
        <f>C102-C342</f>
        <v>3.8130000421263901</v>
      </c>
      <c r="D25" s="1">
        <f>D102-D342</f>
        <v>3.3326533340019999</v>
      </c>
      <c r="E25" s="1"/>
      <c r="F25" s="1"/>
    </row>
    <row r="26" spans="1:6" ht="20.100000000000001" customHeight="1">
      <c r="B26" s="1"/>
      <c r="C26" s="1"/>
      <c r="D26" s="1"/>
      <c r="E26" s="1"/>
      <c r="F26" s="1"/>
    </row>
    <row r="27" spans="1:6" ht="20.100000000000001" customHeight="1">
      <c r="A27" t="s">
        <v>29</v>
      </c>
    </row>
    <row r="28" spans="1:6" ht="20.100000000000001" customHeight="1">
      <c r="A28" t="s">
        <v>30</v>
      </c>
    </row>
    <row r="29" spans="1:6" ht="20.100000000000001" customHeight="1"/>
    <row r="30" spans="1:6" ht="20.100000000000001" customHeight="1">
      <c r="A30" s="2" t="s">
        <v>31</v>
      </c>
      <c r="B30" s="2" t="s">
        <v>32</v>
      </c>
      <c r="C30" s="2" t="s">
        <v>33</v>
      </c>
      <c r="D30" s="2" t="s">
        <v>34</v>
      </c>
    </row>
    <row r="31" spans="1:6" ht="20.100000000000001" customHeight="1">
      <c r="A31" t="s">
        <v>14</v>
      </c>
      <c r="B31" s="1">
        <f>AVERAGE(B11:D11)</f>
        <v>0.21246760966828379</v>
      </c>
      <c r="C31" s="1">
        <f>_xlfn.STDEV.S(B11:D11)</f>
        <v>5.7089779722606392E-2</v>
      </c>
      <c r="D31" s="7">
        <f>COUNT(B11:D11)</f>
        <v>3</v>
      </c>
    </row>
    <row r="32" spans="1:6" ht="20.100000000000001" customHeight="1">
      <c r="B32" s="1"/>
      <c r="C32" s="1">
        <f>C31/B31</f>
        <v>0.2686987433601673</v>
      </c>
      <c r="D32" s="7"/>
    </row>
    <row r="33" spans="1:6" ht="20.100000000000001" customHeight="1">
      <c r="B33" s="1"/>
      <c r="C33" s="1"/>
      <c r="D33" s="7"/>
    </row>
    <row r="34" spans="1:6" ht="20.100000000000001" customHeight="1">
      <c r="B34" s="1"/>
      <c r="C34" s="1"/>
      <c r="D34" s="7"/>
    </row>
    <row r="35" spans="1:6" ht="20.100000000000001" customHeight="1">
      <c r="A35" t="s">
        <v>10</v>
      </c>
      <c r="B35" s="1">
        <f>AVERAGE(B7:D7)</f>
        <v>3.7153200000000002</v>
      </c>
      <c r="C35" s="1">
        <f>_xlfn.STDEV.S(B7:D7)</f>
        <v>0.22956633638231902</v>
      </c>
      <c r="D35" s="7">
        <f>COUNT(B7:D7)</f>
        <v>3</v>
      </c>
    </row>
    <row r="36" spans="1:6" ht="20.100000000000001" customHeight="1"/>
    <row r="37" spans="1:6" ht="20.100000000000001" customHeight="1">
      <c r="A37" s="2"/>
      <c r="B37" s="2"/>
      <c r="C37" s="2"/>
      <c r="D37" s="2"/>
      <c r="E37" s="2"/>
      <c r="F37" s="2"/>
    </row>
    <row r="38" spans="1:6" ht="20.100000000000001" customHeight="1">
      <c r="B38" s="7"/>
      <c r="C38" s="7"/>
      <c r="D38" s="7"/>
      <c r="E38" s="7"/>
      <c r="F38" s="7"/>
    </row>
    <row r="39" spans="1:6" ht="20.100000000000001" customHeight="1">
      <c r="B39" s="1"/>
      <c r="C39" s="1"/>
      <c r="D39" s="1"/>
      <c r="E39" s="1"/>
      <c r="F39" s="1"/>
    </row>
    <row r="40" spans="1:6" ht="20.100000000000001" customHeight="1">
      <c r="B40" s="1"/>
      <c r="C40" s="1"/>
      <c r="D40" s="1"/>
      <c r="E40" s="1"/>
      <c r="F40" s="1"/>
    </row>
    <row r="41" spans="1:6" ht="20.100000000000001" customHeight="1">
      <c r="B41" s="1"/>
      <c r="C41" s="1"/>
      <c r="D41" s="1"/>
      <c r="E41" s="1"/>
      <c r="F41" s="1"/>
    </row>
    <row r="42" spans="1:6" ht="20.100000000000001" customHeight="1">
      <c r="B42" s="1"/>
      <c r="C42" s="1"/>
      <c r="D42" s="1"/>
      <c r="E42" s="1"/>
      <c r="F42" s="1"/>
    </row>
    <row r="43" spans="1:6" ht="20.100000000000001" customHeight="1">
      <c r="B43" s="1"/>
      <c r="C43" s="1"/>
      <c r="D43" s="1"/>
      <c r="E43" s="1"/>
      <c r="F43" s="1"/>
    </row>
    <row r="44" spans="1:6" ht="20.100000000000001" customHeight="1">
      <c r="B44" s="1"/>
      <c r="C44" s="1"/>
      <c r="D44" s="1"/>
      <c r="E44" s="1"/>
      <c r="F44" s="1"/>
    </row>
    <row r="45" spans="1:6" ht="20.100000000000001" customHeight="1">
      <c r="B45" s="1"/>
      <c r="C45" s="1"/>
      <c r="D45" s="1"/>
      <c r="E45" s="1"/>
      <c r="F45" s="1"/>
    </row>
    <row r="46" spans="1:6" ht="20.100000000000001" customHeight="1">
      <c r="B46" s="1"/>
      <c r="C46" s="1"/>
      <c r="D46" s="1"/>
      <c r="E46" s="1"/>
      <c r="F46" s="1"/>
    </row>
    <row r="47" spans="1:6" ht="20.100000000000001" customHeight="1"/>
    <row r="48" spans="1:6" ht="20.100000000000001" customHeight="1"/>
    <row r="49" spans="1:6" ht="20.100000000000001" customHeight="1"/>
    <row r="50" spans="1:6" ht="20.100000000000001" customHeight="1">
      <c r="A50" s="2"/>
      <c r="B50" s="2"/>
      <c r="C50" s="2"/>
    </row>
    <row r="51" spans="1:6" ht="20.100000000000001" customHeight="1">
      <c r="B51" s="1"/>
      <c r="C51" s="1"/>
    </row>
    <row r="52" spans="1:6" ht="20.100000000000001" customHeight="1"/>
    <row r="53" spans="1:6" ht="45" customHeight="1">
      <c r="A53" s="3" t="s">
        <v>35</v>
      </c>
      <c r="B53" s="3" t="s">
        <v>36</v>
      </c>
      <c r="C53" s="3"/>
      <c r="D53" s="3" t="s">
        <v>35</v>
      </c>
      <c r="E53" s="3"/>
      <c r="F53" s="9"/>
    </row>
    <row r="54" spans="1:6" ht="20.100000000000001" customHeight="1">
      <c r="A54" t="s">
        <v>2</v>
      </c>
      <c r="B54" s="1">
        <f>B11</f>
        <v>0.1547651243927487</v>
      </c>
      <c r="C54" s="1"/>
      <c r="D54" t="s">
        <v>2</v>
      </c>
      <c r="E54" s="1"/>
    </row>
    <row r="55" spans="1:6" ht="20.100000000000001" customHeight="1">
      <c r="A55" t="s">
        <v>3</v>
      </c>
      <c r="B55" s="1">
        <f>C11</f>
        <v>0.26892429277610547</v>
      </c>
      <c r="C55" s="1"/>
      <c r="D55" t="s">
        <v>3</v>
      </c>
      <c r="E55" s="1"/>
    </row>
    <row r="56" spans="1:6" ht="20.100000000000001" customHeight="1">
      <c r="A56" t="s">
        <v>4</v>
      </c>
      <c r="B56" s="1">
        <f>D11</f>
        <v>0.21371341183599718</v>
      </c>
      <c r="C56" s="1"/>
      <c r="D56" t="s">
        <v>4</v>
      </c>
      <c r="E56" s="1"/>
    </row>
    <row r="57" spans="1:6" ht="20.100000000000001" customHeight="1">
      <c r="B57" s="1"/>
      <c r="C57" s="1"/>
      <c r="E57" s="1"/>
    </row>
    <row r="58" spans="1:6" ht="20.100000000000001" customHeight="1">
      <c r="B58" s="1"/>
      <c r="C58" s="1"/>
      <c r="E58" s="1"/>
    </row>
    <row r="59" spans="1:6" ht="20.100000000000001" customHeight="1"/>
    <row r="60" spans="1:6" ht="20.100000000000001" customHeight="1"/>
    <row r="61" spans="1:6" ht="20.100000000000001" customHeight="1"/>
    <row r="62" spans="1:6" ht="20.100000000000001" customHeight="1"/>
    <row r="63" spans="1:6" ht="20.100000000000001" customHeight="1"/>
    <row r="64" spans="1:6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spans="1:11" ht="20.100000000000001" customHeight="1"/>
    <row r="98" spans="1:11" ht="20.100000000000001" customHeight="1"/>
    <row r="99" spans="1:11" ht="20.100000000000001" customHeight="1"/>
    <row r="100" spans="1:11" ht="20.100000000000001" customHeight="1">
      <c r="A100" s="2" t="s">
        <v>37</v>
      </c>
    </row>
    <row r="101" spans="1:11" ht="35.1" customHeight="1">
      <c r="A101" s="3" t="s">
        <v>38</v>
      </c>
      <c r="B101" s="3" t="s">
        <v>2</v>
      </c>
      <c r="C101" s="3" t="s">
        <v>3</v>
      </c>
      <c r="D101" s="3" t="s">
        <v>4</v>
      </c>
      <c r="E101" s="3" t="s">
        <v>5</v>
      </c>
      <c r="F101" s="3" t="s">
        <v>6</v>
      </c>
      <c r="G101" s="3" t="s">
        <v>39</v>
      </c>
      <c r="H101" s="3" t="s">
        <v>40</v>
      </c>
      <c r="I101" s="3" t="s">
        <v>41</v>
      </c>
      <c r="J101" s="3" t="s">
        <v>42</v>
      </c>
      <c r="K101" s="3" t="s">
        <v>43</v>
      </c>
    </row>
    <row r="102" spans="1:11" ht="20.100000000000001" customHeight="1">
      <c r="A102" s="1">
        <v>0</v>
      </c>
      <c r="B102" s="1">
        <f>D347</f>
        <v>7.4064500000000004</v>
      </c>
      <c r="C102" s="1">
        <f>D589</f>
        <v>7.2622499999999999</v>
      </c>
      <c r="D102" s="1">
        <f>D832</f>
        <v>7.1284299999999998</v>
      </c>
      <c r="E102" s="1">
        <f>D1075</f>
        <v>3.9</v>
      </c>
      <c r="F102" s="1">
        <f>D1088</f>
        <v>6.73</v>
      </c>
      <c r="G102" s="1">
        <f>$B$9+$B$10*EXP(-$B$11*A102)</f>
        <v>7.729383495161775</v>
      </c>
      <c r="H102" s="1">
        <f>$C$9+$C$10*EXP(-$C$11*A102)</f>
        <v>7.7361384749357054</v>
      </c>
      <c r="I102" s="1">
        <f>$D$9+$D$10*EXP(-$D$11*A102)</f>
        <v>7.4601645331710227</v>
      </c>
      <c r="J102" s="1">
        <f>AVERAGE(B102:D102)</f>
        <v>7.2657100000000012</v>
      </c>
      <c r="K102" s="1">
        <f>_xlfn.STDEV.S(B102:D102)</f>
        <v>0.13904229140804636</v>
      </c>
    </row>
    <row r="103" spans="1:11" ht="20.100000000000001" customHeight="1">
      <c r="A103" s="1">
        <v>8.3333333333333329E-2</v>
      </c>
      <c r="B103" s="1">
        <f>D347+($A103-C347)*(D348-D347)/(C348-C347)</f>
        <v>7.4249099999999997</v>
      </c>
      <c r="C103" s="1">
        <f t="shared" ref="C103:C166" si="0">D590+($A103-C590)*(D591-D590)/(C591-C590)</f>
        <v>7.2771429280000275</v>
      </c>
      <c r="D103" s="1">
        <f t="shared" ref="D103:D166" si="1">D833+($A103-C833)*(D834-D833)/(C834-C833)</f>
        <v>7.132939248000028</v>
      </c>
      <c r="E103" s="1">
        <f>D1075+($A103-C1075)*(D1076-D1075)/(C1076-C1075)</f>
        <v>3.8774999999999999</v>
      </c>
      <c r="F103" s="1">
        <f>D1088+($A103-C1088)*(D1089-D1088)/(C1089-C1088)</f>
        <v>6.6866666666666674</v>
      </c>
      <c r="G103" s="1">
        <f>$B$9+$B$10*EXP(-$B$11*A103)</f>
        <v>7.6769069228073405</v>
      </c>
      <c r="H103" s="1">
        <f>$C$9+$C$10*EXP(-$C$11*A103)</f>
        <v>7.6411779571600906</v>
      </c>
      <c r="I103" s="1">
        <f>$D$9+$D$10*EXP(-$D$11*A103)</f>
        <v>7.3946065018963978</v>
      </c>
      <c r="J103" s="1">
        <f>AVERAGE(B103:D103)</f>
        <v>7.278330725333352</v>
      </c>
      <c r="K103" s="1">
        <f>_xlfn.STDEV.S(B103:D103)</f>
        <v>0.14598900010869323</v>
      </c>
    </row>
    <row r="104" spans="1:11" ht="20.100000000000001" customHeight="1">
      <c r="A104" s="1">
        <v>0.16666666666666666</v>
      </c>
      <c r="B104" s="1">
        <f>D349+($A104-C349)*(D350-D349)/(C350-C349)</f>
        <v>7.4087195215311104</v>
      </c>
      <c r="C104" s="1">
        <f t="shared" si="0"/>
        <v>7.2436386400000377</v>
      </c>
      <c r="D104" s="1">
        <f t="shared" si="1"/>
        <v>7.0983107840000326</v>
      </c>
      <c r="E104" s="1">
        <f>D1075+($A104-C1075)*(D1076-D1075)/(C1076-C1075)</f>
        <v>3.855</v>
      </c>
      <c r="F104" s="1">
        <f>D1088+($A104-C1088)*(D1089-D1088)/(C1089-C1088)</f>
        <v>6.6433333333333335</v>
      </c>
      <c r="G104" s="1">
        <f>$B$9+$B$10*EXP(-$B$11*A104)</f>
        <v>7.625102800079695</v>
      </c>
      <c r="H104" s="1">
        <f>$C$9+$C$10*EXP(-$C$11*A104)</f>
        <v>7.5483218699632211</v>
      </c>
      <c r="I104" s="1">
        <f>$D$9+$D$10*EXP(-$D$11*A104)</f>
        <v>7.3302056878778314</v>
      </c>
      <c r="J104" s="1">
        <f>AVERAGE(B104:D104)</f>
        <v>7.2502229818437272</v>
      </c>
      <c r="K104" s="1">
        <f>_xlfn.STDEV.S(B104:D104)</f>
        <v>0.15530908296698331</v>
      </c>
    </row>
    <row r="105" spans="1:11" ht="20.100000000000001" customHeight="1">
      <c r="A105" s="1">
        <v>0.25</v>
      </c>
      <c r="B105" s="1">
        <f>D349+($A105-C349)*(D350-D349)/(C350-C349)</f>
        <v>7.3960699999999999</v>
      </c>
      <c r="C105" s="1">
        <f t="shared" si="0"/>
        <v>7.1963571360000333</v>
      </c>
      <c r="D105" s="1">
        <f t="shared" si="1"/>
        <v>7.0579049600000392</v>
      </c>
      <c r="E105" s="1">
        <f>D1075+($A105-C1075)*(D1076-D1075)/(C1076-C1075)</f>
        <v>3.8325</v>
      </c>
      <c r="F105" s="1">
        <f>D1088+($A105-C1088)*(D1089-D1088)/(C1089-C1088)</f>
        <v>6.6000000000000005</v>
      </c>
      <c r="G105" s="1">
        <f>$B$9+$B$10*EXP(-$B$11*A105)</f>
        <v>7.5739625100193013</v>
      </c>
      <c r="H105" s="1">
        <f>$C$9+$C$10*EXP(-$C$11*A105)</f>
        <v>7.4575235768253663</v>
      </c>
      <c r="I105" s="1">
        <f>$D$9+$D$10*EXP(-$D$11*A105)</f>
        <v>7.2669416641477707</v>
      </c>
      <c r="J105" s="1">
        <f>AVERAGE(B105:D105)</f>
        <v>7.2167773653333569</v>
      </c>
      <c r="K105" s="1">
        <f>_xlfn.STDEV.S(B105:D105)</f>
        <v>0.17000481726722605</v>
      </c>
    </row>
    <row r="106" spans="1:11" ht="20.100000000000001" customHeight="1">
      <c r="A106" s="1">
        <v>0.33333333333333331</v>
      </c>
      <c r="B106" s="1">
        <f t="shared" ref="B106:B169" si="2">D351+($A106-C351)*(D352-D351)/(C352-C351)</f>
        <v>7.376345536000029</v>
      </c>
      <c r="C106" s="1">
        <f t="shared" si="0"/>
        <v>7.1548033560682462</v>
      </c>
      <c r="D106" s="1">
        <f t="shared" si="1"/>
        <v>7.0094804272818783</v>
      </c>
      <c r="E106" s="1">
        <f>D1075+($A106-C1075)*(D1076-D1075)/(C1076-C1075)</f>
        <v>3.81</v>
      </c>
      <c r="F106" s="1">
        <f>D1088+($A106-C1088)*(D1089-D1088)/(C1089-C1088)</f>
        <v>6.5566666666666666</v>
      </c>
      <c r="G106" s="1">
        <f>$B$9+$B$10*EXP(-$B$11*A106)</f>
        <v>7.5234775460867764</v>
      </c>
      <c r="H106" s="1">
        <f>$C$9+$C$10*EXP(-$C$11*A106)</f>
        <v>7.3687374747438898</v>
      </c>
      <c r="I106" s="1">
        <f>$D$9+$D$10*EXP(-$D$11*A106)</f>
        <v>7.2047943643114074</v>
      </c>
      <c r="J106" s="1">
        <f>AVERAGE(B106:D106)</f>
        <v>7.1802097731167178</v>
      </c>
      <c r="K106" s="1">
        <f>_xlfn.STDEV.S(B106:D106)</f>
        <v>0.18474743981751354</v>
      </c>
    </row>
    <row r="107" spans="1:11" ht="20.100000000000001" customHeight="1">
      <c r="A107" s="1">
        <v>0.41666666666666669</v>
      </c>
      <c r="B107" s="1">
        <f t="shared" si="2"/>
        <v>7.3406124960000199</v>
      </c>
      <c r="C107" s="1">
        <f t="shared" si="0"/>
        <v>7.1027433998006435</v>
      </c>
      <c r="D107" s="1">
        <f t="shared" si="1"/>
        <v>6.9689825140000385</v>
      </c>
      <c r="E107" s="1">
        <f>D1075+($A107-C1075)*(D1076-D1075)/(C1076-C1075)</f>
        <v>3.7875000000000001</v>
      </c>
      <c r="F107" s="1">
        <f>D1088+($A107-C1088)*(D1089-D1088)/(C1089-C1088)</f>
        <v>6.5133333333333336</v>
      </c>
      <c r="G107" s="1">
        <f>$B$9+$B$10*EXP(-$B$11*A107)</f>
        <v>7.4736395107479403</v>
      </c>
      <c r="H107" s="1">
        <f>$C$9+$C$10*EXP(-$C$11*A107)</f>
        <v>7.2819189713293611</v>
      </c>
      <c r="I107" s="1">
        <f>$D$9+$D$10*EXP(-$D$11*A107)</f>
        <v>7.143744076181922</v>
      </c>
      <c r="J107" s="1">
        <f>AVERAGE(B107:D107)</f>
        <v>7.1374461366002349</v>
      </c>
      <c r="K107" s="1">
        <f>_xlfn.STDEV.S(B107:D107)</f>
        <v>0.18822970232235625</v>
      </c>
    </row>
    <row r="108" spans="1:11" ht="20.100000000000001" customHeight="1">
      <c r="A108" s="1">
        <v>0.5</v>
      </c>
      <c r="B108" s="1">
        <f t="shared" si="2"/>
        <v>7.3163961760000182</v>
      </c>
      <c r="C108" s="1">
        <f t="shared" si="0"/>
        <v>7.0532833881645347</v>
      </c>
      <c r="D108" s="1">
        <f t="shared" si="1"/>
        <v>6.927402418000046</v>
      </c>
      <c r="E108" s="1">
        <f>D1075+($A108-C1075)*(D1076-D1075)/(C1076-C1075)</f>
        <v>3.7649999999999997</v>
      </c>
      <c r="F108" s="1">
        <f>D1088+($A108-C1088)*(D1089-D1088)/(C1089-C1088)</f>
        <v>6.4700000000000006</v>
      </c>
      <c r="G108" s="1">
        <f>$B$9+$B$10*EXP(-$B$11*A108)</f>
        <v>7.4244401140769858</v>
      </c>
      <c r="H108" s="1">
        <f>$C$9+$C$10*EXP(-$C$11*A108)</f>
        <v>7.1970244624092388</v>
      </c>
      <c r="I108" s="1">
        <f>$D$9+$D$10*EXP(-$D$11*A108)</f>
        <v>7.0837714355280728</v>
      </c>
      <c r="J108" s="1">
        <f>AVERAGE(B108:D108)</f>
        <v>7.0990273273881996</v>
      </c>
      <c r="K108" s="1">
        <f>_xlfn.STDEV.S(B108:D108)</f>
        <v>0.19849034465814455</v>
      </c>
    </row>
    <row r="109" spans="1:11" ht="20.100000000000001" customHeight="1">
      <c r="A109" s="1">
        <v>0.58333333333333337</v>
      </c>
      <c r="B109" s="1">
        <f t="shared" si="2"/>
        <v>7.2932703951855897</v>
      </c>
      <c r="C109" s="1">
        <f t="shared" si="0"/>
        <v>7.0012467400000435</v>
      </c>
      <c r="D109" s="1">
        <f t="shared" si="1"/>
        <v>6.8778990971107836</v>
      </c>
      <c r="E109" s="1">
        <f>D1075+($A109-C1075)*(D1076-D1075)/(C1076-C1075)</f>
        <v>3.7424999999999997</v>
      </c>
      <c r="F109" s="1">
        <f>D1088+($A109-C1088)*(D1089-D1088)/(C1089-C1088)</f>
        <v>6.4266666666666667</v>
      </c>
      <c r="G109" s="1">
        <f>$B$9+$B$10*EXP(-$B$11*A109)</f>
        <v>7.3758711723775594</v>
      </c>
      <c r="H109" s="1">
        <f>$C$9+$C$10*EXP(-$C$11*A109)</f>
        <v>7.1140113101278963</v>
      </c>
      <c r="I109" s="1">
        <f>$D$9+$D$10*EXP(-$D$11*A109)</f>
        <v>7.0248574199321556</v>
      </c>
      <c r="J109" s="1">
        <f>AVERAGE(B109:D109)</f>
        <v>7.0574720774321387</v>
      </c>
      <c r="K109" s="1">
        <f>_xlfn.STDEV.S(B109:D109)</f>
        <v>0.21331735804453911</v>
      </c>
    </row>
    <row r="110" spans="1:11" ht="20.100000000000001" customHeight="1">
      <c r="A110" s="1">
        <v>0.66666666666666663</v>
      </c>
      <c r="B110" s="1">
        <f t="shared" si="2"/>
        <v>7.2527846719840827</v>
      </c>
      <c r="C110" s="1">
        <f t="shared" si="0"/>
        <v>6.9539181580000484</v>
      </c>
      <c r="D110" s="1">
        <f t="shared" si="1"/>
        <v>6.8454432834928332</v>
      </c>
      <c r="E110" s="1">
        <f>D1075+($A110-C1075)*(D1076-D1075)/(C1076-C1075)</f>
        <v>3.7199999999999998</v>
      </c>
      <c r="F110" s="1">
        <f>D1088+($A110-C1088)*(D1089-D1088)/(C1089-C1088)</f>
        <v>6.3833333333333337</v>
      </c>
      <c r="G110" s="1">
        <f>$B$9+$B$10*EXP(-$B$11*A110)</f>
        <v>7.3279246068215027</v>
      </c>
      <c r="H110" s="1">
        <f>$C$9+$C$10*EXP(-$C$11*A110)</f>
        <v>7.032837821531956</v>
      </c>
      <c r="I110" s="1">
        <f>$D$9+$D$10*EXP(-$D$11*A110)</f>
        <v>6.9669833427563814</v>
      </c>
      <c r="J110" s="1">
        <f>AVERAGE(B110:D110)</f>
        <v>7.0173820378256551</v>
      </c>
      <c r="K110" s="1">
        <f>_xlfn.STDEV.S(B110:D110)</f>
        <v>0.21095615593384334</v>
      </c>
    </row>
    <row r="111" spans="1:11" ht="20.100000000000001" customHeight="1">
      <c r="A111" s="1">
        <v>0.75</v>
      </c>
      <c r="B111" s="1">
        <f t="shared" si="2"/>
        <v>7.2148500521564944</v>
      </c>
      <c r="C111" s="1">
        <f t="shared" si="0"/>
        <v>6.9019723840000529</v>
      </c>
      <c r="D111" s="1">
        <f t="shared" si="1"/>
        <v>6.8075219442215396</v>
      </c>
      <c r="E111" s="1">
        <f>D1075+($A111-C1075)*(D1076-D1075)/(C1076-C1075)</f>
        <v>3.6974999999999998</v>
      </c>
      <c r="F111" s="1">
        <f>D1088+($A111-C1088)*(D1089-D1088)/(C1089-C1088)</f>
        <v>6.34</v>
      </c>
      <c r="G111" s="1">
        <f>$B$9+$B$10*EXP(-$B$11*A111)</f>
        <v>7.2805924421050472</v>
      </c>
      <c r="H111" s="1">
        <f>$C$9+$C$10*EXP(-$C$11*A111)</f>
        <v>6.9534632276302126</v>
      </c>
      <c r="I111" s="1">
        <f>$D$9+$D$10*EXP(-$D$11*A111)</f>
        <v>6.9101308472157497</v>
      </c>
      <c r="J111" s="1">
        <f>AVERAGE(B111:D111)</f>
        <v>6.974781460126029</v>
      </c>
      <c r="K111" s="1">
        <f>_xlfn.STDEV.S(B111:D111)</f>
        <v>0.21320159017513496</v>
      </c>
    </row>
    <row r="112" spans="1:11" ht="20.100000000000001" customHeight="1">
      <c r="A112" s="1">
        <v>0.83333333333333337</v>
      </c>
      <c r="B112" s="1">
        <f t="shared" si="2"/>
        <v>7.1835310000000412</v>
      </c>
      <c r="C112" s="1">
        <f t="shared" si="0"/>
        <v>6.8443629514446647</v>
      </c>
      <c r="D112" s="1">
        <f t="shared" si="1"/>
        <v>6.7739329520000098</v>
      </c>
      <c r="E112" s="1">
        <f>D1075+($A112-C1075)*(D1076-D1075)/(C1076-C1075)</f>
        <v>3.6749999999999998</v>
      </c>
      <c r="F112" s="1">
        <f>D1088+($A112-C1088)*(D1089-D1088)/(C1089-C1088)</f>
        <v>6.2966666666666669</v>
      </c>
      <c r="G112" s="1">
        <f>$B$9+$B$10*EXP(-$B$11*A112)</f>
        <v>7.2338668051222186</v>
      </c>
      <c r="H112" s="1">
        <f>$C$9+$C$10*EXP(-$C$11*A112)</f>
        <v>6.8758476629176002</v>
      </c>
      <c r="I112" s="1">
        <f>$D$9+$D$10*EXP(-$D$11*A112)</f>
        <v>6.8542819005555593</v>
      </c>
      <c r="J112" s="1">
        <f>AVERAGE(B112:D112)</f>
        <v>6.9339423011482388</v>
      </c>
      <c r="K112" s="1">
        <f>_xlfn.STDEV.S(B112:D112)</f>
        <v>0.21899996609895947</v>
      </c>
    </row>
    <row r="113" spans="1:11" ht="20.100000000000001" customHeight="1">
      <c r="A113" s="1">
        <v>0.91666666666666663</v>
      </c>
      <c r="B113" s="1">
        <f t="shared" si="2"/>
        <v>7.1385310620000419</v>
      </c>
      <c r="C113" s="1">
        <f t="shared" si="0"/>
        <v>6.7980662840000123</v>
      </c>
      <c r="D113" s="1">
        <f t="shared" si="1"/>
        <v>6.7370563800000083</v>
      </c>
      <c r="E113" s="1">
        <f>D1075+($A113-C1075)*(D1076-D1075)/(C1076-C1075)</f>
        <v>3.6524999999999999</v>
      </c>
      <c r="F113" s="1">
        <f>D1088+($A113-C1088)*(D1089-D1088)/(C1089-C1088)</f>
        <v>6.253333333333333</v>
      </c>
      <c r="G113" s="1">
        <f>$B$9+$B$10*EXP(-$B$11*A113)</f>
        <v>7.1877399236552471</v>
      </c>
      <c r="H113" s="1">
        <f>$C$9+$C$10*EXP(-$C$11*A113)</f>
        <v>6.7999521453529379</v>
      </c>
      <c r="I113" s="1">
        <f>$D$9+$D$10*EXP(-$D$11*A113)</f>
        <v>6.7994187883316908</v>
      </c>
      <c r="J113" s="1">
        <f>AVERAGE(B113:D113)</f>
        <v>6.8912179086666869</v>
      </c>
      <c r="K113" s="1">
        <f>_xlfn.STDEV.S(B113:D113)</f>
        <v>0.21634093222339568</v>
      </c>
    </row>
    <row r="114" spans="1:11" ht="20.100000000000001" customHeight="1">
      <c r="A114" s="1">
        <v>1</v>
      </c>
      <c r="B114" s="1">
        <f t="shared" si="2"/>
        <v>7.0936126100000312</v>
      </c>
      <c r="C114" s="1">
        <f t="shared" si="0"/>
        <v>6.7519370940000121</v>
      </c>
      <c r="D114" s="1">
        <f t="shared" si="1"/>
        <v>6.7047346660000091</v>
      </c>
      <c r="E114" s="1">
        <f>D1075+($A114-C1075)*(D1076-D1075)/(C1076-C1075)</f>
        <v>3.63</v>
      </c>
      <c r="F114" s="1">
        <f>D1088+($A114-C1088)*(D1089-D1088)/(C1089-C1088)</f>
        <v>6.21</v>
      </c>
      <c r="G114" s="1">
        <f>$B$9+$B$10*EXP(-$B$11*A114)</f>
        <v>7.1422041250817596</v>
      </c>
      <c r="H114" s="1">
        <f>$C$9+$C$10*EXP(-$C$11*A114)</f>
        <v>6.7257385567803869</v>
      </c>
      <c r="I114" s="1">
        <f>$D$9+$D$10*EXP(-$D$11*A114)</f>
        <v>6.7455241087918445</v>
      </c>
      <c r="J114" s="1">
        <f>AVERAGE(B114:D114)</f>
        <v>6.8500947900000169</v>
      </c>
      <c r="K114" s="1">
        <f>_xlfn.STDEV.S(B114:D114)</f>
        <v>0.21220912750266699</v>
      </c>
    </row>
    <row r="115" spans="1:11" ht="20.100000000000001" customHeight="1">
      <c r="A115" s="1">
        <v>1.0833333333333333</v>
      </c>
      <c r="B115" s="1">
        <f t="shared" si="2"/>
        <v>7.0601188402889612</v>
      </c>
      <c r="C115" s="1">
        <f t="shared" si="0"/>
        <v>6.7069348916533036</v>
      </c>
      <c r="D115" s="1">
        <f t="shared" si="1"/>
        <v>6.6701454663992061</v>
      </c>
      <c r="E115" s="1">
        <f>D1076+($A115-C1076)*(D1077-D1076)/(C1077-C1076)</f>
        <v>3.6225000000000001</v>
      </c>
      <c r="F115" s="1">
        <f>D1089+($A115-C1089)*(D1090-D1089)/(C1090-C1089)</f>
        <v>6.15</v>
      </c>
      <c r="G115" s="1">
        <f>$B$9+$B$10*EXP(-$B$11*A115)</f>
        <v>7.0972518350985325</v>
      </c>
      <c r="H115" s="1">
        <f>$C$9+$C$10*EXP(-$C$11*A115)</f>
        <v>6.6531696237847946</v>
      </c>
      <c r="I115" s="1">
        <f>$D$9+$D$10*EXP(-$D$11*A115)</f>
        <v>6.6925807673559747</v>
      </c>
      <c r="J115" s="1">
        <f>AVERAGE(B115:D115)</f>
        <v>6.8123997327804906</v>
      </c>
      <c r="K115" s="1">
        <f>_xlfn.STDEV.S(B115:D115)</f>
        <v>0.21531821246988542</v>
      </c>
    </row>
    <row r="116" spans="1:11" ht="20.100000000000001" customHeight="1">
      <c r="A116" s="1">
        <v>1.1666666666666667</v>
      </c>
      <c r="B116" s="1">
        <f t="shared" si="2"/>
        <v>7.0195996180000106</v>
      </c>
      <c r="C116" s="1">
        <f t="shared" si="0"/>
        <v>6.6606069078947892</v>
      </c>
      <c r="D116" s="1">
        <f t="shared" si="1"/>
        <v>6.6378362293120743</v>
      </c>
      <c r="E116" s="1">
        <f>D1076+($A116-C1076)*(D1077-D1076)/(C1077-C1076)</f>
        <v>3.6149999999999998</v>
      </c>
      <c r="F116" s="1">
        <f>D1089+($A116-C1089)*(D1090-D1089)/(C1090-C1089)</f>
        <v>6.09</v>
      </c>
      <c r="G116" s="1">
        <f>$B$9+$B$10*EXP(-$B$11*A116)</f>
        <v>7.052875576461604</v>
      </c>
      <c r="H116" s="1">
        <f>$C$9+$C$10*EXP(-$C$11*A116)</f>
        <v>6.582208898971297</v>
      </c>
      <c r="I116" s="1">
        <f>$D$9+$D$10*EXP(-$D$11*A116)</f>
        <v>6.6405719711941451</v>
      </c>
      <c r="J116" s="1">
        <f>AVERAGE(B116:D116)</f>
        <v>6.7726809184022914</v>
      </c>
      <c r="K116" s="1">
        <f>_xlfn.STDEV.S(B116:D116)</f>
        <v>0.21414074602711852</v>
      </c>
    </row>
    <row r="117" spans="1:11" ht="20.100000000000001" customHeight="1">
      <c r="A117" s="1">
        <v>1.25</v>
      </c>
      <c r="B117" s="1">
        <f t="shared" si="2"/>
        <v>6.9781672840000084</v>
      </c>
      <c r="C117" s="1">
        <f t="shared" si="0"/>
        <v>6.6111086958266609</v>
      </c>
      <c r="D117" s="1">
        <f t="shared" si="1"/>
        <v>6.6124546238716242</v>
      </c>
      <c r="E117" s="1">
        <f>D1076+($A117-C1076)*(D1077-D1076)/(C1077-C1076)</f>
        <v>3.6074999999999999</v>
      </c>
      <c r="F117" s="1">
        <f>D1089+($A117-C1089)*(D1090-D1089)/(C1090-C1089)</f>
        <v>6.03</v>
      </c>
      <c r="G117" s="1">
        <f>$B$9+$B$10*EXP(-$B$11*A117)</f>
        <v>7.0090679677425305</v>
      </c>
      <c r="H117" s="1">
        <f>$C$9+$C$10*EXP(-$C$11*A117)</f>
        <v>6.512820742659799</v>
      </c>
      <c r="I117" s="1">
        <f>$D$9+$D$10*EXP(-$D$11*A117)</f>
        <v>6.5894812239000906</v>
      </c>
      <c r="J117" s="1">
        <f>AVERAGE(B117:D117)</f>
        <v>6.7339102012327645</v>
      </c>
      <c r="K117" s="1">
        <f>_xlfn.STDEV.S(B117:D117)</f>
        <v>0.2115339092014534</v>
      </c>
    </row>
    <row r="118" spans="1:11" ht="20.100000000000001" customHeight="1">
      <c r="A118" s="1">
        <v>1.3333333333333333</v>
      </c>
      <c r="B118" s="1">
        <f t="shared" si="2"/>
        <v>6.9468536660000133</v>
      </c>
      <c r="C118" s="1">
        <f t="shared" si="0"/>
        <v>6.5570075100000338</v>
      </c>
      <c r="D118" s="1">
        <f t="shared" si="1"/>
        <v>6.5789910280000106</v>
      </c>
      <c r="E118" s="1">
        <f>D1076+($A118-C1076)*(D1077-D1076)/(C1077-C1076)</f>
        <v>3.6</v>
      </c>
      <c r="F118" s="1">
        <f>D1089+($A118-C1089)*(D1090-D1089)/(C1090-C1089)</f>
        <v>5.97</v>
      </c>
      <c r="G118" s="1">
        <f>$B$9+$B$10*EXP(-$B$11*A118)</f>
        <v>6.9658217221005776</v>
      </c>
      <c r="H118" s="1">
        <f>$C$9+$C$10*EXP(-$C$11*A118)</f>
        <v>6.4449703049851106</v>
      </c>
      <c r="I118" s="1">
        <f>$D$9+$D$10*EXP(-$D$11*A118)</f>
        <v>6.5392923202588147</v>
      </c>
      <c r="J118" s="1">
        <f>AVERAGE(B118:D118)</f>
        <v>6.6942840680000195</v>
      </c>
      <c r="K118" s="1">
        <f>_xlfn.STDEV.S(B118:D118)</f>
        <v>0.21900769425141844</v>
      </c>
    </row>
    <row r="119" spans="1:11" ht="20.100000000000001" customHeight="1">
      <c r="A119" s="1">
        <v>1.4166666666666667</v>
      </c>
      <c r="B119" s="1">
        <f t="shared" si="2"/>
        <v>6.8974924894684113</v>
      </c>
      <c r="C119" s="1">
        <f t="shared" si="0"/>
        <v>6.5257558280000421</v>
      </c>
      <c r="D119" s="1">
        <f t="shared" si="1"/>
        <v>6.5523321920000139</v>
      </c>
      <c r="E119" s="1">
        <f>D1076+($A119-C1076)*(D1077-D1076)/(C1077-C1076)</f>
        <v>3.5924999999999998</v>
      </c>
      <c r="F119" s="1">
        <f>D1089+($A119-C1089)*(D1090-D1089)/(C1090-C1089)</f>
        <v>5.91</v>
      </c>
      <c r="G119" s="1">
        <f>$B$9+$B$10*EXP(-$B$11*A119)</f>
        <v>6.9231296460706453</v>
      </c>
      <c r="H119" s="1">
        <f>$C$9+$C$10*EXP(-$C$11*A119)</f>
        <v>6.3786235083937743</v>
      </c>
      <c r="I119" s="1">
        <f>$D$9+$D$10*EXP(-$D$11*A119)</f>
        <v>6.4899893411065319</v>
      </c>
      <c r="J119" s="1">
        <f>AVERAGE(B119:D119)</f>
        <v>6.6585268364894885</v>
      </c>
      <c r="K119" s="1">
        <f>_xlfn.STDEV.S(B119:D119)</f>
        <v>0.20737650122083928</v>
      </c>
    </row>
    <row r="120" spans="1:11" ht="20.100000000000001" customHeight="1">
      <c r="A120" s="1">
        <v>1.5</v>
      </c>
      <c r="B120" s="1">
        <f t="shared" si="2"/>
        <v>6.8740678640000183</v>
      </c>
      <c r="C120" s="1">
        <f t="shared" si="0"/>
        <v>6.486346828000058</v>
      </c>
      <c r="D120" s="1">
        <f t="shared" si="1"/>
        <v>6.5154694800000117</v>
      </c>
      <c r="E120" s="1">
        <f>D1076+($A120-C1076)*(D1077-D1076)/(C1077-C1076)</f>
        <v>3.585</v>
      </c>
      <c r="F120" s="1">
        <f>D1089+($A120-C1089)*(D1090-D1089)/(C1090-C1089)</f>
        <v>5.85</v>
      </c>
      <c r="G120" s="1">
        <f>$B$9+$B$10*EXP(-$B$11*A120)</f>
        <v>6.8809846383667335</v>
      </c>
      <c r="H120" s="1">
        <f>$C$9+$C$10*EXP(-$C$11*A120)</f>
        <v>6.3137470305287806</v>
      </c>
      <c r="I120" s="1">
        <f>$D$9+$D$10*EXP(-$D$11*A120)</f>
        <v>6.4415566482813524</v>
      </c>
      <c r="J120" s="1">
        <f>AVERAGE(B120:D120)</f>
        <v>6.6252947240000291</v>
      </c>
      <c r="K120" s="1">
        <f>_xlfn.STDEV.S(B120:D120)</f>
        <v>0.2159353806210742</v>
      </c>
    </row>
    <row r="121" spans="1:11" ht="20.100000000000001" customHeight="1">
      <c r="A121" s="1">
        <v>1.5833333333333333</v>
      </c>
      <c r="B121" s="1">
        <f t="shared" si="2"/>
        <v>6.827999288000016</v>
      </c>
      <c r="C121" s="1">
        <f t="shared" si="0"/>
        <v>6.4323872617853919</v>
      </c>
      <c r="D121" s="1">
        <f t="shared" si="1"/>
        <v>6.4831538884430309</v>
      </c>
      <c r="E121" s="1">
        <f>D1076+($A121-C1076)*(D1077-D1076)/(C1077-C1076)</f>
        <v>3.5775000000000001</v>
      </c>
      <c r="F121" s="1">
        <f>D1089+($A121-C1089)*(D1090-D1089)/(C1090-C1089)</f>
        <v>5.79</v>
      </c>
      <c r="G121" s="1">
        <f>$B$9+$B$10*EXP(-$B$11*A121)</f>
        <v>6.8393796887007205</v>
      </c>
      <c r="H121" s="1">
        <f>$C$9+$C$10*EXP(-$C$11*A121)</f>
        <v>6.2503082874935707</v>
      </c>
      <c r="I121" s="1">
        <f>$D$9+$D$10*EXP(-$D$11*A121)</f>
        <v>6.3939788796630932</v>
      </c>
      <c r="J121" s="1">
        <f>AVERAGE(B121:D121)</f>
        <v>6.5811801460761465</v>
      </c>
      <c r="K121" s="1">
        <f>_xlfn.STDEV.S(B121:D121)</f>
        <v>0.21525352310839316</v>
      </c>
    </row>
    <row r="122" spans="1:11" ht="20.100000000000001" customHeight="1">
      <c r="A122" s="1">
        <v>1.6666666666666667</v>
      </c>
      <c r="B122" s="1">
        <f t="shared" si="2"/>
        <v>6.7878330136436684</v>
      </c>
      <c r="C122" s="1">
        <f t="shared" si="0"/>
        <v>6.3986961834497009</v>
      </c>
      <c r="D122" s="1">
        <f t="shared" si="1"/>
        <v>6.4498329425837273</v>
      </c>
      <c r="E122" s="1">
        <f>D1076+($A122-C1076)*(D1077-D1076)/(C1077-C1076)</f>
        <v>3.57</v>
      </c>
      <c r="F122" s="1">
        <f>D1089+($A122-C1089)*(D1090-D1089)/(C1090-C1089)</f>
        <v>5.73</v>
      </c>
      <c r="G122" s="1">
        <f>$B$9+$B$10*EXP(-$B$11*A122)</f>
        <v>6.7983078766163025</v>
      </c>
      <c r="H122" s="1">
        <f>$C$9+$C$10*EXP(-$C$11*A122)</f>
        <v>6.1882754174869374</v>
      </c>
      <c r="I122" s="1">
        <f>$D$9+$D$10*EXP(-$D$11*A122)</f>
        <v>6.3472409443006441</v>
      </c>
      <c r="J122" s="1">
        <f>AVERAGE(B122:D122)</f>
        <v>6.5454540465590325</v>
      </c>
      <c r="K122" s="1">
        <f>_xlfn.STDEV.S(B122:D122)</f>
        <v>0.21145783219697545</v>
      </c>
    </row>
    <row r="123" spans="1:11" ht="20.100000000000001" customHeight="1">
      <c r="A123" s="1">
        <v>1.75</v>
      </c>
      <c r="B123" s="1">
        <f t="shared" si="2"/>
        <v>6.7645656100478391</v>
      </c>
      <c r="C123" s="1">
        <f t="shared" si="0"/>
        <v>6.356140487462433</v>
      </c>
      <c r="D123" s="1">
        <f t="shared" si="1"/>
        <v>6.4312438884430305</v>
      </c>
      <c r="E123" s="1">
        <f>D1076+($A123-C1076)*(D1077-D1076)/(C1077-C1076)</f>
        <v>3.5625</v>
      </c>
      <c r="F123" s="1">
        <f>D1089+($A123-C1089)*(D1090-D1089)/(C1090-C1089)</f>
        <v>5.67</v>
      </c>
      <c r="G123" s="1">
        <f>$B$9+$B$10*EXP(-$B$11*A123)</f>
        <v>6.7577623703378578</v>
      </c>
      <c r="H123" s="1">
        <f>$C$9+$C$10*EXP(-$C$11*A123)</f>
        <v>6.1276172648005893</v>
      </c>
      <c r="I123" s="1">
        <f>$D$9+$D$10*EXP(-$D$11*A123)</f>
        <v>6.3013280176253428</v>
      </c>
      <c r="J123" s="1">
        <f>AVERAGE(B123:D123)</f>
        <v>6.5173166619844345</v>
      </c>
      <c r="K123" s="1">
        <f>_xlfn.STDEV.S(B123:D123)</f>
        <v>0.21739172465519085</v>
      </c>
    </row>
    <row r="124" spans="1:11" ht="20.100000000000001" customHeight="1">
      <c r="A124" s="1">
        <v>1.8333333333333333</v>
      </c>
      <c r="B124" s="1">
        <f t="shared" si="2"/>
        <v>6.733469458266466</v>
      </c>
      <c r="C124" s="1">
        <f t="shared" si="0"/>
        <v>6.3133062520000527</v>
      </c>
      <c r="D124" s="1">
        <f t="shared" si="1"/>
        <v>6.3976340479999898</v>
      </c>
      <c r="E124" s="1">
        <f>D1076+($A124-C1076)*(D1077-D1076)/(C1077-C1076)</f>
        <v>3.5550000000000002</v>
      </c>
      <c r="F124" s="1">
        <f>D1089+($A124-C1089)*(D1090-D1089)/(C1090-C1089)</f>
        <v>5.61</v>
      </c>
      <c r="G124" s="1">
        <f>$B$9+$B$10*EXP(-$B$11*A124)</f>
        <v>6.7177364256340661</v>
      </c>
      <c r="H124" s="1">
        <f>$C$9+$C$10*EXP(-$C$11*A124)</f>
        <v>6.0683033641713422</v>
      </c>
      <c r="I124" s="1">
        <f>$D$9+$D$10*EXP(-$D$11*A124)</f>
        <v>6.256225536748854</v>
      </c>
      <c r="J124" s="1">
        <f>AVERAGE(B124:D124)</f>
        <v>6.4814699194221701</v>
      </c>
      <c r="K124" s="1">
        <f>_xlfn.STDEV.S(B124:D124)</f>
        <v>0.22227375008726366</v>
      </c>
    </row>
    <row r="125" spans="1:11" ht="20.100000000000001" customHeight="1">
      <c r="A125" s="1">
        <v>1.9166666666666667</v>
      </c>
      <c r="B125" s="1">
        <f t="shared" si="2"/>
        <v>6.6989121679999943</v>
      </c>
      <c r="C125" s="1">
        <f t="shared" si="0"/>
        <v>6.2694017536116142</v>
      </c>
      <c r="D125" s="1">
        <f t="shared" si="1"/>
        <v>6.3609831019261591</v>
      </c>
      <c r="E125" s="1">
        <f>D1076+($A125-C1076)*(D1077-D1076)/(C1077-C1076)</f>
        <v>3.5474999999999999</v>
      </c>
      <c r="F125" s="1">
        <f>D1089+($A125-C1089)*(D1090-D1089)/(C1090-C1089)</f>
        <v>5.55</v>
      </c>
      <c r="G125" s="1">
        <f>$B$9+$B$10*EXP(-$B$11*A125)</f>
        <v>6.6782233846960937</v>
      </c>
      <c r="H125" s="1">
        <f>$C$9+$C$10*EXP(-$C$11*A125)</f>
        <v>6.0103039254800947</v>
      </c>
      <c r="I125" s="1">
        <f>$D$9+$D$10*EXP(-$D$11*A125)</f>
        <v>6.211919195844029</v>
      </c>
      <c r="J125" s="1">
        <f>AVERAGE(B125:D125)</f>
        <v>6.4430990078459232</v>
      </c>
      <c r="K125" s="1">
        <f>_xlfn.STDEV.S(B125:D125)</f>
        <v>0.22622348578515689</v>
      </c>
    </row>
    <row r="126" spans="1:11" ht="20.100000000000001" customHeight="1">
      <c r="A126" s="1">
        <v>2</v>
      </c>
      <c r="B126" s="1">
        <f t="shared" si="2"/>
        <v>6.6744221319999895</v>
      </c>
      <c r="C126" s="1">
        <f t="shared" si="0"/>
        <v>6.2210181180223483</v>
      </c>
      <c r="D126" s="1">
        <f t="shared" si="1"/>
        <v>6.341116188000016</v>
      </c>
      <c r="E126" s="1">
        <f>D1076+($A126-C1076)*(D1077-D1076)/(C1077-C1076)</f>
        <v>3.54</v>
      </c>
      <c r="F126" s="1">
        <f>D1089+($A126-C1089)*(D1090-D1089)/(C1090-C1089)</f>
        <v>5.49</v>
      </c>
      <c r="G126" s="1">
        <f>$B$9+$B$10*EXP(-$B$11*A126)</f>
        <v>6.6392166750301511</v>
      </c>
      <c r="H126" s="1">
        <f>$C$9+$C$10*EXP(-$C$11*A126)</f>
        <v>5.953589818789883</v>
      </c>
      <c r="I126" s="1">
        <f>$D$9+$D$10*EXP(-$D$11*A126)</f>
        <v>6.1683949416073212</v>
      </c>
      <c r="J126" s="1">
        <f>AVERAGE(B126:D126)</f>
        <v>6.4121854793407849</v>
      </c>
      <c r="K126" s="1">
        <f>_xlfn.STDEV.S(B126:D126)</f>
        <v>0.2349083504295208</v>
      </c>
    </row>
    <row r="127" spans="1:11" ht="20.100000000000001" customHeight="1">
      <c r="A127" s="1">
        <v>2.0833333333333335</v>
      </c>
      <c r="B127" s="1">
        <f t="shared" si="2"/>
        <v>6.6330361199999919</v>
      </c>
      <c r="C127" s="1">
        <f t="shared" si="0"/>
        <v>6.1839776043339292</v>
      </c>
      <c r="D127" s="1">
        <f t="shared" si="1"/>
        <v>6.3111260000000158</v>
      </c>
      <c r="E127" s="1">
        <f>D1077+($A127-C1077)*(D1078-D1077)/(C1078-C1077)</f>
        <v>3.53</v>
      </c>
      <c r="F127" s="1">
        <f>D1090+($A127-C1090)*(D1091-D1090)/(C1091-C1090)</f>
        <v>5.3891666666666671</v>
      </c>
      <c r="G127" s="1">
        <f>$B$9+$B$10*EXP(-$B$11*A127)</f>
        <v>6.6007098083642415</v>
      </c>
      <c r="H127" s="1">
        <f>$C$9+$C$10*EXP(-$C$11*A127)</f>
        <v>5.8981325597155108</v>
      </c>
      <c r="I127" s="1">
        <f>$D$9+$D$10*EXP(-$D$11*A127)</f>
        <v>6.1256389688012867</v>
      </c>
      <c r="J127" s="1">
        <f>AVERAGE(B127:D127)</f>
        <v>6.3760465747779795</v>
      </c>
      <c r="K127" s="1">
        <f>_xlfn.STDEV.S(B127:D127)</f>
        <v>0.23146144040677205</v>
      </c>
    </row>
    <row r="128" spans="1:11" ht="20.100000000000001" customHeight="1">
      <c r="A128" s="1">
        <v>2.1666666666666665</v>
      </c>
      <c r="B128" s="1">
        <f t="shared" si="2"/>
        <v>6.6008248033707799</v>
      </c>
      <c r="C128" s="1">
        <f t="shared" si="0"/>
        <v>6.1320774280000228</v>
      </c>
      <c r="D128" s="1">
        <f t="shared" si="1"/>
        <v>6.281080932798413</v>
      </c>
      <c r="E128" s="1">
        <f>D1077+($A128-C1077)*(D1078-D1077)/(C1078-C1077)</f>
        <v>3.52</v>
      </c>
      <c r="F128" s="1">
        <f>D1090+($A128-C1090)*(D1091-D1090)/(C1091-C1090)</f>
        <v>5.288333333333334</v>
      </c>
      <c r="G128" s="1">
        <f>$B$9+$B$10*EXP(-$B$11*A128)</f>
        <v>6.5626963795689184</v>
      </c>
      <c r="H128" s="1">
        <f>$C$9+$C$10*EXP(-$C$11*A128)</f>
        <v>5.8439042951174027</v>
      </c>
      <c r="I128" s="1">
        <f>$D$9+$D$10*EXP(-$D$11*A128)</f>
        <v>6.0836377158757724</v>
      </c>
      <c r="J128" s="1">
        <f>AVERAGE(B128:D128)</f>
        <v>6.3379943880564049</v>
      </c>
      <c r="K128" s="1">
        <f>_xlfn.STDEV.S(B128:D128)</f>
        <v>0.23950027457457329</v>
      </c>
    </row>
    <row r="129" spans="1:11" ht="20.100000000000001" customHeight="1">
      <c r="A129" s="1">
        <v>2.25</v>
      </c>
      <c r="B129" s="1">
        <f t="shared" si="2"/>
        <v>6.5742559290271254</v>
      </c>
      <c r="C129" s="1">
        <f t="shared" si="0"/>
        <v>6.0892359000000269</v>
      </c>
      <c r="D129" s="1">
        <f t="shared" si="1"/>
        <v>6.2486127637088966</v>
      </c>
      <c r="E129" s="1">
        <f>D1077+($A129-C1077)*(D1078-D1077)/(C1078-C1077)</f>
        <v>3.51</v>
      </c>
      <c r="F129" s="1">
        <f>D1090+($A129-C1090)*(D1091-D1090)/(C1091-C1090)</f>
        <v>5.1875</v>
      </c>
      <c r="G129" s="1">
        <f>$B$9+$B$10*EXP(-$B$11*A129)</f>
        <v>6.5251700655918743</v>
      </c>
      <c r="H129" s="1">
        <f>$C$9+$C$10*EXP(-$C$11*A129)</f>
        <v>5.7908777891125052</v>
      </c>
      <c r="I129" s="1">
        <f>$D$9+$D$10*EXP(-$D$11*A129)</f>
        <v>6.0423778606663969</v>
      </c>
      <c r="J129" s="1">
        <f>AVERAGE(B129:D129)</f>
        <v>6.3040348642453496</v>
      </c>
      <c r="K129" s="1">
        <f>_xlfn.STDEV.S(B129:D129)</f>
        <v>0.24721410570650373</v>
      </c>
    </row>
    <row r="130" spans="1:11" ht="20.100000000000001" customHeight="1">
      <c r="A130" s="1">
        <v>2.3333333333333335</v>
      </c>
      <c r="B130" s="1">
        <f t="shared" si="2"/>
        <v>6.5500648033707805</v>
      </c>
      <c r="C130" s="1">
        <f t="shared" si="0"/>
        <v>6.0384422840000278</v>
      </c>
      <c r="D130" s="1">
        <f t="shared" si="1"/>
        <v>6.2130209327984129</v>
      </c>
      <c r="E130" s="1">
        <f>D1077+($A130-C1077)*(D1078-D1077)/(C1078-C1077)</f>
        <v>3.5</v>
      </c>
      <c r="F130" s="1">
        <f>D1090+($A130-C1090)*(D1091-D1090)/(C1091-C1090)</f>
        <v>5.0866666666666669</v>
      </c>
      <c r="G130" s="1">
        <f>$B$9+$B$10*EXP(-$B$11*A130)</f>
        <v>6.4881246244061819</v>
      </c>
      <c r="H130" s="1">
        <f>$C$9+$C$10*EXP(-$C$11*A130)</f>
        <v>5.7390264093951906</v>
      </c>
      <c r="I130" s="1">
        <f>$D$9+$D$10*EXP(-$D$11*A130)</f>
        <v>6.0018463161689564</v>
      </c>
      <c r="J130" s="1">
        <f>AVERAGE(B130:D130)</f>
        <v>6.2671760067230737</v>
      </c>
      <c r="K130" s="1">
        <f>_xlfn.STDEV.S(B130:D130)</f>
        <v>0.26007494997722896</v>
      </c>
    </row>
    <row r="131" spans="1:11" ht="20.100000000000001" customHeight="1">
      <c r="A131" s="1">
        <v>2.4166666666666665</v>
      </c>
      <c r="B131" s="1">
        <f t="shared" si="2"/>
        <v>6.523407808000016</v>
      </c>
      <c r="C131" s="1">
        <f t="shared" si="0"/>
        <v>5.9853911554664272</v>
      </c>
      <c r="D131" s="1">
        <f t="shared" si="1"/>
        <v>6.1805755020000221</v>
      </c>
      <c r="E131" s="1">
        <f>D1077+($A131-C1077)*(D1078-D1077)/(C1078-C1077)</f>
        <v>3.49</v>
      </c>
      <c r="F131" s="1">
        <f>D1090+($A131-C1090)*(D1091-D1090)/(C1091-C1090)</f>
        <v>4.9858333333333338</v>
      </c>
      <c r="G131" s="1">
        <f>$B$9+$B$10*EXP(-$B$11*A131)</f>
        <v>6.4515538939720081</v>
      </c>
      <c r="H131" s="1">
        <f>$C$9+$C$10*EXP(-$C$11*A131)</f>
        <v>5.6883241138613183</v>
      </c>
      <c r="I131" s="1">
        <f>$D$9+$D$10*EXP(-$D$11*A131)</f>
        <v>5.9620302263884328</v>
      </c>
      <c r="J131" s="1">
        <f>AVERAGE(B131:D131)</f>
        <v>6.2297914884888215</v>
      </c>
      <c r="K131" s="1">
        <f>_xlfn.STDEV.S(B131:D131)</f>
        <v>0.27236398366048947</v>
      </c>
    </row>
    <row r="132" spans="1:11" ht="20.100000000000001" customHeight="1">
      <c r="A132" s="1">
        <v>2.5</v>
      </c>
      <c r="B132" s="1">
        <f t="shared" si="2"/>
        <v>6.4947845720000101</v>
      </c>
      <c r="C132" s="1">
        <f t="shared" si="0"/>
        <v>5.933177506000038</v>
      </c>
      <c r="D132" s="1">
        <f t="shared" si="1"/>
        <v>6.1460409300000203</v>
      </c>
      <c r="E132" s="1">
        <f>D1077+($A132-C1077)*(D1078-D1077)/(C1078-C1077)</f>
        <v>3.48</v>
      </c>
      <c r="F132" s="1">
        <f>D1090+($A132-C1090)*(D1091-D1090)/(C1091-C1090)</f>
        <v>4.8849999999999998</v>
      </c>
      <c r="G132" s="1">
        <f>$B$9+$B$10*EXP(-$B$11*A132)</f>
        <v>6.4154517912116402</v>
      </c>
      <c r="H132" s="1">
        <f>$C$9+$C$10*EXP(-$C$11*A132)</f>
        <v>5.6387454375287014</v>
      </c>
      <c r="I132" s="1">
        <f>$D$9+$D$10*EXP(-$D$11*A132)</f>
        <v>5.9229169622612572</v>
      </c>
      <c r="J132" s="1">
        <f>AVERAGE(B132:D132)</f>
        <v>6.1913343360000228</v>
      </c>
      <c r="K132" s="1">
        <f>_xlfn.STDEV.S(B132:D132)</f>
        <v>0.28352996951924686</v>
      </c>
    </row>
    <row r="133" spans="1:11" ht="20.100000000000001" customHeight="1">
      <c r="A133" s="1">
        <v>2.5833333333333335</v>
      </c>
      <c r="B133" s="1">
        <f t="shared" si="2"/>
        <v>6.4770410440000221</v>
      </c>
      <c r="C133" s="1">
        <f t="shared" si="0"/>
        <v>5.8743725760000371</v>
      </c>
      <c r="D133" s="1">
        <f t="shared" si="1"/>
        <v>6.1148911480000203</v>
      </c>
      <c r="E133" s="1">
        <f>D1077+($A133-C1077)*(D1078-D1077)/(C1078-C1077)</f>
        <v>3.4699999999999998</v>
      </c>
      <c r="F133" s="1">
        <f>D1090+($A133-C1090)*(D1091-D1090)/(C1091-C1090)</f>
        <v>4.7841666666666667</v>
      </c>
      <c r="G133" s="1">
        <f>$B$9+$B$10*EXP(-$B$11*A133)</f>
        <v>6.3798123109976448</v>
      </c>
      <c r="H133" s="1">
        <f>$C$9+$C$10*EXP(-$C$11*A133)</f>
        <v>5.5902654797474582</v>
      </c>
      <c r="I133" s="1">
        <f>$D$9+$D$10*EXP(-$D$11*A133)</f>
        <v>5.8844941176495666</v>
      </c>
      <c r="J133" s="1">
        <f>AVERAGE(B133:D133)</f>
        <v>6.1554349226666929</v>
      </c>
      <c r="K133" s="1">
        <f>_xlfn.STDEV.S(B133:D133)</f>
        <v>0.30337298631969312</v>
      </c>
    </row>
    <row r="134" spans="1:11" ht="20.100000000000001" customHeight="1">
      <c r="A134" s="1">
        <v>2.6666666666666665</v>
      </c>
      <c r="B134" s="1">
        <f t="shared" si="2"/>
        <v>6.4369949789368226</v>
      </c>
      <c r="C134" s="1">
        <f t="shared" si="0"/>
        <v>5.8168650300963396</v>
      </c>
      <c r="D134" s="1">
        <f t="shared" si="1"/>
        <v>6.0835468900481802</v>
      </c>
      <c r="E134" s="1">
        <f>D1077+($A134-C1077)*(D1078-D1077)/(C1078-C1077)</f>
        <v>3.46</v>
      </c>
      <c r="F134" s="1">
        <f>D1090+($A134-C1090)*(D1091-D1090)/(C1091-C1090)</f>
        <v>4.6833333333333336</v>
      </c>
      <c r="G134" s="1">
        <f>$B$9+$B$10*EXP(-$B$11*A134)</f>
        <v>6.3446295251539855</v>
      </c>
      <c r="H134" s="1">
        <f>$C$9+$C$10*EXP(-$C$11*A134)</f>
        <v>5.5428598916937712</v>
      </c>
      <c r="I134" s="1">
        <f>$D$9+$D$10*EXP(-$D$11*A134)</f>
        <v>5.8467495054061613</v>
      </c>
      <c r="J134" s="1">
        <f>AVERAGE(B134:D134)</f>
        <v>6.1124689663604466</v>
      </c>
      <c r="K134" s="1">
        <f>_xlfn.STDEV.S(B134:D134)</f>
        <v>0.31107499615990425</v>
      </c>
    </row>
    <row r="135" spans="1:11" ht="20.100000000000001" customHeight="1">
      <c r="A135" s="1">
        <v>2.75</v>
      </c>
      <c r="B135" s="1">
        <f t="shared" si="2"/>
        <v>6.4139335633100831</v>
      </c>
      <c r="C135" s="1">
        <f t="shared" si="0"/>
        <v>5.7669025996810221</v>
      </c>
      <c r="D135" s="1">
        <f t="shared" si="1"/>
        <v>6.0432450757575769</v>
      </c>
      <c r="E135" s="1">
        <f>D1077+($A135-C1077)*(D1078-D1077)/(C1078-C1077)</f>
        <v>3.45</v>
      </c>
      <c r="F135" s="1">
        <f>D1090+($A135-C1090)*(D1091-D1090)/(C1091-C1090)</f>
        <v>4.5825000000000005</v>
      </c>
      <c r="G135" s="1">
        <f>$B$9+$B$10*EXP(-$B$11*A135)</f>
        <v>6.3098975814699489</v>
      </c>
      <c r="H135" s="1">
        <f>$C$9+$C$10*EXP(-$C$11*A135)</f>
        <v>5.4965048641408103</v>
      </c>
      <c r="I135" s="1">
        <f>$D$9+$D$10*EXP(-$D$11*A135)</f>
        <v>5.8096711535089263</v>
      </c>
      <c r="J135" s="1">
        <f>AVERAGE(B135:D135)</f>
        <v>6.0746937462495607</v>
      </c>
      <c r="K135" s="1">
        <f>_xlfn.STDEV.S(B135:D135)</f>
        <v>0.3246598699107619</v>
      </c>
    </row>
    <row r="136" spans="1:11" ht="20.100000000000001" customHeight="1">
      <c r="A136" s="1">
        <v>2.8333333333333335</v>
      </c>
      <c r="B136" s="1">
        <f t="shared" si="2"/>
        <v>6.3940875626880826</v>
      </c>
      <c r="C136" s="1">
        <f t="shared" si="0"/>
        <v>5.7089948194221991</v>
      </c>
      <c r="D136" s="1">
        <f t="shared" si="1"/>
        <v>6.0108668900481801</v>
      </c>
      <c r="E136" s="1">
        <f>D1077+($A136-C1077)*(D1078-D1077)/(C1078-C1077)</f>
        <v>3.44</v>
      </c>
      <c r="F136" s="1">
        <f>D1090+($A136-C1090)*(D1091-D1090)/(C1091-C1090)</f>
        <v>4.4816666666666665</v>
      </c>
      <c r="G136" s="1">
        <f>$B$9+$B$10*EXP(-$B$11*A136)</f>
        <v>6.2756107027267074</v>
      </c>
      <c r="H136" s="1">
        <f>$C$9+$C$10*EXP(-$C$11*A136)</f>
        <v>5.4511771155006645</v>
      </c>
      <c r="I136" s="1">
        <f>$D$9+$D$10*EXP(-$D$11*A136)</f>
        <v>5.7732473012634884</v>
      </c>
      <c r="J136" s="1">
        <f>AVERAGE(B136:D136)</f>
        <v>6.0379830907194867</v>
      </c>
      <c r="K136" s="1">
        <f>_xlfn.STDEV.S(B136:D136)</f>
        <v>0.3433503793110303</v>
      </c>
    </row>
    <row r="137" spans="1:11" ht="20.100000000000001" customHeight="1">
      <c r="A137" s="1">
        <v>2.9166666666666665</v>
      </c>
      <c r="B137" s="1">
        <f t="shared" si="2"/>
        <v>6.3596117860000163</v>
      </c>
      <c r="C137" s="1">
        <f t="shared" si="0"/>
        <v>5.6333665000000002</v>
      </c>
      <c r="D137" s="1">
        <f t="shared" si="1"/>
        <v>5.970418500000001</v>
      </c>
      <c r="E137" s="1">
        <f>D1077+($A137-C1077)*(D1078-D1077)/(C1078-C1077)</f>
        <v>3.43</v>
      </c>
      <c r="F137" s="1">
        <f>D1090+($A137-C1090)*(D1091-D1090)/(C1091-C1090)</f>
        <v>4.3808333333333334</v>
      </c>
      <c r="G137" s="1">
        <f>$B$9+$B$10*EXP(-$B$11*A137)</f>
        <v>6.2417631857363407</v>
      </c>
      <c r="H137" s="1">
        <f>$C$9+$C$10*EXP(-$C$11*A137)</f>
        <v>5.4068538801312815</v>
      </c>
      <c r="I137" s="1">
        <f>$D$9+$D$10*EXP(-$D$11*A137)</f>
        <v>5.7374663955728975</v>
      </c>
      <c r="J137" s="1">
        <f>AVERAGE(B137:D137)</f>
        <v>5.9877989286666731</v>
      </c>
      <c r="K137" s="1">
        <f>_xlfn.STDEV.S(B137:D137)</f>
        <v>0.3634344691065905</v>
      </c>
    </row>
    <row r="138" spans="1:11" ht="20.100000000000001" customHeight="1">
      <c r="A138" s="1">
        <v>3</v>
      </c>
      <c r="B138" s="1">
        <f t="shared" si="2"/>
        <v>6.3355579300000109</v>
      </c>
      <c r="C138" s="1">
        <f t="shared" si="0"/>
        <v>5.58679375</v>
      </c>
      <c r="D138" s="1">
        <f t="shared" si="1"/>
        <v>5.9322427500000003</v>
      </c>
      <c r="E138" s="1">
        <f>D1077+($A138-C1077)*(D1078-D1077)/(C1078-C1077)</f>
        <v>3.42</v>
      </c>
      <c r="F138" s="1">
        <f>D1090+($A138-C1090)*(D1091-D1090)/(C1091-C1090)</f>
        <v>4.28</v>
      </c>
      <c r="G138" s="1">
        <f>$B$9+$B$10*EXP(-$B$11*A138)</f>
        <v>6.2083494003931978</v>
      </c>
      <c r="H138" s="1">
        <f>$C$9+$C$10*EXP(-$C$11*A138)</f>
        <v>5.3635128969025256</v>
      </c>
      <c r="I138" s="1">
        <f>$D$9+$D$10*EXP(-$D$11*A138)</f>
        <v>5.7023170872731601</v>
      </c>
      <c r="J138" s="1">
        <f>AVERAGE(B138:D138)</f>
        <v>5.9515314766666707</v>
      </c>
      <c r="K138" s="1">
        <f>_xlfn.STDEV.S(B138:D138)</f>
        <v>0.37475457374805754</v>
      </c>
    </row>
    <row r="139" spans="1:11" ht="20.100000000000001" customHeight="1">
      <c r="A139" s="1">
        <v>3.0833333333333335</v>
      </c>
      <c r="B139" s="1">
        <f t="shared" si="2"/>
        <v>6.3189553620000236</v>
      </c>
      <c r="C139" s="1">
        <f t="shared" si="0"/>
        <v>5.5233727500000001</v>
      </c>
      <c r="D139" s="1">
        <f t="shared" si="1"/>
        <v>5.8898412499999999</v>
      </c>
      <c r="E139" s="1">
        <f>D1078+($A139-C1078)*(D1079-D1078)/(C1079-C1078)</f>
        <v>3.415</v>
      </c>
      <c r="F139" s="1">
        <f>D1091+($A139-C1091)*(D1092-D1091)/(C1092-C1091)</f>
        <v>4.2475000000000005</v>
      </c>
      <c r="G139" s="1">
        <f>$B$9+$B$10*EXP(-$B$11*A139)</f>
        <v>6.1753637887373873</v>
      </c>
      <c r="H139" s="1">
        <f>$C$9+$C$10*EXP(-$C$11*A139)</f>
        <v>5.3211323980156413</v>
      </c>
      <c r="I139" s="1">
        <f>$D$9+$D$10*EXP(-$D$11*A139)</f>
        <v>5.6677882275334577</v>
      </c>
      <c r="J139" s="1">
        <f>AVERAGE(B139:D139)</f>
        <v>5.9107231206666739</v>
      </c>
      <c r="K139" s="1">
        <f>_xlfn.STDEV.S(B139:D139)</f>
        <v>0.39820216287848037</v>
      </c>
    </row>
    <row r="140" spans="1:11" ht="20.100000000000001" customHeight="1">
      <c r="A140" s="1">
        <v>3.1666666666666665</v>
      </c>
      <c r="B140" s="1">
        <f t="shared" si="2"/>
        <v>6.2822695706260205</v>
      </c>
      <c r="C140" s="1">
        <f t="shared" si="0"/>
        <v>5.4610775000000018</v>
      </c>
      <c r="D140" s="1">
        <f t="shared" si="1"/>
        <v>5.8583127969502415</v>
      </c>
      <c r="E140" s="1">
        <f>D1078+($A140-C1078)*(D1079-D1078)/(C1079-C1078)</f>
        <v>3.41</v>
      </c>
      <c r="F140" s="1">
        <f>D1091+($A140-C1091)*(D1092-D1091)/(C1092-C1091)</f>
        <v>4.2149999999999999</v>
      </c>
      <c r="G140" s="1">
        <f>$B$9+$B$10*EXP(-$B$11*A140)</f>
        <v>6.1428008640302867</v>
      </c>
      <c r="H140" s="1">
        <f>$C$9+$C$10*EXP(-$C$11*A140)</f>
        <v>5.2796910980704777</v>
      </c>
      <c r="I140" s="1">
        <f>$D$9+$D$10*EXP(-$D$11*A140)</f>
        <v>5.6338688643198997</v>
      </c>
      <c r="J140" s="1">
        <f>AVERAGE(B140:D140)</f>
        <v>5.8672199558587543</v>
      </c>
      <c r="K140" s="1">
        <f>_xlfn.STDEV.S(B140:D140)</f>
        <v>0.4106684883511616</v>
      </c>
    </row>
    <row r="141" spans="1:11" ht="20.100000000000001" customHeight="1">
      <c r="A141" s="1">
        <v>3.25</v>
      </c>
      <c r="B141" s="1">
        <f t="shared" si="2"/>
        <v>6.2559049538523279</v>
      </c>
      <c r="C141" s="1">
        <f t="shared" si="0"/>
        <v>5.398718612440236</v>
      </c>
      <c r="D141" s="1">
        <f t="shared" si="1"/>
        <v>5.8122924581339994</v>
      </c>
      <c r="E141" s="1">
        <f>D1078+($A141-C1078)*(D1079-D1078)/(C1079-C1078)</f>
        <v>3.4049999999999998</v>
      </c>
      <c r="F141" s="1">
        <f>D1091+($A141-C1091)*(D1092-D1091)/(C1092-C1091)</f>
        <v>4.1825000000000001</v>
      </c>
      <c r="G141" s="1">
        <f>$B$9+$B$10*EXP(-$B$11*A141)</f>
        <v>6.1106552098418963</v>
      </c>
      <c r="H141" s="1">
        <f>$C$9+$C$10*EXP(-$C$11*A141)</f>
        <v>5.2391681833749981</v>
      </c>
      <c r="I141" s="1">
        <f>$D$9+$D$10*EXP(-$D$11*A141)</f>
        <v>5.6005482389217107</v>
      </c>
      <c r="J141" s="1">
        <f>AVERAGE(B141:D141)</f>
        <v>5.8223053414755208</v>
      </c>
      <c r="K141" s="1">
        <f>_xlfn.STDEV.S(B141:D141)</f>
        <v>0.42868088288430833</v>
      </c>
    </row>
    <row r="142" spans="1:11" ht="20.100000000000001" customHeight="1">
      <c r="A142" s="1">
        <v>3.3333333333333335</v>
      </c>
      <c r="B142" s="1">
        <f t="shared" si="2"/>
        <v>6.239057523923476</v>
      </c>
      <c r="C142" s="1">
        <f t="shared" si="0"/>
        <v>5.3410686577046569</v>
      </c>
      <c r="D142" s="1">
        <f t="shared" si="1"/>
        <v>5.7753493238362772</v>
      </c>
      <c r="E142" s="1">
        <f>D1078+($A142-C1078)*(D1079-D1078)/(C1079-C1078)</f>
        <v>3.4</v>
      </c>
      <c r="F142" s="1">
        <f>D1091+($A142-C1091)*(D1092-D1091)/(C1092-C1091)</f>
        <v>4.1500000000000004</v>
      </c>
      <c r="G142" s="1">
        <f>$B$9+$B$10*EXP(-$B$11*A142)</f>
        <v>6.0789214791498765</v>
      </c>
      <c r="H142" s="1">
        <f>$C$9+$C$10*EXP(-$C$11*A142)</f>
        <v>5.1995433014917083</v>
      </c>
      <c r="I142" s="1">
        <f>$D$9+$D$10*EXP(-$D$11*A142)</f>
        <v>5.5678157825387249</v>
      </c>
      <c r="J142" s="1">
        <f>AVERAGE(B142:D142)</f>
        <v>5.7851585018214706</v>
      </c>
      <c r="K142" s="1">
        <f>_xlfn.STDEV.S(B142:D142)</f>
        <v>0.44907478880783203</v>
      </c>
    </row>
    <row r="143" spans="1:11" ht="20.100000000000001" customHeight="1">
      <c r="A143" s="1">
        <v>3.4166666666666665</v>
      </c>
      <c r="B143" s="1">
        <f t="shared" si="2"/>
        <v>6.2004193338683793</v>
      </c>
      <c r="C143" s="1">
        <f t="shared" si="0"/>
        <v>5.2773882800000527</v>
      </c>
      <c r="D143" s="1">
        <f t="shared" si="1"/>
        <v>5.732623996000032</v>
      </c>
      <c r="E143" s="1">
        <f>D1078+($A143-C1078)*(D1079-D1078)/(C1079-C1078)</f>
        <v>3.395</v>
      </c>
      <c r="F143" s="1">
        <f>D1091+($A143-C1091)*(D1092-D1091)/(C1092-C1091)</f>
        <v>4.1175000000000006</v>
      </c>
      <c r="G143" s="1">
        <f>$B$9+$B$10*EXP(-$B$11*A143)</f>
        <v>6.0475943934501473</v>
      </c>
      <c r="H143" s="1">
        <f>$C$9+$C$10*EXP(-$C$11*A143)</f>
        <v>5.160796551015741</v>
      </c>
      <c r="I143" s="1">
        <f>$D$9+$D$10*EXP(-$D$11*A143)</f>
        <v>5.5356611129291231</v>
      </c>
      <c r="J143" s="1">
        <f>AVERAGE(B143:D143)</f>
        <v>5.7368105366228219</v>
      </c>
      <c r="K143" s="1">
        <f>_xlfn.STDEV.S(B143:D143)</f>
        <v>0.46152976820905944</v>
      </c>
    </row>
    <row r="144" spans="1:11" ht="20.100000000000001" customHeight="1">
      <c r="A144" s="1">
        <v>3.5</v>
      </c>
      <c r="B144" s="1">
        <f t="shared" si="2"/>
        <v>6.1795618560000172</v>
      </c>
      <c r="C144" s="1">
        <f t="shared" si="0"/>
        <v>5.2129185640000486</v>
      </c>
      <c r="D144" s="1">
        <f t="shared" si="1"/>
        <v>5.6933064240000348</v>
      </c>
      <c r="E144" s="1">
        <f>D1078+($A144-C1078)*(D1079-D1078)/(C1079-C1078)</f>
        <v>3.3899999999999997</v>
      </c>
      <c r="F144" s="1">
        <f>D1091+($A144-C1091)*(D1092-D1091)/(C1092-C1091)</f>
        <v>4.085</v>
      </c>
      <c r="G144" s="1">
        <f>$B$9+$B$10*EXP(-$B$11*A144)</f>
        <v>6.0166687418788669</v>
      </c>
      <c r="H144" s="1">
        <f>$C$9+$C$10*EXP(-$C$11*A144)</f>
        <v>5.1229084715794713</v>
      </c>
      <c r="I144" s="1">
        <f>$D$9+$D$10*EXP(-$D$11*A144)</f>
        <v>5.5040740311163434</v>
      </c>
      <c r="J144" s="1">
        <f>AVERAGE(B144:D144)</f>
        <v>5.6952622813333669</v>
      </c>
      <c r="K144" s="1">
        <f>_xlfn.STDEV.S(B144:D144)</f>
        <v>0.48332461402825883</v>
      </c>
    </row>
    <row r="145" spans="1:11" ht="20.100000000000001" customHeight="1">
      <c r="A145" s="1">
        <v>3.5833333333333335</v>
      </c>
      <c r="B145" s="1">
        <f t="shared" si="2"/>
        <v>6.1574140000000241</v>
      </c>
      <c r="C145" s="1">
        <f t="shared" si="0"/>
        <v>5.1530358540000458</v>
      </c>
      <c r="D145" s="1">
        <f t="shared" si="1"/>
        <v>5.6505937120000356</v>
      </c>
      <c r="E145" s="1">
        <f>D1078+($A145-C1078)*(D1079-D1078)/(C1079-C1078)</f>
        <v>3.3849999999999998</v>
      </c>
      <c r="F145" s="1">
        <f>D1091+($A145-C1091)*(D1092-D1091)/(C1092-C1091)</f>
        <v>4.0525000000000002</v>
      </c>
      <c r="G145" s="1">
        <f>$B$9+$B$10*EXP(-$B$11*A145)</f>
        <v>5.9861393803456791</v>
      </c>
      <c r="H145" s="1">
        <f>$C$9+$C$10*EXP(-$C$11*A145)</f>
        <v>5.0858600340786424</v>
      </c>
      <c r="I145" s="1">
        <f>$D$9+$D$10*EXP(-$D$11*A145)</f>
        <v>5.4730445181541159</v>
      </c>
      <c r="J145" s="1">
        <f>AVERAGE(B145:D145)</f>
        <v>5.6536811886667016</v>
      </c>
      <c r="K145" s="1">
        <f>_xlfn.STDEV.S(B145:D145)</f>
        <v>0.50219619116906278</v>
      </c>
    </row>
    <row r="146" spans="1:11" ht="20.100000000000001" customHeight="1">
      <c r="A146" s="1">
        <v>3.6666666666666665</v>
      </c>
      <c r="B146" s="1">
        <f t="shared" si="2"/>
        <v>6.1274467120000233</v>
      </c>
      <c r="C146" s="1">
        <f t="shared" si="0"/>
        <v>5.0965663951856008</v>
      </c>
      <c r="D146" s="1">
        <f t="shared" si="1"/>
        <v>5.6065870712136814</v>
      </c>
      <c r="E146" s="1">
        <f>D1078+($A146-C1078)*(D1079-D1078)/(C1079-C1078)</f>
        <v>3.38</v>
      </c>
      <c r="F146" s="1">
        <f>D1091+($A146-C1091)*(D1092-D1091)/(C1092-C1091)</f>
        <v>4.0200000000000005</v>
      </c>
      <c r="G146" s="1">
        <f>$B$9+$B$10*EXP(-$B$11*A146)</f>
        <v>5.9560012306780532</v>
      </c>
      <c r="H146" s="1">
        <f>$C$9+$C$10*EXP(-$C$11*A146)</f>
        <v>5.0496326311150899</v>
      </c>
      <c r="I146" s="1">
        <f>$D$9+$D$10*EXP(-$D$11*A146)</f>
        <v>5.4425627319486081</v>
      </c>
      <c r="J146" s="1">
        <f>AVERAGE(B146:D146)</f>
        <v>5.6102000594664352</v>
      </c>
      <c r="K146" s="1">
        <f>_xlfn.STDEV.S(B146:D146)</f>
        <v>0.51544965531265696</v>
      </c>
    </row>
    <row r="147" spans="1:11" ht="20.100000000000001" customHeight="1">
      <c r="A147" s="1">
        <v>3.75</v>
      </c>
      <c r="B147" s="1">
        <f t="shared" si="2"/>
        <v>6.0989306720160625</v>
      </c>
      <c r="C147" s="1">
        <f t="shared" si="0"/>
        <v>5.0418347357926825</v>
      </c>
      <c r="D147" s="1">
        <f t="shared" si="1"/>
        <v>5.5572022160000349</v>
      </c>
      <c r="E147" s="1">
        <f>D1078+($A147-C1078)*(D1079-D1078)/(C1079-C1078)</f>
        <v>3.375</v>
      </c>
      <c r="F147" s="1">
        <f>D1091+($A147-C1091)*(D1092-D1091)/(C1092-C1091)</f>
        <v>3.9875000000000003</v>
      </c>
      <c r="G147" s="1">
        <f>$B$9+$B$10*EXP(-$B$11*A147)</f>
        <v>5.9262492797765951</v>
      </c>
      <c r="H147" s="1">
        <f>$C$9+$C$10*EXP(-$C$11*A147)</f>
        <v>5.0142080676512677</v>
      </c>
      <c r="I147" s="1">
        <f>$D$9+$D$10*EXP(-$D$11*A147)</f>
        <v>5.4126190041366593</v>
      </c>
      <c r="J147" s="1">
        <f>AVERAGE(B147:D147)</f>
        <v>5.5659892079362594</v>
      </c>
      <c r="K147" s="1">
        <f>_xlfn.STDEV.S(B147:D147)</f>
        <v>0.52860274594014511</v>
      </c>
    </row>
    <row r="148" spans="1:11" ht="20.100000000000001" customHeight="1">
      <c r="A148" s="1">
        <v>3.8333333333333335</v>
      </c>
      <c r="B148" s="1">
        <f t="shared" si="2"/>
        <v>6.0809715413759058</v>
      </c>
      <c r="C148" s="1">
        <f t="shared" si="0"/>
        <v>4.9766942607823887</v>
      </c>
      <c r="D148" s="1">
        <f t="shared" si="1"/>
        <v>5.519096024000036</v>
      </c>
      <c r="E148" s="1">
        <f>D1078+($A148-C1078)*(D1079-D1078)/(C1079-C1078)</f>
        <v>3.3699999999999997</v>
      </c>
      <c r="F148" s="1">
        <f>D1091+($A148-C1091)*(D1092-D1091)/(C1092-C1091)</f>
        <v>3.9550000000000001</v>
      </c>
      <c r="G148" s="1">
        <f>$B$9+$B$10*EXP(-$B$11*A148)</f>
        <v>5.8968785787811875</v>
      </c>
      <c r="H148" s="1">
        <f>$C$9+$C$10*EXP(-$C$11*A148)</f>
        <v>4.9795685518718749</v>
      </c>
      <c r="I148" s="1">
        <f>$D$9+$D$10*EXP(-$D$11*A148)</f>
        <v>5.3832038370191215</v>
      </c>
      <c r="J148" s="1">
        <f>AVERAGE(B148:D148)</f>
        <v>5.5255872753861093</v>
      </c>
      <c r="K148" s="1">
        <f>_xlfn.STDEV.S(B148:D148)</f>
        <v>0.55216725760150898</v>
      </c>
    </row>
    <row r="149" spans="1:11" ht="20.100000000000001" customHeight="1">
      <c r="A149" s="1">
        <v>3.9166666666666665</v>
      </c>
      <c r="B149" s="1">
        <f t="shared" si="2"/>
        <v>6.0443192096289122</v>
      </c>
      <c r="C149" s="1">
        <f t="shared" si="0"/>
        <v>4.9256006019262148</v>
      </c>
      <c r="D149" s="1">
        <f t="shared" si="1"/>
        <v>5.4796818057785321</v>
      </c>
      <c r="E149" s="1">
        <f>D1078+($A149-C1078)*(D1079-D1078)/(C1079-C1078)</f>
        <v>3.3649999999999998</v>
      </c>
      <c r="F149" s="1">
        <f>D1091+($A149-C1091)*(D1092-D1091)/(C1092-C1091)</f>
        <v>3.9225000000000003</v>
      </c>
      <c r="G149" s="1">
        <f>$B$9+$B$10*EXP(-$B$11*A149)</f>
        <v>5.8678842422477997</v>
      </c>
      <c r="H149" s="1">
        <f>$C$9+$C$10*EXP(-$C$11*A149)</f>
        <v>4.945696686248005</v>
      </c>
      <c r="I149" s="1">
        <f>$D$9+$D$10*EXP(-$D$11*A149)</f>
        <v>5.3543079005483323</v>
      </c>
      <c r="J149" s="1">
        <f>AVERAGE(B149:D149)</f>
        <v>5.4832005391112197</v>
      </c>
      <c r="K149" s="1">
        <f>_xlfn.STDEV.S(B149:D149)</f>
        <v>0.5593676044590582</v>
      </c>
    </row>
    <row r="150" spans="1:11" ht="20.100000000000001" customHeight="1">
      <c r="A150" s="1">
        <v>4</v>
      </c>
      <c r="B150" s="1">
        <f t="shared" si="2"/>
        <v>6.0133402160000209</v>
      </c>
      <c r="C150" s="1">
        <f t="shared" si="0"/>
        <v>4.8694113680000113</v>
      </c>
      <c r="D150" s="1">
        <f t="shared" si="1"/>
        <v>5.4347907360000098</v>
      </c>
      <c r="E150" s="1">
        <f>D1078+($A150-C1078)*(D1079-D1078)/(C1079-C1078)</f>
        <v>3.36</v>
      </c>
      <c r="F150" s="1">
        <f>D1091+($A150-C1091)*(D1092-D1091)/(C1092-C1091)</f>
        <v>3.89</v>
      </c>
      <c r="G150" s="1">
        <f>$B$9+$B$10*EXP(-$B$11*A150)</f>
        <v>5.8392614473358648</v>
      </c>
      <c r="H150" s="1">
        <f>$C$9+$C$10*EXP(-$C$11*A150)</f>
        <v>4.9125754587993242</v>
      </c>
      <c r="I150" s="1">
        <f>$D$9+$D$10*EXP(-$D$11*A150)</f>
        <v>5.3259220293687637</v>
      </c>
      <c r="J150" s="1">
        <f>AVERAGE(B150:D150)</f>
        <v>5.4391807733333479</v>
      </c>
      <c r="K150" s="1">
        <f>_xlfn.STDEV.S(B150:D150)</f>
        <v>0.57197705954216238</v>
      </c>
    </row>
    <row r="151" spans="1:11" ht="20.100000000000001" customHeight="1">
      <c r="A151" s="1">
        <v>4.083333333333333</v>
      </c>
      <c r="B151" s="1">
        <f t="shared" si="2"/>
        <v>5.9899819280000299</v>
      </c>
      <c r="C151" s="1">
        <f t="shared" si="0"/>
        <v>4.8273657120000157</v>
      </c>
      <c r="D151" s="1">
        <f t="shared" si="1"/>
        <v>5.3965319040000121</v>
      </c>
      <c r="E151" s="1">
        <f>D1079+($A151-C1079)*(D1080-D1079)/(C1080-C1079)</f>
        <v>3.3566666666666665</v>
      </c>
      <c r="F151" s="1">
        <f>D1092+($A151-C1092)*(D1093-D1092)/(C1093-C1092)</f>
        <v>3.8766666666666669</v>
      </c>
      <c r="G151" s="1">
        <f>$B$9+$B$10*EXP(-$B$11*A151)</f>
        <v>5.8110054330060557</v>
      </c>
      <c r="H151" s="1">
        <f>$C$9+$C$10*EXP(-$C$11*A151)</f>
        <v>4.8801882345498804</v>
      </c>
      <c r="I151" s="1">
        <f>$D$9+$D$10*EXP(-$D$11*A151)</f>
        <v>5.2980372199099124</v>
      </c>
      <c r="J151" s="1">
        <f>AVERAGE(B151:D151)</f>
        <v>5.4046265146666856</v>
      </c>
      <c r="K151" s="1">
        <f>_xlfn.STDEV.S(B151:D151)</f>
        <v>0.5813503749615474</v>
      </c>
    </row>
    <row r="152" spans="1:11" ht="20.100000000000001" customHeight="1">
      <c r="A152" s="1">
        <v>4.166666666666667</v>
      </c>
      <c r="B152" s="1">
        <f t="shared" si="2"/>
        <v>5.9576363600000306</v>
      </c>
      <c r="C152" s="1">
        <f t="shared" si="0"/>
        <v>4.7711229760000125</v>
      </c>
      <c r="D152" s="1">
        <f t="shared" si="1"/>
        <v>5.3525728800000119</v>
      </c>
      <c r="E152" s="1">
        <f>D1079+($A152-C1079)*(D1080-D1079)/(C1080-C1079)</f>
        <v>3.3533333333333331</v>
      </c>
      <c r="F152" s="1">
        <f>D1092+($A152-C1092)*(D1093-D1092)/(C1093-C1092)</f>
        <v>3.8633333333333333</v>
      </c>
      <c r="G152" s="1">
        <f>$B$9+$B$10*EXP(-$B$11*A152)</f>
        <v>5.783111499228351</v>
      </c>
      <c r="H152" s="1">
        <f>$C$9+$C$10*EXP(-$C$11*A152)</f>
        <v>4.8485187471732738</v>
      </c>
      <c r="I152" s="1">
        <f>$D$9+$D$10*EXP(-$D$11*A152)</f>
        <v>5.2706446275304986</v>
      </c>
      <c r="J152" s="1">
        <f>AVERAGE(B152:D152)</f>
        <v>5.3604440720000177</v>
      </c>
      <c r="K152" s="1">
        <f>_xlfn.STDEV.S(B152:D152)</f>
        <v>0.59329585313772371</v>
      </c>
    </row>
    <row r="153" spans="1:11" ht="20.100000000000001" customHeight="1">
      <c r="A153" s="1">
        <v>4.25</v>
      </c>
      <c r="B153" s="1">
        <f t="shared" si="2"/>
        <v>5.9243996067415967</v>
      </c>
      <c r="C153" s="1">
        <f t="shared" si="0"/>
        <v>4.7232950321027376</v>
      </c>
      <c r="D153" s="1">
        <f t="shared" si="1"/>
        <v>5.3053476870611957</v>
      </c>
      <c r="E153" s="1">
        <f>D1079+($A153-C1079)*(D1080-D1079)/(C1080-C1079)</f>
        <v>3.3499999999999996</v>
      </c>
      <c r="F153" s="1">
        <f>D1092+($A153-C1092)*(D1093-D1092)/(C1093-C1092)</f>
        <v>3.85</v>
      </c>
      <c r="G153" s="1">
        <f>$B$9+$B$10*EXP(-$B$11*A153)</f>
        <v>5.7555750062002389</v>
      </c>
      <c r="H153" s="1">
        <f>$C$9+$C$10*EXP(-$C$11*A153)</f>
        <v>4.8175510908229677</v>
      </c>
      <c r="I153" s="1">
        <f>$D$9+$D$10*EXP(-$D$11*A153)</f>
        <v>5.2437355637130834</v>
      </c>
      <c r="J153" s="1">
        <f>AVERAGE(B153:D153)</f>
        <v>5.3176807753018442</v>
      </c>
      <c r="K153" s="1">
        <f>_xlfn.STDEV.S(B153:D153)</f>
        <v>0.60064725805064856</v>
      </c>
    </row>
    <row r="154" spans="1:11" ht="20.100000000000001" customHeight="1">
      <c r="A154" s="1">
        <v>4.333333333333333</v>
      </c>
      <c r="B154" s="1">
        <f t="shared" si="2"/>
        <v>5.897829712918667</v>
      </c>
      <c r="C154" s="1">
        <f t="shared" si="0"/>
        <v>4.6925671929825059</v>
      </c>
      <c r="D154" s="1">
        <f t="shared" si="1"/>
        <v>5.2605765762712</v>
      </c>
      <c r="E154" s="1">
        <f>D1079+($A154-C1079)*(D1080-D1079)/(C1080-C1079)</f>
        <v>3.3466666666666667</v>
      </c>
      <c r="F154" s="1">
        <f>D1092+($A154-C1092)*(D1093-D1092)/(C1093-C1092)</f>
        <v>3.8366666666666669</v>
      </c>
      <c r="G154" s="1">
        <f>$B$9+$B$10*EXP(-$B$11*A154)</f>
        <v>5.7283913735749508</v>
      </c>
      <c r="H154" s="1">
        <f>$C$9+$C$10*EXP(-$C$11*A154)</f>
        <v>4.787269712143658</v>
      </c>
      <c r="I154" s="1">
        <f>$D$9+$D$10*EXP(-$D$11*A154)</f>
        <v>5.2173014933081987</v>
      </c>
      <c r="J154" s="1">
        <f>AVERAGE(B154:D154)</f>
        <v>5.2836578273907913</v>
      </c>
      <c r="K154" s="1">
        <f>_xlfn.STDEV.S(B154:D154)</f>
        <v>0.60296268011017939</v>
      </c>
    </row>
    <row r="155" spans="1:11" ht="20.100000000000001" customHeight="1">
      <c r="A155" s="1">
        <v>4.416666666666667</v>
      </c>
      <c r="B155" s="1">
        <f t="shared" si="2"/>
        <v>5.8719837961477106</v>
      </c>
      <c r="C155" s="1">
        <f t="shared" si="0"/>
        <v>4.6456468138041851</v>
      </c>
      <c r="D155" s="1">
        <f t="shared" si="1"/>
        <v>5.2246373660983068</v>
      </c>
      <c r="E155" s="1">
        <f>D1079+($A155-C1079)*(D1080-D1079)/(C1080-C1079)</f>
        <v>3.3433333333333333</v>
      </c>
      <c r="F155" s="1">
        <f>D1092+($A155-C1092)*(D1093-D1092)/(C1093-C1092)</f>
        <v>3.8233333333333333</v>
      </c>
      <c r="G155" s="1">
        <f>$B$9+$B$10*EXP(-$B$11*A155)</f>
        <v>5.701556079699575</v>
      </c>
      <c r="H155" s="1">
        <f>$C$9+$C$10*EXP(-$C$11*A155)</f>
        <v>4.757659402459673</v>
      </c>
      <c r="I155" s="1">
        <f>$D$9+$D$10*EXP(-$D$11*A155)</f>
        <v>5.191334031827127</v>
      </c>
      <c r="J155" s="1">
        <f>AVERAGE(B155:D155)</f>
        <v>5.2474226586834005</v>
      </c>
      <c r="K155" s="1">
        <f>_xlfn.STDEV.S(B155:D155)</f>
        <v>0.61348592138246938</v>
      </c>
    </row>
    <row r="156" spans="1:11" ht="20.100000000000001" customHeight="1">
      <c r="A156" s="1">
        <v>4.5</v>
      </c>
      <c r="B156" s="1">
        <f t="shared" si="2"/>
        <v>5.8297968320000066</v>
      </c>
      <c r="C156" s="1">
        <f t="shared" si="0"/>
        <v>4.605151712000044</v>
      </c>
      <c r="D156" s="1">
        <f t="shared" si="1"/>
        <v>5.1808001620000157</v>
      </c>
      <c r="E156" s="1">
        <f>D1079+($A156-C1079)*(D1080-D1079)/(C1080-C1079)</f>
        <v>3.34</v>
      </c>
      <c r="F156" s="1">
        <f>D1092+($A156-C1092)*(D1093-D1092)/(C1093-C1092)</f>
        <v>3.81</v>
      </c>
      <c r="G156" s="1">
        <f>$B$9+$B$10*EXP(-$B$11*A156)</f>
        <v>5.6750646608629367</v>
      </c>
      <c r="H156" s="1">
        <f>$C$9+$C$10*EXP(-$C$11*A156)</f>
        <v>4.728705290136495</v>
      </c>
      <c r="I156" s="1">
        <f>$D$9+$D$10*EXP(-$D$11*A156)</f>
        <v>5.1658249427824714</v>
      </c>
      <c r="J156" s="1">
        <f>AVERAGE(B156:D156)</f>
        <v>5.2052495686666882</v>
      </c>
      <c r="K156" s="1">
        <f>_xlfn.STDEV.S(B156:D156)</f>
        <v>0.61268854045077015</v>
      </c>
    </row>
    <row r="157" spans="1:11" ht="20.100000000000001" customHeight="1">
      <c r="A157" s="1">
        <v>4.583333333333333</v>
      </c>
      <c r="B157" s="1">
        <f t="shared" si="2"/>
        <v>5.8054973680000064</v>
      </c>
      <c r="C157" s="1">
        <f t="shared" si="0"/>
        <v>4.5650755200000352</v>
      </c>
      <c r="D157" s="1">
        <f t="shared" si="1"/>
        <v>5.1406025760000142</v>
      </c>
      <c r="E157" s="1">
        <f>D1079+($A157-C1079)*(D1080-D1079)/(C1080-C1079)</f>
        <v>3.3366666666666664</v>
      </c>
      <c r="F157" s="1">
        <f>D1092+($A157-C1092)*(D1093-D1092)/(C1093-C1092)</f>
        <v>3.7966666666666669</v>
      </c>
      <c r="G157" s="1">
        <f>$B$9+$B$10*EXP(-$B$11*A157)</f>
        <v>5.6489127105531214</v>
      </c>
      <c r="H157" s="1">
        <f>$C$9+$C$10*EXP(-$C$11*A157)</f>
        <v>4.700392833111545</v>
      </c>
      <c r="I157" s="1">
        <f>$D$9+$D$10*EXP(-$D$11*A157)</f>
        <v>5.1407661350756602</v>
      </c>
      <c r="J157" s="1">
        <f>AVERAGE(B157:D157)</f>
        <v>5.1703918213333511</v>
      </c>
      <c r="K157" s="1">
        <f>_xlfn.STDEV.S(B157:D157)</f>
        <v>0.62074724292747629</v>
      </c>
    </row>
    <row r="158" spans="1:11" ht="20.100000000000001" customHeight="1">
      <c r="A158" s="1">
        <v>4.666666666666667</v>
      </c>
      <c r="B158" s="1">
        <f t="shared" si="2"/>
        <v>5.7784470692076342</v>
      </c>
      <c r="C158" s="1">
        <f t="shared" si="0"/>
        <v>4.5326454240000382</v>
      </c>
      <c r="D158" s="1">
        <f t="shared" si="1"/>
        <v>5.1048855860000133</v>
      </c>
      <c r="E158" s="1">
        <f>D1079+($A158-C1079)*(D1080-D1079)/(C1080-C1079)</f>
        <v>3.333333333333333</v>
      </c>
      <c r="F158" s="1">
        <f>D1092+($A158-C1092)*(D1093-D1092)/(C1093-C1092)</f>
        <v>3.7833333333333332</v>
      </c>
      <c r="G158" s="1">
        <f>$B$9+$B$10*EXP(-$B$11*A158)</f>
        <v>5.6230958787244969</v>
      </c>
      <c r="H158" s="1">
        <f>$C$9+$C$10*EXP(-$C$11*A158)</f>
        <v>4.6727078115905121</v>
      </c>
      <c r="I158" s="1">
        <f>$D$9+$D$10*EXP(-$D$11*A158)</f>
        <v>5.116149660430577</v>
      </c>
      <c r="J158" s="1">
        <f>AVERAGE(B158:D158)</f>
        <v>5.1386593597358958</v>
      </c>
      <c r="K158" s="1">
        <f>_xlfn.STDEV.S(B158:D158)</f>
        <v>0.62358715160333456</v>
      </c>
    </row>
    <row r="159" spans="1:11" ht="20.100000000000001" customHeight="1">
      <c r="A159" s="1">
        <v>4.75</v>
      </c>
      <c r="B159" s="1">
        <f t="shared" si="2"/>
        <v>5.7377026060000063</v>
      </c>
      <c r="C159" s="1">
        <f t="shared" si="0"/>
        <v>4.4970118655968259</v>
      </c>
      <c r="D159" s="1">
        <f t="shared" si="1"/>
        <v>5.0702282825040266</v>
      </c>
      <c r="E159" s="1">
        <f>D1079+($A159-C1079)*(D1080-D1079)/(C1080-C1079)</f>
        <v>3.33</v>
      </c>
      <c r="F159" s="1">
        <f>D1092+($A159-C1092)*(D1093-D1092)/(C1093-C1092)</f>
        <v>3.77</v>
      </c>
      <c r="G159" s="1">
        <f>$B$9+$B$10*EXP(-$B$11*A159)</f>
        <v>5.5976098710741509</v>
      </c>
      <c r="H159" s="1">
        <f>$C$9+$C$10*EXP(-$C$11*A159)</f>
        <v>4.645636320905524</v>
      </c>
      <c r="I159" s="1">
        <f>$D$9+$D$10*EXP(-$D$11*A159)</f>
        <v>5.0919677108724866</v>
      </c>
      <c r="J159" s="1">
        <f>AVERAGE(B159:D159)</f>
        <v>5.1016475847002853</v>
      </c>
      <c r="K159" s="1">
        <f>_xlfn.STDEV.S(B159:D159)</f>
        <v>0.62094183120758006</v>
      </c>
    </row>
    <row r="160" spans="1:11" ht="20.100000000000001" customHeight="1">
      <c r="A160" s="1">
        <v>4.833333333333333</v>
      </c>
      <c r="B160" s="1">
        <f t="shared" si="2"/>
        <v>5.72009078800001</v>
      </c>
      <c r="C160" s="1">
        <f t="shared" si="0"/>
        <v>4.4644355314058268</v>
      </c>
      <c r="D160" s="1">
        <f t="shared" si="1"/>
        <v>5.0341758014353966</v>
      </c>
      <c r="E160" s="1">
        <f>D1079+($A160-C1079)*(D1080-D1079)/(C1080-C1079)</f>
        <v>3.3266666666666667</v>
      </c>
      <c r="F160" s="1">
        <f>D1092+($A160-C1092)*(D1093-D1092)/(C1093-C1092)</f>
        <v>3.7566666666666668</v>
      </c>
      <c r="G160" s="1">
        <f>$B$9+$B$10*EXP(-$B$11*A160)</f>
        <v>5.5724504483275794</v>
      </c>
      <c r="H160" s="1">
        <f>$C$9+$C$10*EXP(-$C$11*A160)</f>
        <v>4.6191647645315959</v>
      </c>
      <c r="I160" s="1">
        <f>$D$9+$D$10*EXP(-$D$11*A160)</f>
        <v>5.0682126162514596</v>
      </c>
      <c r="J160" s="1">
        <f>AVERAGE(B160:D160)</f>
        <v>5.0729007069470775</v>
      </c>
      <c r="K160" s="1">
        <f>_xlfn.STDEV.S(B160:D160)</f>
        <v>0.62872270881789905</v>
      </c>
    </row>
    <row r="161" spans="1:11" ht="20.100000000000001" customHeight="1">
      <c r="A161" s="1">
        <v>4.916666666666667</v>
      </c>
      <c r="B161" s="1">
        <f t="shared" si="2"/>
        <v>5.6938049600000191</v>
      </c>
      <c r="C161" s="1">
        <f t="shared" si="0"/>
        <v>4.4282270752256991</v>
      </c>
      <c r="D161" s="1">
        <f t="shared" si="1"/>
        <v>4.9941749538523394</v>
      </c>
      <c r="E161" s="1">
        <f>D1079+($A161-C1079)*(D1080-D1079)/(C1080-C1079)</f>
        <v>3.3233333333333333</v>
      </c>
      <c r="F161" s="1">
        <f>D1092+($A161-C1092)*(D1093-D1092)/(C1093-C1092)</f>
        <v>3.7433333333333332</v>
      </c>
      <c r="G161" s="1">
        <f>$B$9+$B$10*EXP(-$B$11*A161)</f>
        <v>5.5476134255335401</v>
      </c>
      <c r="H161" s="1">
        <f>$C$9+$C$10*EXP(-$C$11*A161)</f>
        <v>4.5932798472578451</v>
      </c>
      <c r="I161" s="1">
        <f>$D$9+$D$10*EXP(-$D$11*A161)</f>
        <v>5.0448768418095202</v>
      </c>
      <c r="J161" s="1">
        <f>AVERAGE(B161:D161)</f>
        <v>5.0387356630260198</v>
      </c>
      <c r="K161" s="1">
        <f>_xlfn.STDEV.S(B161:D161)</f>
        <v>0.63396457961703556</v>
      </c>
    </row>
    <row r="162" spans="1:11" ht="20.100000000000001" customHeight="1">
      <c r="A162" s="1">
        <v>5</v>
      </c>
      <c r="B162" s="1">
        <f t="shared" si="2"/>
        <v>5.6454540509630879</v>
      </c>
      <c r="C162" s="1">
        <f t="shared" si="0"/>
        <v>4.4068915240000397</v>
      </c>
      <c r="D162" s="1">
        <f t="shared" si="1"/>
        <v>4.960434357999989</v>
      </c>
      <c r="E162" s="1">
        <f>D1079+($A162-C1079)*(D1080-D1079)/(C1080-C1079)</f>
        <v>3.32</v>
      </c>
      <c r="F162" s="1">
        <f>D1092+($A162-C1092)*(D1093-D1092)/(C1093-C1092)</f>
        <v>3.73</v>
      </c>
      <c r="G162" s="1">
        <f>$B$9+$B$10*EXP(-$B$11*A162)</f>
        <v>5.5230946713679394</v>
      </c>
      <c r="H162" s="1">
        <f>$C$9+$C$10*EXP(-$C$11*A162)</f>
        <v>4.5679685685100333</v>
      </c>
      <c r="I162" s="1">
        <f>$D$9+$D$10*EXP(-$D$11*A162)</f>
        <v>5.0219529857907368</v>
      </c>
      <c r="J162" s="1">
        <f>AVERAGE(B162:D162)</f>
        <v>5.0042599776543719</v>
      </c>
      <c r="K162" s="1">
        <f>_xlfn.STDEV.S(B162:D162)</f>
        <v>0.62044322625268422</v>
      </c>
    </row>
    <row r="163" spans="1:11" ht="20.100000000000001" customHeight="1">
      <c r="A163" s="1">
        <v>5.083333333333333</v>
      </c>
      <c r="B163" s="1">
        <f t="shared" si="2"/>
        <v>5.6283227472089221</v>
      </c>
      <c r="C163" s="1">
        <f t="shared" si="0"/>
        <v>4.3735724060000356</v>
      </c>
      <c r="D163" s="1">
        <f t="shared" si="1"/>
        <v>4.9228324759999929</v>
      </c>
      <c r="E163" s="1">
        <f>D1080+($A163-C1080)*(D1081-D1080)/(C1081-C1080)</f>
        <v>3.3158333333333334</v>
      </c>
      <c r="F163" s="1">
        <f>D1093+($A163-C1093)*(D1094-D1093)/(C1094-C1093)</f>
        <v>3.72</v>
      </c>
      <c r="G163" s="1">
        <f>$B$9+$B$10*EXP(-$B$11*A163)</f>
        <v>5.4988901074466359</v>
      </c>
      <c r="H163" s="1">
        <f>$C$9+$C$10*EXP(-$C$11*A163)</f>
        <v>4.5432182158210903</v>
      </c>
      <c r="I163" s="1">
        <f>$D$9+$D$10*EXP(-$D$11*A163)</f>
        <v>4.9994337770934862</v>
      </c>
      <c r="J163" s="1">
        <f>AVERAGE(B163:D163)</f>
        <v>4.9749092097363166</v>
      </c>
      <c r="K163" s="1">
        <f>_xlfn.STDEV.S(B163:D163)</f>
        <v>0.62899411311906139</v>
      </c>
    </row>
    <row r="164" spans="1:11" ht="20.100000000000001" customHeight="1">
      <c r="A164" s="1">
        <v>5.166666666666667</v>
      </c>
      <c r="B164" s="1">
        <f t="shared" si="2"/>
        <v>5.5896942174959969</v>
      </c>
      <c r="C164" s="1">
        <f t="shared" si="0"/>
        <v>4.3439100480000263</v>
      </c>
      <c r="D164" s="1">
        <f t="shared" si="1"/>
        <v>4.89596523999999</v>
      </c>
      <c r="E164" s="1">
        <f>D1080+($A164-C1080)*(D1081-D1080)/(C1081-C1080)</f>
        <v>3.3116666666666665</v>
      </c>
      <c r="F164" s="1">
        <f>D1093+($A164-C1093)*(D1094-D1093)/(C1094-C1093)</f>
        <v>3.71</v>
      </c>
      <c r="G164" s="1">
        <f>$B$9+$B$10*EXP(-$B$11*A164)</f>
        <v>5.4749957076470581</v>
      </c>
      <c r="H164" s="1">
        <f>$C$9+$C$10*EXP(-$C$11*A164)</f>
        <v>4.5190163584463408</v>
      </c>
      <c r="I164" s="1">
        <f>$D$9+$D$10*EXP(-$D$11*A164)</f>
        <v>4.9773120729641827</v>
      </c>
      <c r="J164" s="1">
        <f>AVERAGE(B164:D164)</f>
        <v>4.9431898351653372</v>
      </c>
      <c r="K164" s="1">
        <f>_xlfn.STDEV.S(B164:D164)</f>
        <v>0.62423326652229072</v>
      </c>
    </row>
    <row r="165" spans="1:11" ht="20.100000000000001" customHeight="1">
      <c r="A165" s="1">
        <v>5.25</v>
      </c>
      <c r="B165" s="1">
        <f t="shared" si="2"/>
        <v>5.5626981439999907</v>
      </c>
      <c r="C165" s="1">
        <f t="shared" si="0"/>
        <v>4.3213766432584695</v>
      </c>
      <c r="D165" s="1">
        <f t="shared" si="1"/>
        <v>4.8615480898876333</v>
      </c>
      <c r="E165" s="1">
        <f>D1080+($A165-C1080)*(D1081-D1080)/(C1081-C1080)</f>
        <v>3.3075000000000001</v>
      </c>
      <c r="F165" s="1">
        <f>D1093+($A165-C1093)*(D1094-D1093)/(C1094-C1093)</f>
        <v>3.7</v>
      </c>
      <c r="G165" s="1">
        <f>$B$9+$B$10*EXP(-$B$11*A165)</f>
        <v>5.4514074974385043</v>
      </c>
      <c r="H165" s="1">
        <f>$C$9+$C$10*EXP(-$C$11*A165)</f>
        <v>4.4953508411202234</v>
      </c>
      <c r="I165" s="1">
        <f>$D$9+$D$10*EXP(-$D$11*A165)</f>
        <v>4.9555808567316957</v>
      </c>
      <c r="J165" s="1">
        <f>AVERAGE(B165:D165)</f>
        <v>4.9152076257153645</v>
      </c>
      <c r="K165" s="1">
        <f>_xlfn.STDEV.S(B165:D165)</f>
        <v>0.62239800480860874</v>
      </c>
    </row>
    <row r="166" spans="1:11" ht="20.100000000000001" customHeight="1">
      <c r="A166" s="1">
        <v>5.333333333333333</v>
      </c>
      <c r="B166" s="1">
        <f t="shared" si="2"/>
        <v>5.5276876199999956</v>
      </c>
      <c r="C166" s="1">
        <f t="shared" si="0"/>
        <v>4.2854661602870872</v>
      </c>
      <c r="D166" s="1">
        <f t="shared" si="1"/>
        <v>4.8315108373205886</v>
      </c>
      <c r="E166" s="1">
        <f>D1080+($A166-C1080)*(D1081-D1080)/(C1081-C1080)</f>
        <v>3.3033333333333332</v>
      </c>
      <c r="F166" s="1">
        <f>D1093+($A166-C1093)*(D1094-D1093)/(C1094-C1093)</f>
        <v>3.69</v>
      </c>
      <c r="G166" s="1">
        <f>$B$9+$B$10*EXP(-$B$11*A166)</f>
        <v>5.4281215532210325</v>
      </c>
      <c r="H166" s="1">
        <f>$C$9+$C$10*EXP(-$C$11*A166)</f>
        <v>4.472209777951365</v>
      </c>
      <c r="I166" s="1">
        <f>$D$9+$D$10*EXP(-$D$11*A166)</f>
        <v>4.9342332355817708</v>
      </c>
      <c r="J166" s="1">
        <f>AVERAGE(B166:D166)</f>
        <v>4.8815548725358902</v>
      </c>
      <c r="K166" s="1">
        <f>_xlfn.STDEV.S(B166:D166)</f>
        <v>0.62262094635363552</v>
      </c>
    </row>
    <row r="167" spans="1:11" ht="20.100000000000001" customHeight="1">
      <c r="A167" s="1">
        <v>5.416666666666667</v>
      </c>
      <c r="B167" s="1">
        <f t="shared" si="2"/>
        <v>5.5093100959999886</v>
      </c>
      <c r="C167" s="1">
        <f t="shared" ref="C167:C230" si="3">D654+($A167-C654)*(D655-D654)/(C655-C654)</f>
        <v>4.2735371910112612</v>
      </c>
      <c r="D167" s="1">
        <f t="shared" ref="D167:D230" si="4">D897+($A167-C897)*(D898-D897)/(C898-C897)</f>
        <v>4.802849424157297</v>
      </c>
      <c r="E167" s="1">
        <f>D1080+($A167-C1080)*(D1081-D1080)/(C1081-C1080)</f>
        <v>3.2991666666666664</v>
      </c>
      <c r="F167" s="1">
        <f>D1093+($A167-C1093)*(D1094-D1093)/(C1094-C1093)</f>
        <v>3.6799999999999997</v>
      </c>
      <c r="G167" s="1">
        <f>$B$9+$B$10*EXP(-$B$11*A167)</f>
        <v>5.4051340016728204</v>
      </c>
      <c r="H167" s="1">
        <f>$C$9+$C$10*EXP(-$C$11*A167)</f>
        <v>4.4495815464529516</v>
      </c>
      <c r="I167" s="1">
        <f>$D$9+$D$10*EXP(-$D$11*A167)</f>
        <v>4.9132624383707313</v>
      </c>
      <c r="J167" s="1">
        <f>AVERAGE(B167:D167)</f>
        <v>4.8618989037228495</v>
      </c>
      <c r="K167" s="1">
        <f>_xlfn.STDEV.S(B167:D167)</f>
        <v>0.6199990314135897</v>
      </c>
    </row>
    <row r="168" spans="1:11" ht="20.100000000000001" customHeight="1">
      <c r="A168" s="1">
        <v>5.5</v>
      </c>
      <c r="B168" s="1">
        <f t="shared" si="2"/>
        <v>5.4662635112359492</v>
      </c>
      <c r="C168" s="1">
        <f t="shared" si="3"/>
        <v>4.251044890000018</v>
      </c>
      <c r="D168" s="1">
        <f t="shared" si="4"/>
        <v>4.7762344894684192</v>
      </c>
      <c r="E168" s="1">
        <f>D1080+($A168-C1080)*(D1081-D1080)/(C1081-C1080)</f>
        <v>3.2949999999999999</v>
      </c>
      <c r="F168" s="1">
        <f>D1093+($A168-C1093)*(D1094-D1093)/(C1094-C1093)</f>
        <v>3.67</v>
      </c>
      <c r="G168" s="1">
        <f>$B$9+$B$10*EXP(-$B$11*A168)</f>
        <v>5.3824410191058858</v>
      </c>
      <c r="H168" s="1">
        <f>$C$9+$C$10*EXP(-$C$11*A168)</f>
        <v>4.4274547817053911</v>
      </c>
      <c r="I168" s="1">
        <f>$D$9+$D$10*EXP(-$D$11*A168)</f>
        <v>4.8926618134777753</v>
      </c>
      <c r="J168" s="1">
        <f>AVERAGE(B168:D168)</f>
        <v>4.8311809635681291</v>
      </c>
      <c r="K168" s="1">
        <f>_xlfn.STDEV.S(B168:D168)</f>
        <v>0.60946977825946058</v>
      </c>
    </row>
    <row r="169" spans="1:11" ht="20.100000000000001" customHeight="1">
      <c r="A169" s="1">
        <v>5.583333333333333</v>
      </c>
      <c r="B169" s="1">
        <f t="shared" si="2"/>
        <v>5.441665630000017</v>
      </c>
      <c r="C169" s="1">
        <f t="shared" si="3"/>
        <v>4.2187060960000045</v>
      </c>
      <c r="D169" s="1">
        <f t="shared" si="4"/>
        <v>4.7490936530409016</v>
      </c>
      <c r="E169" s="1">
        <f>D1080+($A169-C1080)*(D1081-D1080)/(C1081-C1080)</f>
        <v>3.2908333333333335</v>
      </c>
      <c r="F169" s="1">
        <f>D1093+($A169-C1093)*(D1094-D1093)/(C1094-C1093)</f>
        <v>3.66</v>
      </c>
      <c r="G169" s="1">
        <f>$B$9+$B$10*EXP(-$B$11*A169)</f>
        <v>5.3600388308300637</v>
      </c>
      <c r="H169" s="1">
        <f>$C$9+$C$10*EXP(-$C$11*A169)</f>
        <v>4.4058183706483334</v>
      </c>
      <c r="I169" s="1">
        <f>$D$9+$D$10*EXP(-$D$11*A169)</f>
        <v>4.8724248266951813</v>
      </c>
      <c r="J169" s="1">
        <f>AVERAGE(B169:D169)</f>
        <v>4.8031551263469749</v>
      </c>
      <c r="K169" s="1">
        <f>_xlfn.STDEV.S(B169:D169)</f>
        <v>0.61326950651601575</v>
      </c>
    </row>
    <row r="170" spans="1:11" ht="20.100000000000001" customHeight="1">
      <c r="A170" s="1">
        <v>5.666666666666667</v>
      </c>
      <c r="B170" s="1">
        <f t="shared" ref="B170:B233" si="5">D415+($A170-C415)*(D416-D415)/(C416-C415)</f>
        <v>5.4103640820000187</v>
      </c>
      <c r="C170" s="1">
        <f t="shared" si="3"/>
        <v>4.2099191640000129</v>
      </c>
      <c r="D170" s="1">
        <f t="shared" si="4"/>
        <v>4.7122930270812491</v>
      </c>
      <c r="E170" s="1">
        <f>D1080+($A170-C1080)*(D1081-D1080)/(C1081-C1080)</f>
        <v>3.2866666666666666</v>
      </c>
      <c r="F170" s="1">
        <f>D1093+($A170-C1093)*(D1094-D1093)/(C1094-C1093)</f>
        <v>3.65</v>
      </c>
      <c r="G170" s="1">
        <f>$B$9+$B$10*EXP(-$B$11*A170)</f>
        <v>5.3379237105251374</v>
      </c>
      <c r="H170" s="1">
        <f>$C$9+$C$10*EXP(-$C$11*A170)</f>
        <v>4.3846614464991971</v>
      </c>
      <c r="I170" s="1">
        <f>$D$9+$D$10*EXP(-$D$11*A170)</f>
        <v>4.8525450591557542</v>
      </c>
      <c r="J170" s="1">
        <f>AVERAGE(B170:D170)</f>
        <v>4.7775254243604266</v>
      </c>
      <c r="K170" s="1">
        <f>_xlfn.STDEV.S(B170:D170)</f>
        <v>0.60287515252256429</v>
      </c>
    </row>
    <row r="171" spans="1:11" ht="20.100000000000001" customHeight="1">
      <c r="A171" s="1">
        <v>5.75</v>
      </c>
      <c r="B171" s="1">
        <f t="shared" si="5"/>
        <v>5.3757540820000189</v>
      </c>
      <c r="C171" s="1">
        <f t="shared" si="3"/>
        <v>4.1859995406218742</v>
      </c>
      <c r="D171" s="1">
        <f t="shared" si="4"/>
        <v>4.6998026480000208</v>
      </c>
      <c r="E171" s="1">
        <f>D1080+($A171-C1080)*(D1081-D1080)/(C1081-C1080)</f>
        <v>3.2824999999999998</v>
      </c>
      <c r="F171" s="1">
        <f>D1093+($A171-C1093)*(D1094-D1093)/(C1094-C1093)</f>
        <v>3.6399999999999997</v>
      </c>
      <c r="G171" s="1">
        <f>$B$9+$B$10*EXP(-$B$11*A171)</f>
        <v>5.3160919796210075</v>
      </c>
      <c r="H171" s="1">
        <f>$C$9+$C$10*EXP(-$C$11*A171)</f>
        <v>4.3639733832953738</v>
      </c>
      <c r="I171" s="1">
        <f>$D$9+$D$10*EXP(-$D$11*A171)</f>
        <v>4.8330162052968602</v>
      </c>
      <c r="J171" s="1">
        <f>AVERAGE(B171:D171)</f>
        <v>4.753852090207304</v>
      </c>
      <c r="K171" s="1">
        <f>_xlfn.STDEV.S(B171:D171)</f>
        <v>0.59671599093260308</v>
      </c>
    </row>
    <row r="172" spans="1:11" ht="20.100000000000001" customHeight="1">
      <c r="A172" s="1">
        <v>5.833333333333333</v>
      </c>
      <c r="B172" s="1">
        <f t="shared" si="5"/>
        <v>5.3420014623871701</v>
      </c>
      <c r="C172" s="1">
        <f t="shared" si="3"/>
        <v>4.1687484680000102</v>
      </c>
      <c r="D172" s="1">
        <f t="shared" si="4"/>
        <v>4.6691479640000138</v>
      </c>
      <c r="E172" s="1">
        <f>D1080+($A172-C1080)*(D1081-D1080)/(C1081-C1080)</f>
        <v>3.2783333333333333</v>
      </c>
      <c r="F172" s="1">
        <f>D1093+($A172-C1093)*(D1094-D1093)/(C1094-C1093)</f>
        <v>3.63</v>
      </c>
      <c r="G172" s="1">
        <f>$B$9+$B$10*EXP(-$B$11*A172)</f>
        <v>5.2945400066858141</v>
      </c>
      <c r="H172" s="1">
        <f>$C$9+$C$10*EXP(-$C$11*A172)</f>
        <v>4.343743790557391</v>
      </c>
      <c r="I172" s="1">
        <f>$D$9+$D$10*EXP(-$D$11*A172)</f>
        <v>4.8138320708603946</v>
      </c>
      <c r="J172" s="1">
        <f>AVERAGE(B172:D172)</f>
        <v>4.7266326314623983</v>
      </c>
      <c r="K172" s="1">
        <f>_xlfn.STDEV.S(B172:D172)</f>
        <v>0.58873509531414059</v>
      </c>
    </row>
    <row r="173" spans="1:11" ht="20.100000000000001" customHeight="1">
      <c r="A173" s="1">
        <v>5.916666666666667</v>
      </c>
      <c r="B173" s="1">
        <f t="shared" si="5"/>
        <v>5.3258936530409029</v>
      </c>
      <c r="C173" s="1">
        <f t="shared" si="3"/>
        <v>4.1538118200000094</v>
      </c>
      <c r="D173" s="1">
        <f t="shared" si="4"/>
        <v>4.6489723240000052</v>
      </c>
      <c r="E173" s="1">
        <f>D1080+($A173-C1080)*(D1081-D1080)/(C1081-C1080)</f>
        <v>3.2741666666666664</v>
      </c>
      <c r="F173" s="1">
        <f>D1093+($A173-C1093)*(D1094-D1093)/(C1094-C1093)</f>
        <v>3.6199999999999997</v>
      </c>
      <c r="G173" s="1">
        <f>$B$9+$B$10*EXP(-$B$11*A173)</f>
        <v>5.2732642068218905</v>
      </c>
      <c r="H173" s="1">
        <f>$C$9+$C$10*EXP(-$C$11*A173)</f>
        <v>4.3239625080703483</v>
      </c>
      <c r="I173" s="1">
        <f>$D$9+$D$10*EXP(-$D$11*A173)</f>
        <v>4.7949865709280592</v>
      </c>
      <c r="J173" s="1">
        <f>AVERAGE(B173:D173)</f>
        <v>4.7095592656803058</v>
      </c>
      <c r="K173" s="1">
        <f>_xlfn.STDEV.S(B173:D173)</f>
        <v>0.58838511109880198</v>
      </c>
    </row>
    <row r="174" spans="1:11" ht="20.100000000000001" customHeight="1">
      <c r="A174" s="1">
        <v>6</v>
      </c>
      <c r="B174" s="1">
        <f t="shared" si="5"/>
        <v>5.287876994984976</v>
      </c>
      <c r="C174" s="1">
        <f t="shared" si="3"/>
        <v>4.1394728651685542</v>
      </c>
      <c r="D174" s="1">
        <f t="shared" si="4"/>
        <v>4.6400884028892619</v>
      </c>
      <c r="E174" s="1">
        <f>D1080+($A174-C1080)*(D1081-D1080)/(C1081-C1080)</f>
        <v>3.27</v>
      </c>
      <c r="F174" s="1">
        <f>D1093+($A174-C1093)*(D1094-D1093)/(C1094-C1093)</f>
        <v>3.61</v>
      </c>
      <c r="G174" s="1">
        <f>$B$9+$B$10*EXP(-$B$11*A174)</f>
        <v>5.2522610410694606</v>
      </c>
      <c r="H174" s="1">
        <f>$C$9+$C$10*EXP(-$C$11*A174)</f>
        <v>4.3046196007809954</v>
      </c>
      <c r="I174" s="1">
        <f>$D$9+$D$10*EXP(-$D$11*A174)</f>
        <v>4.7764737279913163</v>
      </c>
      <c r="J174" s="1">
        <f>AVERAGE(B174:D174)</f>
        <v>4.689146087680931</v>
      </c>
      <c r="K174" s="1">
        <f>_xlfn.STDEV.S(B174:D174)</f>
        <v>0.57577165931703544</v>
      </c>
    </row>
    <row r="175" spans="1:11" ht="20.100000000000001" customHeight="1">
      <c r="A175" s="1">
        <v>6.083333333333333</v>
      </c>
      <c r="B175" s="1">
        <f t="shared" si="5"/>
        <v>5.2496241800000103</v>
      </c>
      <c r="C175" s="1">
        <f t="shared" si="3"/>
        <v>4.1157575239234454</v>
      </c>
      <c r="D175" s="1">
        <f t="shared" si="4"/>
        <v>4.6148614999999999</v>
      </c>
      <c r="E175" s="1">
        <f>D1081+($A175-C1081)*(D1082-D1081)/(C1082-C1081)</f>
        <v>3.2675000000000001</v>
      </c>
      <c r="F175" s="1">
        <f>D1094+($A175-C1094)*(D1095-D1094)/(C1095-C1094)</f>
        <v>3.6025</v>
      </c>
      <c r="G175" s="1">
        <f>$B$9+$B$10*EXP(-$B$11*A175)</f>
        <v>5.2315270158179796</v>
      </c>
      <c r="H175" s="1">
        <f>$C$9+$C$10*EXP(-$C$11*A175)</f>
        <v>4.2857053538078977</v>
      </c>
      <c r="I175" s="1">
        <f>$D$9+$D$10*EXP(-$D$11*A175)</f>
        <v>4.7582876700554131</v>
      </c>
      <c r="J175" s="1">
        <f>AVERAGE(B175:D175)</f>
        <v>4.6600810679744855</v>
      </c>
      <c r="K175" s="1">
        <f>_xlfn.STDEV.S(B175:D175)</f>
        <v>0.56828426463910831</v>
      </c>
    </row>
    <row r="176" spans="1:11" ht="20.100000000000001" customHeight="1">
      <c r="A176" s="1">
        <v>6.166666666666667</v>
      </c>
      <c r="B176" s="1">
        <f t="shared" si="5"/>
        <v>5.2326640720000226</v>
      </c>
      <c r="C176" s="1">
        <f t="shared" si="3"/>
        <v>4.1029417536115673</v>
      </c>
      <c r="D176" s="1">
        <f t="shared" si="4"/>
        <v>4.5942069999999999</v>
      </c>
      <c r="E176" s="1">
        <f>D1081+($A176-C1081)*(D1082-D1081)/(C1082-C1081)</f>
        <v>3.2650000000000001</v>
      </c>
      <c r="F176" s="1">
        <f>D1094+($A176-C1094)*(D1095-D1094)/(C1095-C1094)</f>
        <v>3.5949999999999998</v>
      </c>
      <c r="G176" s="1">
        <f>$B$9+$B$10*EXP(-$B$11*A176)</f>
        <v>5.2110586822250173</v>
      </c>
      <c r="H176" s="1">
        <f>$C$9+$C$10*EXP(-$C$11*A176)</f>
        <v>4.2672102675621897</v>
      </c>
      <c r="I176" s="1">
        <f>$D$9+$D$10*EXP(-$D$11*A176)</f>
        <v>4.7404226287768729</v>
      </c>
      <c r="J176" s="1">
        <f>AVERAGE(B176:D176)</f>
        <v>4.6432709418705302</v>
      </c>
      <c r="K176" s="1">
        <f>_xlfn.STDEV.S(B176:D176)</f>
        <v>0.56645704334940761</v>
      </c>
    </row>
    <row r="177" spans="1:11" ht="20.100000000000001" customHeight="1">
      <c r="A177" s="1">
        <v>6.25</v>
      </c>
      <c r="B177" s="1">
        <f t="shared" si="5"/>
        <v>5.1999060720000125</v>
      </c>
      <c r="C177" s="1">
        <f t="shared" si="3"/>
        <v>4.0872615000000003</v>
      </c>
      <c r="D177" s="1">
        <f t="shared" si="4"/>
        <v>4.5760355000000006</v>
      </c>
      <c r="E177" s="1">
        <f>D1081+($A177-C1081)*(D1082-D1081)/(C1082-C1081)</f>
        <v>3.2625000000000002</v>
      </c>
      <c r="F177" s="1">
        <f>D1094+($A177-C1094)*(D1095-D1094)/(C1095-C1094)</f>
        <v>3.5874999999999999</v>
      </c>
      <c r="G177" s="1">
        <f>$B$9+$B$10*EXP(-$B$11*A177)</f>
        <v>5.1908526356425817</v>
      </c>
      <c r="H177" s="1">
        <f>$C$9+$C$10*EXP(-$C$11*A177)</f>
        <v>4.2491250529764484</v>
      </c>
      <c r="I177" s="1">
        <f>$D$9+$D$10*EXP(-$D$11*A177)</f>
        <v>4.7228729376338663</v>
      </c>
      <c r="J177" s="1">
        <f>AVERAGE(B177:D177)</f>
        <v>4.6210676906666706</v>
      </c>
      <c r="K177" s="1">
        <f>_xlfn.STDEV.S(B177:D177)</f>
        <v>0.55768755548913951</v>
      </c>
    </row>
    <row r="178" spans="1:11" ht="20.100000000000001" customHeight="1">
      <c r="A178" s="1">
        <v>6.333333333333333</v>
      </c>
      <c r="B178" s="1">
        <f t="shared" si="5"/>
        <v>5.1807395144462491</v>
      </c>
      <c r="C178" s="1">
        <f t="shared" si="3"/>
        <v>4.0807386677367585</v>
      </c>
      <c r="D178" s="1">
        <f t="shared" si="4"/>
        <v>4.5628809831460684</v>
      </c>
      <c r="E178" s="1">
        <f>D1081+($A178-C1081)*(D1082-D1081)/(C1082-C1081)</f>
        <v>3.2600000000000002</v>
      </c>
      <c r="F178" s="1">
        <f>D1094+($A178-C1094)*(D1095-D1094)/(C1095-C1094)</f>
        <v>3.58</v>
      </c>
      <c r="G178" s="1">
        <f>$B$9+$B$10*EXP(-$B$11*A178)</f>
        <v>5.1709055150508041</v>
      </c>
      <c r="H178" s="1">
        <f>$C$9+$C$10*EXP(-$C$11*A178)</f>
        <v>4.2314406268393059</v>
      </c>
      <c r="I178" s="1">
        <f>$D$9+$D$10*EXP(-$D$11*A178)</f>
        <v>4.7056330301288716</v>
      </c>
      <c r="J178" s="1">
        <f>AVERAGE(B178:D178)</f>
        <v>4.608119721776359</v>
      </c>
      <c r="K178" s="1">
        <f>_xlfn.STDEV.S(B178:D178)</f>
        <v>0.5513940272573179</v>
      </c>
    </row>
    <row r="179" spans="1:11" ht="20.100000000000001" customHeight="1">
      <c r="A179" s="1">
        <v>6.416666666666667</v>
      </c>
      <c r="B179" s="1">
        <f t="shared" si="5"/>
        <v>5.147418</v>
      </c>
      <c r="C179" s="1">
        <f t="shared" si="3"/>
        <v>4.060285530303041</v>
      </c>
      <c r="D179" s="1">
        <f t="shared" si="4"/>
        <v>4.5411520454545586</v>
      </c>
      <c r="E179" s="1">
        <f>D1081+($A179-C1081)*(D1082-D1081)/(C1082-C1081)</f>
        <v>3.2575000000000003</v>
      </c>
      <c r="F179" s="1">
        <f>D1094+($A179-C1094)*(D1095-D1094)/(C1095-C1094)</f>
        <v>3.5724999999999998</v>
      </c>
      <c r="G179" s="1">
        <f>$B$9+$B$10*EXP(-$B$11*A179)</f>
        <v>5.1512140024988735</v>
      </c>
      <c r="H179" s="1">
        <f>$C$9+$C$10*EXP(-$C$11*A179)</f>
        <v>4.2141481072334495</v>
      </c>
      <c r="I179" s="1">
        <f>$D$9+$D$10*EXP(-$D$11*A179)</f>
        <v>4.6886974380230697</v>
      </c>
      <c r="J179" s="1">
        <f>AVERAGE(B179:D179)</f>
        <v>4.582951858585866</v>
      </c>
      <c r="K179" s="1">
        <f>_xlfn.STDEV.S(B179:D179)</f>
        <v>0.54477029099494001</v>
      </c>
    </row>
    <row r="180" spans="1:11" ht="20.100000000000001" customHeight="1">
      <c r="A180" s="1">
        <v>6.5</v>
      </c>
      <c r="B180" s="1">
        <f t="shared" si="5"/>
        <v>5.1192700000000002</v>
      </c>
      <c r="C180" s="1">
        <f t="shared" si="3"/>
        <v>4.0465916492776897</v>
      </c>
      <c r="D180" s="1">
        <f t="shared" si="4"/>
        <v>4.5241234630818621</v>
      </c>
      <c r="E180" s="1">
        <f>D1081+($A180-C1081)*(D1082-D1081)/(C1082-C1081)</f>
        <v>3.2549999999999999</v>
      </c>
      <c r="F180" s="1">
        <f>D1094+($A180-C1094)*(D1095-D1094)/(C1095-C1094)</f>
        <v>3.5649999999999999</v>
      </c>
      <c r="G180" s="1">
        <f>$B$9+$B$10*EXP(-$B$11*A180)</f>
        <v>5.1317748225531403</v>
      </c>
      <c r="H180" s="1">
        <f>$C$9+$C$10*EXP(-$C$11*A180)</f>
        <v>4.1972388090747215</v>
      </c>
      <c r="I180" s="1">
        <f>$D$9+$D$10*EXP(-$D$11*A180)</f>
        <v>4.6720607896018995</v>
      </c>
      <c r="J180" s="1">
        <f>AVERAGE(B180:D180)</f>
        <v>4.5633283707865173</v>
      </c>
      <c r="K180" s="1">
        <f>_xlfn.STDEV.S(B180:D180)</f>
        <v>0.53741276465876953</v>
      </c>
    </row>
    <row r="181" spans="1:11" ht="20.100000000000001" customHeight="1">
      <c r="A181" s="1">
        <v>6.583333333333333</v>
      </c>
      <c r="B181" s="1">
        <f t="shared" si="5"/>
        <v>5.1032262600321037</v>
      </c>
      <c r="C181" s="1">
        <f t="shared" si="3"/>
        <v>4.0344738560000177</v>
      </c>
      <c r="D181" s="1">
        <f t="shared" si="4"/>
        <v>4.5113337120000105</v>
      </c>
      <c r="E181" s="1">
        <f>D1081+($A181-C1081)*(D1082-D1081)/(C1082-C1081)</f>
        <v>3.2524999999999999</v>
      </c>
      <c r="F181" s="1">
        <f>D1094+($A181-C1094)*(D1095-D1094)/(C1095-C1094)</f>
        <v>3.5575000000000001</v>
      </c>
      <c r="G181" s="1">
        <f>$B$9+$B$10*EXP(-$B$11*A181)</f>
        <v>5.1125847417522836</v>
      </c>
      <c r="H181" s="1">
        <f>$C$9+$C$10*EXP(-$C$11*A181)</f>
        <v>4.1807042397500815</v>
      </c>
      <c r="I181" s="1">
        <f>$D$9+$D$10*EXP(-$D$11*A181)</f>
        <v>4.6557178079712305</v>
      </c>
      <c r="J181" s="1">
        <f>AVERAGE(B181:D181)</f>
        <v>4.549677942677377</v>
      </c>
      <c r="K181" s="1">
        <f>_xlfn.STDEV.S(B181:D181)</f>
        <v>0.53540698099741857</v>
      </c>
    </row>
    <row r="182" spans="1:11" ht="20.100000000000001" customHeight="1">
      <c r="A182" s="1">
        <v>6.666666666666667</v>
      </c>
      <c r="B182" s="1">
        <f t="shared" si="5"/>
        <v>5.0676696212121435</v>
      </c>
      <c r="C182" s="1">
        <f t="shared" si="3"/>
        <v>4.0135359280000031</v>
      </c>
      <c r="D182" s="1">
        <f t="shared" si="4"/>
        <v>4.4974320000000123</v>
      </c>
      <c r="E182" s="1">
        <f>D1081+($A182-C1081)*(D1082-D1081)/(C1082-C1081)</f>
        <v>3.25</v>
      </c>
      <c r="F182" s="1">
        <f>D1094+($A182-C1094)*(D1095-D1094)/(C1095-C1094)</f>
        <v>3.55</v>
      </c>
      <c r="G182" s="1">
        <f>$B$9+$B$10*EXP(-$B$11*A182)</f>
        <v>5.0936405680694712</v>
      </c>
      <c r="H182" s="1">
        <f>$C$9+$C$10*EXP(-$C$11*A182)</f>
        <v>4.1645360948522256</v>
      </c>
      <c r="I182" s="1">
        <f>$D$9+$D$10*EXP(-$D$11*A182)</f>
        <v>4.6396633093836108</v>
      </c>
      <c r="J182" s="1">
        <f>AVERAGE(B182:D182)</f>
        <v>4.526212516404053</v>
      </c>
      <c r="K182" s="1">
        <f>_xlfn.STDEV.S(B182:D182)</f>
        <v>0.52765585317006491</v>
      </c>
    </row>
    <row r="183" spans="1:11" ht="20.100000000000001" customHeight="1">
      <c r="A183" s="1">
        <v>6.75</v>
      </c>
      <c r="B183" s="1">
        <f t="shared" si="5"/>
        <v>5.0385175922953458</v>
      </c>
      <c r="C183" s="1">
        <f t="shared" si="3"/>
        <v>4.0099530360000042</v>
      </c>
      <c r="D183" s="1">
        <f t="shared" si="4"/>
        <v>4.4823708200000132</v>
      </c>
      <c r="E183" s="1">
        <f>D1081+($A183-C1081)*(D1082-D1081)/(C1082-C1081)</f>
        <v>3.2475000000000001</v>
      </c>
      <c r="F183" s="1">
        <f>D1094+($A183-C1094)*(D1095-D1094)/(C1095-C1094)</f>
        <v>3.5425</v>
      </c>
      <c r="G183" s="1">
        <f>$B$9+$B$10*EXP(-$B$11*A183)</f>
        <v>5.0749391503814074</v>
      </c>
      <c r="H183" s="1">
        <f>$C$9+$C$10*EXP(-$C$11*A183)</f>
        <v>4.1487262540087464</v>
      </c>
      <c r="I183" s="1">
        <f>$D$9+$D$10*EXP(-$D$11*A183)</f>
        <v>4.6238922015940638</v>
      </c>
      <c r="J183" s="1">
        <f>AVERAGE(B183:D183)</f>
        <v>4.5102804827651211</v>
      </c>
      <c r="K183" s="1">
        <f>_xlfn.STDEV.S(B183:D183)</f>
        <v>0.51484995248470677</v>
      </c>
    </row>
    <row r="184" spans="1:11" ht="20.100000000000001" customHeight="1">
      <c r="A184" s="1">
        <v>6.833333333333333</v>
      </c>
      <c r="B184" s="1">
        <f t="shared" si="5"/>
        <v>5.0223063880000289</v>
      </c>
      <c r="C184" s="1">
        <f t="shared" si="3"/>
        <v>4.0035049729187708</v>
      </c>
      <c r="D184" s="1">
        <f t="shared" si="4"/>
        <v>4.4664028605817556</v>
      </c>
      <c r="E184" s="1">
        <f>D1081+($A184-C1081)*(D1082-D1081)/(C1082-C1081)</f>
        <v>3.2450000000000001</v>
      </c>
      <c r="F184" s="1">
        <f>D1094+($A184-C1094)*(D1095-D1094)/(C1095-C1094)</f>
        <v>3.5350000000000001</v>
      </c>
      <c r="G184" s="1">
        <f>$B$9+$B$10*EXP(-$B$11*A184)</f>
        <v>5.0564773779441756</v>
      </c>
      <c r="H184" s="1">
        <f>$C$9+$C$10*EXP(-$C$11*A184)</f>
        <v>4.1332667768037075</v>
      </c>
      <c r="I184" s="1">
        <f>$D$9+$D$10*EXP(-$D$11*A184)</f>
        <v>4.6083994822449004</v>
      </c>
      <c r="J184" s="1">
        <f>AVERAGE(B184:D184)</f>
        <v>4.4974047405001851</v>
      </c>
      <c r="K184" s="1">
        <f>_xlfn.STDEV.S(B184:D184)</f>
        <v>0.51010775161896049</v>
      </c>
    </row>
    <row r="185" spans="1:11" ht="20.100000000000001" customHeight="1">
      <c r="A185" s="1">
        <v>6.916666666666667</v>
      </c>
      <c r="B185" s="1">
        <f t="shared" si="5"/>
        <v>4.9862550360000162</v>
      </c>
      <c r="C185" s="1">
        <f t="shared" si="3"/>
        <v>3.9859011266201416</v>
      </c>
      <c r="D185" s="1">
        <f t="shared" si="4"/>
        <v>4.4531580960000205</v>
      </c>
      <c r="E185" s="1">
        <f>D1081+($A185-C1081)*(D1082-D1081)/(C1082-C1081)</f>
        <v>3.2425000000000002</v>
      </c>
      <c r="F185" s="1">
        <f>D1094+($A185-C1094)*(D1095-D1094)/(C1095-C1094)</f>
        <v>3.5274999999999999</v>
      </c>
      <c r="G185" s="1">
        <f>$B$9+$B$10*EXP(-$B$11*A185)</f>
        <v>5.0382521798758146</v>
      </c>
      <c r="H185" s="1">
        <f>$C$9+$C$10*EXP(-$C$11*A185)</f>
        <v>4.1181498987896141</v>
      </c>
      <c r="I185" s="1">
        <f>$D$9+$D$10*EXP(-$D$11*A185)</f>
        <v>4.5931802372790518</v>
      </c>
      <c r="J185" s="1">
        <f>AVERAGE(B185:D185)</f>
        <v>4.4751047528733929</v>
      </c>
      <c r="K185" s="1">
        <f>_xlfn.STDEV.S(B185:D185)</f>
        <v>0.50053793843607675</v>
      </c>
    </row>
    <row r="186" spans="1:11" ht="20.100000000000001" customHeight="1">
      <c r="A186" s="1">
        <v>7</v>
      </c>
      <c r="B186" s="1">
        <f t="shared" si="5"/>
        <v>4.9657308200000134</v>
      </c>
      <c r="C186" s="1">
        <f t="shared" si="3"/>
        <v>3.9830528605817554</v>
      </c>
      <c r="D186" s="1">
        <f t="shared" si="4"/>
        <v>4.4321462880000055</v>
      </c>
      <c r="E186" s="1">
        <f>D1081+($A186-C1081)*(D1082-D1081)/(C1082-C1081)</f>
        <v>3.24</v>
      </c>
      <c r="F186" s="1">
        <f>D1094+($A186-C1094)*(D1095-D1094)/(C1095-C1094)</f>
        <v>3.52</v>
      </c>
      <c r="G186" s="1">
        <f>$B$9+$B$10*EXP(-$B$11*A186)</f>
        <v>5.0202605246455123</v>
      </c>
      <c r="H186" s="1">
        <f>$C$9+$C$10*EXP(-$C$11*A186)</f>
        <v>4.1033680275877549</v>
      </c>
      <c r="I186" s="1">
        <f>$D$9+$D$10*EXP(-$D$11*A186)</f>
        <v>4.5782296393814006</v>
      </c>
      <c r="J186" s="1">
        <f>AVERAGE(B186:D186)</f>
        <v>4.460309989527258</v>
      </c>
      <c r="K186" s="1">
        <f>_xlfn.STDEV.S(B186:D186)</f>
        <v>0.49194398923494836</v>
      </c>
    </row>
    <row r="187" spans="1:11" ht="20.100000000000001" customHeight="1">
      <c r="A187" s="1">
        <v>7.083333333333333</v>
      </c>
      <c r="B187" s="1">
        <f t="shared" si="5"/>
        <v>4.9484085817452668</v>
      </c>
      <c r="C187" s="1">
        <f t="shared" si="3"/>
        <v>3.970197000000014</v>
      </c>
      <c r="D187" s="1">
        <f t="shared" si="4"/>
        <v>4.4261896087480022</v>
      </c>
      <c r="E187" s="1">
        <f>D1082+($A187-C1082)*(D1083-D1082)/(C1083-C1082)</f>
        <v>3.2375000000000003</v>
      </c>
      <c r="F187" s="1">
        <f>D1095+($A187-C1095)*(D1096-D1095)/(C1096-C1095)</f>
        <v>3.5166666666666666</v>
      </c>
      <c r="G187" s="1">
        <f>$B$9+$B$10*EXP(-$B$11*A187)</f>
        <v>5.0024994195693466</v>
      </c>
      <c r="H187" s="1">
        <f>$C$9+$C$10*EXP(-$C$11*A187)</f>
        <v>4.0889137390749628</v>
      </c>
      <c r="I187" s="1">
        <f>$D$9+$D$10*EXP(-$D$11*A187)</f>
        <v>4.5635429464476287</v>
      </c>
      <c r="J187" s="1">
        <f>AVERAGE(B187:D187)</f>
        <v>4.448265063497761</v>
      </c>
      <c r="K187" s="1">
        <f>_xlfn.STDEV.S(B187:D187)</f>
        <v>0.48947928346554553</v>
      </c>
    </row>
    <row r="188" spans="1:11" ht="20.100000000000001" customHeight="1">
      <c r="A188" s="1">
        <v>7.166666666666667</v>
      </c>
      <c r="B188" s="1">
        <f t="shared" si="5"/>
        <v>4.9115945184446783</v>
      </c>
      <c r="C188" s="1">
        <f t="shared" si="3"/>
        <v>3.9556510960000062</v>
      </c>
      <c r="D188" s="1">
        <f t="shared" si="4"/>
        <v>4.4162501973684281</v>
      </c>
      <c r="E188" s="1">
        <f>D1082+($A188-C1082)*(D1083-D1082)/(C1083-C1082)</f>
        <v>3.2350000000000003</v>
      </c>
      <c r="F188" s="1">
        <f>D1095+($A188-C1095)*(D1096-D1095)/(C1096-C1095)</f>
        <v>3.5133333333333332</v>
      </c>
      <c r="G188" s="1">
        <f>$B$9+$B$10*EXP(-$B$11*A188)</f>
        <v>4.9849659103124955</v>
      </c>
      <c r="H188" s="1">
        <f>$C$9+$C$10*EXP(-$C$11*A188)</f>
        <v>4.0747797736548934</v>
      </c>
      <c r="I188" s="1">
        <f>$D$9+$D$10*EXP(-$D$11*A188)</f>
        <v>4.549115500080096</v>
      </c>
      <c r="J188" s="1">
        <f>AVERAGE(B188:D188)</f>
        <v>4.4278319372710371</v>
      </c>
      <c r="K188" s="1">
        <f>_xlfn.STDEV.S(B188:D188)</f>
        <v>0.47807693863350798</v>
      </c>
    </row>
    <row r="189" spans="1:11" ht="20.100000000000001" customHeight="1">
      <c r="A189" s="1">
        <v>7.25</v>
      </c>
      <c r="B189" s="1">
        <f t="shared" si="5"/>
        <v>4.8973603470411415</v>
      </c>
      <c r="C189" s="1">
        <f t="shared" si="3"/>
        <v>3.9487957260000055</v>
      </c>
      <c r="D189" s="1">
        <f t="shared" si="4"/>
        <v>4.3966451625200653</v>
      </c>
      <c r="E189" s="1">
        <f>D1082+($A189-C1082)*(D1083-D1082)/(C1083-C1082)</f>
        <v>3.2324999999999999</v>
      </c>
      <c r="F189" s="1">
        <f>D1095+($A189-C1095)*(D1096-D1095)/(C1096-C1095)</f>
        <v>3.51</v>
      </c>
      <c r="G189" s="1">
        <f>$B$9+$B$10*EXP(-$B$11*A189)</f>
        <v>4.9676570803978164</v>
      </c>
      <c r="H189" s="1">
        <f>$C$9+$C$10*EXP(-$C$11*A189)</f>
        <v>4.0609590326119189</v>
      </c>
      <c r="I189" s="1">
        <f>$D$9+$D$10*EXP(-$D$11*A189)</f>
        <v>4.5349427241102678</v>
      </c>
      <c r="J189" s="1">
        <f>AVERAGE(B189:D189)</f>
        <v>4.4142670785204041</v>
      </c>
      <c r="K189" s="1">
        <f>_xlfn.STDEV.S(B189:D189)</f>
        <v>0.47452777475651597</v>
      </c>
    </row>
    <row r="190" spans="1:11" ht="20.100000000000001" customHeight="1">
      <c r="A190" s="1">
        <v>7.333333333333333</v>
      </c>
      <c r="B190" s="1">
        <f t="shared" si="5"/>
        <v>4.8748593700000296</v>
      </c>
      <c r="C190" s="1">
        <f t="shared" si="3"/>
        <v>3.9422443800160694</v>
      </c>
      <c r="D190" s="1">
        <f t="shared" si="4"/>
        <v>4.3948062140000035</v>
      </c>
      <c r="E190" s="1">
        <f>D1082+($A190-C1082)*(D1083-D1082)/(C1083-C1082)</f>
        <v>3.23</v>
      </c>
      <c r="F190" s="1">
        <f>D1095+($A190-C1095)*(D1096-D1095)/(C1096-C1095)</f>
        <v>3.5066666666666668</v>
      </c>
      <c r="G190" s="1">
        <f>$B$9+$B$10*EXP(-$B$11*A190)</f>
        <v>4.9505700507207306</v>
      </c>
      <c r="H190" s="1">
        <f>$C$9+$C$10*EXP(-$C$11*A190)</f>
        <v>4.0474445745458381</v>
      </c>
      <c r="I190" s="1">
        <f>$D$9+$D$10*EXP(-$D$11*A190)</f>
        <v>4.5210201231472187</v>
      </c>
      <c r="J190" s="1">
        <f>AVERAGE(B190:D190)</f>
        <v>4.4039699880053673</v>
      </c>
      <c r="K190" s="1">
        <f>_xlfn.STDEV.S(B190:D190)</f>
        <v>0.46637502179170315</v>
      </c>
    </row>
    <row r="191" spans="1:11" ht="20.100000000000001" customHeight="1">
      <c r="A191" s="1">
        <v>7.416666666666667</v>
      </c>
      <c r="B191" s="1">
        <f t="shared" si="5"/>
        <v>4.8452009180000042</v>
      </c>
      <c r="C191" s="1">
        <f t="shared" si="3"/>
        <v>3.9240827379999983</v>
      </c>
      <c r="D191" s="1">
        <f t="shared" si="4"/>
        <v>4.3822534280000021</v>
      </c>
      <c r="E191" s="1">
        <f>D1082+($A191-C1082)*(D1083-D1082)/(C1083-C1082)</f>
        <v>3.2275</v>
      </c>
      <c r="F191" s="1">
        <f>D1095+($A191-C1095)*(D1096-D1095)/(C1096-C1095)</f>
        <v>3.5033333333333334</v>
      </c>
      <c r="G191" s="1">
        <f>$B$9+$B$10*EXP(-$B$11*A191)</f>
        <v>4.9337019790703165</v>
      </c>
      <c r="H191" s="1">
        <f>$C$9+$C$10*EXP(-$C$11*A191)</f>
        <v>4.0342296118855918</v>
      </c>
      <c r="I191" s="1">
        <f>$D$9+$D$10*EXP(-$D$11*A191)</f>
        <v>4.5073432811517646</v>
      </c>
      <c r="J191" s="1">
        <f>AVERAGE(B191:D191)</f>
        <v>4.3838456946666682</v>
      </c>
      <c r="K191" s="1">
        <f>_xlfn.STDEV.S(B191:D191)</f>
        <v>0.46056115431773459</v>
      </c>
    </row>
    <row r="192" spans="1:11" ht="20.100000000000001" customHeight="1">
      <c r="A192" s="1">
        <v>7.5</v>
      </c>
      <c r="B192" s="1">
        <f t="shared" si="5"/>
        <v>4.8397479180000174</v>
      </c>
      <c r="C192" s="1">
        <f t="shared" si="3"/>
        <v>3.9288928340000027</v>
      </c>
      <c r="D192" s="1">
        <f t="shared" si="4"/>
        <v>4.3718045240000034</v>
      </c>
      <c r="E192" s="1">
        <f>D1082+($A192-C1082)*(D1083-D1082)/(C1083-C1082)</f>
        <v>3.2250000000000001</v>
      </c>
      <c r="F192" s="1">
        <f>D1095+($A192-C1095)*(D1096-D1095)/(C1096-C1095)</f>
        <v>3.5</v>
      </c>
      <c r="G192" s="1">
        <f>$B$9+$B$10*EXP(-$B$11*A192)</f>
        <v>4.9170500596565496</v>
      </c>
      <c r="H192" s="1">
        <f>$C$9+$C$10*EXP(-$C$11*A192)</f>
        <v>4.0213075074802358</v>
      </c>
      <c r="I192" s="1">
        <f>$D$9+$D$10*EXP(-$D$11*A192)</f>
        <v>4.4939078600357636</v>
      </c>
      <c r="J192" s="1">
        <f>AVERAGE(B192:D192)</f>
        <v>4.3801484253333411</v>
      </c>
      <c r="K192" s="1">
        <f>_xlfn.STDEV.S(B192:D192)</f>
        <v>0.45548486421533679</v>
      </c>
    </row>
    <row r="193" spans="1:11" ht="20.100000000000001" customHeight="1">
      <c r="A193" s="1">
        <v>7.583333333333333</v>
      </c>
      <c r="B193" s="1">
        <f t="shared" si="5"/>
        <v>4.8195485874799626</v>
      </c>
      <c r="C193" s="1">
        <f t="shared" si="3"/>
        <v>3.9188452869181396</v>
      </c>
      <c r="D193" s="1">
        <f t="shared" si="4"/>
        <v>4.360263057171518</v>
      </c>
      <c r="E193" s="1">
        <f>D1082+($A193-C1082)*(D1083-D1082)/(C1083-C1082)</f>
        <v>3.2225000000000001</v>
      </c>
      <c r="F193" s="1">
        <f>D1095+($A193-C1095)*(D1096-D1095)/(C1096-C1095)</f>
        <v>3.4966666666666666</v>
      </c>
      <c r="G193" s="1">
        <f>$B$9+$B$10*EXP(-$B$11*A193)</f>
        <v>4.9006115226435885</v>
      </c>
      <c r="H193" s="1">
        <f>$C$9+$C$10*EXP(-$C$11*A193)</f>
        <v>4.0086717712654636</v>
      </c>
      <c r="I193" s="1">
        <f>$D$9+$D$10*EXP(-$D$11*A193)</f>
        <v>4.480709598286138</v>
      </c>
      <c r="J193" s="1">
        <f>AVERAGE(B193:D193)</f>
        <v>4.3662189771898738</v>
      </c>
      <c r="K193" s="1">
        <f>_xlfn.STDEV.S(B193:D193)</f>
        <v>0.45038118704958052</v>
      </c>
    </row>
    <row r="194" spans="1:11" ht="20.100000000000001" customHeight="1">
      <c r="A194" s="1">
        <v>7.666666666666667</v>
      </c>
      <c r="B194" s="1">
        <f t="shared" si="5"/>
        <v>4.790555118000003</v>
      </c>
      <c r="C194" s="1">
        <f t="shared" si="3"/>
        <v>3.9136463795853409</v>
      </c>
      <c r="D194" s="1">
        <f t="shared" si="4"/>
        <v>4.34884577068794</v>
      </c>
      <c r="E194" s="1">
        <f>D1082+($A194-C1082)*(D1083-D1082)/(C1083-C1082)</f>
        <v>3.22</v>
      </c>
      <c r="F194" s="1">
        <f>D1095+($A194-C1095)*(D1096-D1095)/(C1096-C1095)</f>
        <v>3.4933333333333332</v>
      </c>
      <c r="G194" s="1">
        <f>$B$9+$B$10*EXP(-$B$11*A194)</f>
        <v>4.8843836336890538</v>
      </c>
      <c r="H194" s="1">
        <f>$C$9+$C$10*EXP(-$C$11*A194)</f>
        <v>3.996316057004007</v>
      </c>
      <c r="I194" s="1">
        <f>$D$9+$D$10*EXP(-$D$11*A194)</f>
        <v>4.4677443096131846</v>
      </c>
      <c r="J194" s="1">
        <f>AVERAGE(B194:D194)</f>
        <v>4.3510157560910949</v>
      </c>
      <c r="K194" s="1">
        <f>_xlfn.STDEV.S(B194:D194)</f>
        <v>0.43845839654918911</v>
      </c>
    </row>
    <row r="195" spans="1:11" ht="20.100000000000001" customHeight="1">
      <c r="A195" s="1">
        <v>7.75</v>
      </c>
      <c r="B195" s="1">
        <f t="shared" si="5"/>
        <v>4.778270738000006</v>
      </c>
      <c r="C195" s="1">
        <f t="shared" si="3"/>
        <v>3.9005323455056184</v>
      </c>
      <c r="D195" s="1">
        <f t="shared" si="4"/>
        <v>4.3399147462387173</v>
      </c>
      <c r="E195" s="1">
        <f>D1082+($A195-C1082)*(D1083-D1082)/(C1083-C1082)</f>
        <v>3.2175000000000002</v>
      </c>
      <c r="F195" s="1">
        <f>D1095+($A195-C1095)*(D1096-D1095)/(C1096-C1095)</f>
        <v>3.49</v>
      </c>
      <c r="G195" s="1">
        <f>$B$9+$B$10*EXP(-$B$11*A195)</f>
        <v>4.8683636934891998</v>
      </c>
      <c r="H195" s="1">
        <f>$C$9+$C$10*EXP(-$C$11*A195)</f>
        <v>3.9842341590982642</v>
      </c>
      <c r="I195" s="1">
        <f>$D$9+$D$10*EXP(-$D$11*A195)</f>
        <v>4.4550078816227501</v>
      </c>
      <c r="J195" s="1">
        <f>AVERAGE(B195:D195)</f>
        <v>4.3395726099147804</v>
      </c>
      <c r="K195" s="1">
        <f>_xlfn.STDEV.S(B195:D195)</f>
        <v>0.43886929626895299</v>
      </c>
    </row>
    <row r="196" spans="1:11" ht="20.100000000000001" customHeight="1">
      <c r="A196" s="1">
        <v>7.833333333333333</v>
      </c>
      <c r="B196" s="1">
        <f t="shared" si="5"/>
        <v>4.7541779520000063</v>
      </c>
      <c r="C196" s="1">
        <f t="shared" si="3"/>
        <v>3.8979268080000073</v>
      </c>
      <c r="D196" s="1">
        <f t="shared" si="4"/>
        <v>4.334850528000004</v>
      </c>
      <c r="E196" s="1">
        <f>D1082+($A196-C1082)*(D1083-D1082)/(C1083-C1082)</f>
        <v>3.2149999999999999</v>
      </c>
      <c r="F196" s="1">
        <f>D1095+($A196-C1095)*(D1096-D1095)/(C1096-C1095)</f>
        <v>3.4866666666666668</v>
      </c>
      <c r="G196" s="1">
        <f>$B$9+$B$10*EXP(-$B$11*A196)</f>
        <v>4.8525490373299238</v>
      </c>
      <c r="H196" s="1">
        <f>$C$9+$C$10*EXP(-$C$11*A196)</f>
        <v>3.9724200094735722</v>
      </c>
      <c r="I196" s="1">
        <f>$D$9+$D$10*EXP(-$D$11*A196)</f>
        <v>4.442496274511841</v>
      </c>
      <c r="J196" s="1">
        <f>AVERAGE(B196:D196)</f>
        <v>4.3289850960000065</v>
      </c>
      <c r="K196" s="1">
        <f>_xlfn.STDEV.S(B196:D196)</f>
        <v>0.42815570517013629</v>
      </c>
    </row>
    <row r="197" spans="1:11" ht="20.100000000000001" customHeight="1">
      <c r="A197" s="1">
        <v>7.916666666666667</v>
      </c>
      <c r="B197" s="1">
        <f t="shared" si="5"/>
        <v>4.7324607723169558</v>
      </c>
      <c r="C197" s="1">
        <f t="shared" si="3"/>
        <v>3.8902124140000205</v>
      </c>
      <c r="D197" s="1">
        <f t="shared" si="4"/>
        <v>4.3240400000000001</v>
      </c>
      <c r="E197" s="1">
        <f>D1082+($A197-C1082)*(D1083-D1082)/(C1083-C1082)</f>
        <v>3.2124999999999999</v>
      </c>
      <c r="F197" s="1">
        <f>D1095+($A197-C1095)*(D1096-D1095)/(C1096-C1095)</f>
        <v>3.4833333333333334</v>
      </c>
      <c r="G197" s="1">
        <f>$B$9+$B$10*EXP(-$B$11*A197)</f>
        <v>4.836937034643519</v>
      </c>
      <c r="H197" s="1">
        <f>$C$9+$C$10*EXP(-$C$11*A197)</f>
        <v>3.9608676745305438</v>
      </c>
      <c r="I197" s="1">
        <f>$D$9+$D$10*EXP(-$D$11*A197)</f>
        <v>4.4302055197872567</v>
      </c>
      <c r="J197" s="1">
        <f>AVERAGE(B197:D197)</f>
        <v>4.3155710621056587</v>
      </c>
      <c r="K197" s="1">
        <f>_xlfn.STDEV.S(B197:D197)</f>
        <v>0.42118804167935114</v>
      </c>
    </row>
    <row r="198" spans="1:11" ht="20.100000000000001" customHeight="1">
      <c r="A198" s="1">
        <v>8</v>
      </c>
      <c r="B198" s="1">
        <f t="shared" si="5"/>
        <v>4.7141052542372943</v>
      </c>
      <c r="C198" s="1">
        <f t="shared" si="3"/>
        <v>3.8717573840000012</v>
      </c>
      <c r="D198" s="1">
        <f t="shared" si="4"/>
        <v>4.3228880960000069</v>
      </c>
      <c r="E198" s="1">
        <f>D1082+($A198-C1082)*(D1083-D1082)/(C1083-C1082)</f>
        <v>3.21</v>
      </c>
      <c r="F198" s="1">
        <f>D1095+($A198-C1095)*(D1096-D1095)/(C1096-C1095)</f>
        <v>3.48</v>
      </c>
      <c r="G198" s="1">
        <f>$B$9+$B$10*EXP(-$B$11*A198)</f>
        <v>4.8215250885711214</v>
      </c>
      <c r="H198" s="1">
        <f>$C$9+$C$10*EXP(-$C$11*A198)</f>
        <v>3.949571352164948</v>
      </c>
      <c r="I198" s="1">
        <f>$D$9+$D$10*EXP(-$D$11*A198)</f>
        <v>4.4181317190068459</v>
      </c>
      <c r="J198" s="1">
        <f>AVERAGE(B198:D198)</f>
        <v>4.3029169114124342</v>
      </c>
      <c r="K198" s="1">
        <f>_xlfn.STDEV.S(B198:D198)</f>
        <v>0.42152890741169707</v>
      </c>
    </row>
    <row r="199" spans="1:11" ht="20.100000000000001" customHeight="1">
      <c r="A199" s="1">
        <v>8.0833333333333339</v>
      </c>
      <c r="B199" s="1">
        <f t="shared" si="5"/>
        <v>4.6977910651955916</v>
      </c>
      <c r="C199" s="1">
        <f t="shared" si="3"/>
        <v>3.870452752256774</v>
      </c>
      <c r="D199" s="1">
        <f t="shared" si="4"/>
        <v>4.3050021990369212</v>
      </c>
      <c r="E199" s="1">
        <f>D1083+($A199-C1083)*(D1084-D1083)/(C1084-C1083)</f>
        <v>3.2083333333333335</v>
      </c>
      <c r="F199" s="1">
        <f>D1096+($A199-C1096)*(D1097-D1096)/(C1097-C1096)</f>
        <v>3.4699999999999998</v>
      </c>
      <c r="G199" s="1">
        <f>$B$9+$B$10*EXP(-$B$11*A199)</f>
        <v>4.806310635530747</v>
      </c>
      <c r="H199" s="1">
        <f>$C$9+$C$10*EXP(-$C$11*A199)</f>
        <v>3.9385253688536279</v>
      </c>
      <c r="I199" s="1">
        <f>$D$9+$D$10*EXP(-$D$11*A199)</f>
        <v>4.4062710425429774</v>
      </c>
      <c r="J199" s="1">
        <f>AVERAGE(B199:D199)</f>
        <v>4.2910820054964285</v>
      </c>
      <c r="K199" s="1">
        <f>_xlfn.STDEV.S(B199:D199)</f>
        <v>0.41384477748941789</v>
      </c>
    </row>
    <row r="200" spans="1:11" ht="20.100000000000001" customHeight="1">
      <c r="A200" s="1">
        <v>8.1666666666666661</v>
      </c>
      <c r="B200" s="1">
        <f t="shared" si="5"/>
        <v>4.6786182182985598</v>
      </c>
      <c r="C200" s="1">
        <f t="shared" si="3"/>
        <v>3.8663048115653202</v>
      </c>
      <c r="D200" s="1">
        <f t="shared" si="4"/>
        <v>4.2962745599999996</v>
      </c>
      <c r="E200" s="1">
        <f>D1083+($A200-C1083)*(D1084-D1083)/(C1084-C1083)</f>
        <v>3.2066666666666666</v>
      </c>
      <c r="F200" s="1">
        <f>D1096+($A200-C1096)*(D1097-D1096)/(C1097-C1096)</f>
        <v>3.46</v>
      </c>
      <c r="G200" s="1">
        <f>$B$9+$B$10*EXP(-$B$11*A200)</f>
        <v>4.7912911447908764</v>
      </c>
      <c r="H200" s="1">
        <f>$C$9+$C$10*EXP(-$C$11*A200)</f>
        <v>3.9277241768050053</v>
      </c>
      <c r="I200" s="1">
        <f>$D$9+$D$10*EXP(-$D$11*A200)</f>
        <v>4.3946197283678439</v>
      </c>
      <c r="J200" s="1">
        <f>AVERAGE(B200:D200)</f>
        <v>4.2803991966212935</v>
      </c>
      <c r="K200" s="1">
        <f>_xlfn.STDEV.S(B200:D200)</f>
        <v>0.40638933064420485</v>
      </c>
    </row>
    <row r="201" spans="1:11" ht="20.100000000000001" customHeight="1">
      <c r="A201" s="1">
        <v>8.25</v>
      </c>
      <c r="B201" s="1">
        <f t="shared" si="5"/>
        <v>4.6660751834130725</v>
      </c>
      <c r="C201" s="1">
        <f t="shared" si="3"/>
        <v>3.8534422066198584</v>
      </c>
      <c r="D201" s="1">
        <f t="shared" si="4"/>
        <v>4.2936866079999945</v>
      </c>
      <c r="E201" s="1">
        <f>D1083+($A201-C1083)*(D1084-D1083)/(C1084-C1083)</f>
        <v>3.2050000000000001</v>
      </c>
      <c r="F201" s="1">
        <f>D1096+($A201-C1096)*(D1097-D1096)/(C1097-C1096)</f>
        <v>3.45</v>
      </c>
      <c r="G201" s="1">
        <f>$B$9+$B$10*EXP(-$B$11*A201)</f>
        <v>4.7764641180494998</v>
      </c>
      <c r="H201" s="1">
        <f>$C$9+$C$10*EXP(-$C$11*A201)</f>
        <v>3.9171623511727254</v>
      </c>
      <c r="I201" s="1">
        <f>$D$9+$D$10*EXP(-$D$11*A201)</f>
        <v>4.3831740808601953</v>
      </c>
      <c r="J201" s="1">
        <f>AVERAGE(B201:D201)</f>
        <v>4.2710679993443081</v>
      </c>
      <c r="K201" s="1">
        <f>_xlfn.STDEV.S(B201:D201)</f>
        <v>0.40678838458846067</v>
      </c>
    </row>
    <row r="202" spans="1:11" ht="20.100000000000001" customHeight="1">
      <c r="A202" s="1">
        <v>8.3333333333333339</v>
      </c>
      <c r="B202" s="1">
        <f t="shared" si="5"/>
        <v>4.640918796147675</v>
      </c>
      <c r="C202" s="1">
        <f t="shared" si="3"/>
        <v>3.8539145120000109</v>
      </c>
      <c r="D202" s="1">
        <f t="shared" si="4"/>
        <v>4.2722054400000005</v>
      </c>
      <c r="E202" s="1">
        <f>D1083+($A202-C1083)*(D1084-D1083)/(C1084-C1083)</f>
        <v>3.2033333333333331</v>
      </c>
      <c r="F202" s="1">
        <f>D1096+($A202-C1096)*(D1097-D1096)/(C1097-C1096)</f>
        <v>3.44</v>
      </c>
      <c r="G202" s="1">
        <f>$B$9+$B$10*EXP(-$B$11*A202)</f>
        <v>4.7618270890185528</v>
      </c>
      <c r="H202" s="1">
        <f>$C$9+$C$10*EXP(-$C$11*A202)</f>
        <v>3.9068345873310566</v>
      </c>
      <c r="I202" s="1">
        <f>$D$9+$D$10*EXP(-$D$11*A202)</f>
        <v>4.3719304696331545</v>
      </c>
      <c r="J202" s="1">
        <f>AVERAGE(B202:D202)</f>
        <v>4.2556795827158957</v>
      </c>
      <c r="K202" s="1">
        <f>_xlfn.STDEV.S(B202:D202)</f>
        <v>0.39376231890053331</v>
      </c>
    </row>
    <row r="203" spans="1:11" ht="20.100000000000001" customHeight="1">
      <c r="A203" s="1">
        <v>8.4166666666666661</v>
      </c>
      <c r="B203" s="1">
        <f t="shared" si="5"/>
        <v>4.6342235839999946</v>
      </c>
      <c r="C203" s="1">
        <f t="shared" si="3"/>
        <v>3.8451386356340316</v>
      </c>
      <c r="D203" s="1">
        <f t="shared" si="4"/>
        <v>4.2728245906902069</v>
      </c>
      <c r="E203" s="1">
        <f>D1083+($A203-C1083)*(D1084-D1083)/(C1084-C1083)</f>
        <v>3.2016666666666667</v>
      </c>
      <c r="F203" s="1">
        <f>D1096+($A203-C1096)*(D1097-D1096)/(C1097-C1096)</f>
        <v>3.43</v>
      </c>
      <c r="G203" s="1">
        <f>$B$9+$B$10*EXP(-$B$11*A203)</f>
        <v>4.7473776230136879</v>
      </c>
      <c r="H203" s="1">
        <f>$C$9+$C$10*EXP(-$C$11*A203)</f>
        <v>3.8967356982106676</v>
      </c>
      <c r="I203" s="1">
        <f>$D$9+$D$10*EXP(-$D$11*A203)</f>
        <v>4.3608853283827029</v>
      </c>
      <c r="J203" s="1">
        <f>AVERAGE(B203:D203)</f>
        <v>4.2507289367747445</v>
      </c>
      <c r="K203" s="1">
        <f>_xlfn.STDEV.S(B203:D203)</f>
        <v>0.39500623713543126</v>
      </c>
    </row>
    <row r="204" spans="1:11" ht="20.100000000000001" customHeight="1">
      <c r="A204" s="1">
        <v>8.5</v>
      </c>
      <c r="B204" s="1">
        <f t="shared" si="5"/>
        <v>4.614764463999995</v>
      </c>
      <c r="C204" s="1">
        <f t="shared" si="3"/>
        <v>3.8422774481658752</v>
      </c>
      <c r="D204" s="1">
        <f t="shared" si="4"/>
        <v>4.2649310240000107</v>
      </c>
      <c r="E204" s="1">
        <f>D1083+($A204-C1083)*(D1084-D1083)/(C1084-C1083)</f>
        <v>3.2</v>
      </c>
      <c r="F204" s="1">
        <f>D1096+($A204-C1096)*(D1097-D1096)/(C1097-C1096)</f>
        <v>3.42</v>
      </c>
      <c r="G204" s="1">
        <f>$B$9+$B$10*EXP(-$B$11*A204)</f>
        <v>4.7331133165492858</v>
      </c>
      <c r="H204" s="1">
        <f>$C$9+$C$10*EXP(-$C$11*A204)</f>
        <v>3.8868606116934461</v>
      </c>
      <c r="I204" s="1">
        <f>$D$9+$D$10*EXP(-$D$11*A204)</f>
        <v>4.3500351537565098</v>
      </c>
      <c r="J204" s="1">
        <f>AVERAGE(B204:D204)</f>
        <v>4.2406576453886267</v>
      </c>
      <c r="K204" s="1">
        <f>_xlfn.STDEV.S(B204:D204)</f>
        <v>0.38681513037882137</v>
      </c>
    </row>
    <row r="205" spans="1:11" ht="20.100000000000001" customHeight="1">
      <c r="A205" s="1">
        <v>8.5833333333333339</v>
      </c>
      <c r="B205" s="1">
        <f t="shared" si="5"/>
        <v>4.5983630239999984</v>
      </c>
      <c r="C205" s="1">
        <f t="shared" si="3"/>
        <v>3.8328283627608304</v>
      </c>
      <c r="D205" s="1">
        <f t="shared" si="4"/>
        <v>4.2458280479999981</v>
      </c>
      <c r="E205" s="1">
        <f>D1083+($A205-C1083)*(D1084-D1083)/(C1084-C1083)</f>
        <v>3.1983333333333333</v>
      </c>
      <c r="F205" s="1">
        <f>D1096+($A205-C1096)*(D1097-D1096)/(C1097-C1096)</f>
        <v>3.4099999999999997</v>
      </c>
      <c r="G205" s="1">
        <f>$B$9+$B$10*EXP(-$B$11*A205)</f>
        <v>4.7190317969386752</v>
      </c>
      <c r="H205" s="1">
        <f>$C$9+$C$10*EXP(-$C$11*A205)</f>
        <v>3.8772043680650521</v>
      </c>
      <c r="I205" s="1">
        <f>$D$9+$D$10*EXP(-$D$11*A205)</f>
        <v>4.3393765042427184</v>
      </c>
      <c r="J205" s="1">
        <f>AVERAGE(B205:D205)</f>
        <v>4.2256731449202762</v>
      </c>
      <c r="K205" s="1">
        <f>_xlfn.STDEV.S(B205:D205)</f>
        <v>0.38316510080937266</v>
      </c>
    </row>
    <row r="206" spans="1:11" ht="20.100000000000001" customHeight="1">
      <c r="A206" s="1">
        <v>8.6666666666666661</v>
      </c>
      <c r="B206" s="1">
        <f t="shared" si="5"/>
        <v>4.5929286356340224</v>
      </c>
      <c r="C206" s="1">
        <f t="shared" si="3"/>
        <v>3.8351171200000076</v>
      </c>
      <c r="D206" s="1">
        <f t="shared" si="4"/>
        <v>4.2485739040000041</v>
      </c>
      <c r="E206" s="1">
        <f>D1083+($A206-C1083)*(D1084-D1083)/(C1084-C1083)</f>
        <v>3.1966666666666668</v>
      </c>
      <c r="F206" s="1">
        <f>D1096+($A206-C1096)*(D1097-D1096)/(C1097-C1096)</f>
        <v>3.4</v>
      </c>
      <c r="G206" s="1">
        <f>$B$9+$B$10*EXP(-$B$11*A206)</f>
        <v>4.7051307218994589</v>
      </c>
      <c r="H206" s="1">
        <f>$C$9+$C$10*EXP(-$C$11*A206)</f>
        <v>3.8677621175239265</v>
      </c>
      <c r="I206" s="1">
        <f>$D$9+$D$10*EXP(-$D$11*A206)</f>
        <v>4.3289059990783496</v>
      </c>
      <c r="J206" s="1">
        <f>AVERAGE(B206:D206)</f>
        <v>4.225539886544678</v>
      </c>
      <c r="K206" s="1">
        <f>_xlfn.STDEV.S(B206:D206)</f>
        <v>0.37943049136433393</v>
      </c>
    </row>
    <row r="207" spans="1:11" ht="20.100000000000001" customHeight="1">
      <c r="A207" s="1">
        <v>8.75</v>
      </c>
      <c r="B207" s="1">
        <f t="shared" si="5"/>
        <v>4.5612054226475314</v>
      </c>
      <c r="C207" s="1">
        <f t="shared" si="3"/>
        <v>3.8220610720000012</v>
      </c>
      <c r="D207" s="1">
        <f t="shared" si="4"/>
        <v>4.2416539040000041</v>
      </c>
      <c r="E207" s="1">
        <f>D1083+($A207-C1083)*(D1084-D1083)/(C1084-C1083)</f>
        <v>3.1949999999999998</v>
      </c>
      <c r="F207" s="1">
        <f>D1096+($A207-C1096)*(D1097-D1096)/(C1097-C1096)</f>
        <v>3.3899999999999997</v>
      </c>
      <c r="G207" s="1">
        <f>$B$9+$B$10*EXP(-$B$11*A207)</f>
        <v>4.6914077791639102</v>
      </c>
      <c r="H207" s="1">
        <f>$C$9+$C$10*EXP(-$C$11*A207)</f>
        <v>3.8585291177455008</v>
      </c>
      <c r="I207" s="1">
        <f>$D$9+$D$10*EXP(-$D$11*A207)</f>
        <v>4.318620317176979</v>
      </c>
      <c r="J207" s="1">
        <f>AVERAGE(B207:D207)</f>
        <v>4.2083067995491783</v>
      </c>
      <c r="K207" s="1">
        <f>_xlfn.STDEV.S(B207:D207)</f>
        <v>0.3706988195354558</v>
      </c>
    </row>
    <row r="208" spans="1:11" ht="20.100000000000001" customHeight="1">
      <c r="A208" s="1">
        <v>8.8333333333333339</v>
      </c>
      <c r="B208" s="1">
        <f t="shared" si="5"/>
        <v>4.5545322953451031</v>
      </c>
      <c r="C208" s="1">
        <f t="shared" si="3"/>
        <v>3.8190376160000068</v>
      </c>
      <c r="D208" s="1">
        <f t="shared" si="4"/>
        <v>4.2345730651955922</v>
      </c>
      <c r="E208" s="1">
        <f>D1083+($A208-C1083)*(D1084-D1083)/(C1084-C1083)</f>
        <v>3.1933333333333334</v>
      </c>
      <c r="F208" s="1">
        <f>D1096+($A208-C1096)*(D1097-D1096)/(C1097-C1096)</f>
        <v>3.38</v>
      </c>
      <c r="G208" s="1">
        <f>$B$9+$B$10*EXP(-$B$11*A208)</f>
        <v>4.6778606860943537</v>
      </c>
      <c r="H208" s="1">
        <f>$C$9+$C$10*EXP(-$C$11*A208)</f>
        <v>3.8495007315003873</v>
      </c>
      <c r="I208" s="1">
        <f>$D$9+$D$10*EXP(-$D$11*A208)</f>
        <v>4.3085161960753329</v>
      </c>
      <c r="J208" s="1">
        <f>AVERAGE(B208:D208)</f>
        <v>4.2027143255135675</v>
      </c>
      <c r="K208" s="1">
        <f>_xlfn.STDEV.S(B208:D208)</f>
        <v>0.36878088386849961</v>
      </c>
    </row>
    <row r="209" spans="1:11" ht="20.100000000000001" customHeight="1">
      <c r="A209" s="1">
        <v>8.9166666666666661</v>
      </c>
      <c r="B209" s="1">
        <f t="shared" si="5"/>
        <v>4.5497919040000125</v>
      </c>
      <c r="C209" s="1">
        <f t="shared" si="3"/>
        <v>3.807627480441321</v>
      </c>
      <c r="D209" s="1">
        <f t="shared" si="4"/>
        <v>4.2256490020000026</v>
      </c>
      <c r="E209" s="1">
        <f>D1083+($A209-C1083)*(D1084-D1083)/(C1084-C1083)</f>
        <v>3.1916666666666664</v>
      </c>
      <c r="F209" s="1">
        <f>D1096+($A209-C1096)*(D1097-D1096)/(C1097-C1096)</f>
        <v>3.37</v>
      </c>
      <c r="G209" s="1">
        <f>$B$9+$B$10*EXP(-$B$11*A209)</f>
        <v>4.6644871893034781</v>
      </c>
      <c r="H209" s="1">
        <f>$C$9+$C$10*EXP(-$C$11*A209)</f>
        <v>3.8406724243253554</v>
      </c>
      <c r="I209" s="1">
        <f>$D$9+$D$10*EXP(-$D$11*A209)</f>
        <v>4.2985904308984875</v>
      </c>
      <c r="J209" s="1">
        <f>AVERAGE(B209:D209)</f>
        <v>4.1943561288137792</v>
      </c>
      <c r="K209" s="1">
        <f>_xlfn.STDEV.S(B209:D209)</f>
        <v>0.3720704783145769</v>
      </c>
    </row>
    <row r="210" spans="1:11" ht="20.100000000000001" customHeight="1">
      <c r="A210" s="1">
        <v>9</v>
      </c>
      <c r="B210" s="1">
        <f t="shared" si="5"/>
        <v>4.5289830240000031</v>
      </c>
      <c r="C210" s="1">
        <f t="shared" si="3"/>
        <v>3.8119137180000098</v>
      </c>
      <c r="D210" s="1">
        <f t="shared" si="4"/>
        <v>4.2211215720000022</v>
      </c>
      <c r="E210" s="1">
        <f>D1083+($A210-C1083)*(D1084-D1083)/(C1084-C1083)</f>
        <v>3.19</v>
      </c>
      <c r="F210" s="1">
        <f>D1096+($A210-C1096)*(D1097-D1096)/(C1097-C1096)</f>
        <v>3.36</v>
      </c>
      <c r="G210" s="1">
        <f>$B$9+$B$10*EXP(-$B$11*A210)</f>
        <v>4.6512850642795147</v>
      </c>
      <c r="H210" s="1">
        <f>$C$9+$C$10*EXP(-$C$11*A210)</f>
        <v>3.8320397622459152</v>
      </c>
      <c r="I210" s="1">
        <f>$D$9+$D$10*EXP(-$D$11*A210)</f>
        <v>4.2888398733433313</v>
      </c>
      <c r="J210" s="1">
        <f>AVERAGE(B210:D210)</f>
        <v>4.1873394380000049</v>
      </c>
      <c r="K210" s="1">
        <f>_xlfn.STDEV.S(B210:D210)</f>
        <v>0.35972631518283915</v>
      </c>
    </row>
    <row r="211" spans="1:11" ht="20.100000000000001" customHeight="1">
      <c r="A211" s="1">
        <v>9.0833333333333339</v>
      </c>
      <c r="B211" s="1">
        <f t="shared" si="5"/>
        <v>4.5224988800000085</v>
      </c>
      <c r="C211" s="1">
        <f t="shared" si="3"/>
        <v>3.7977515720000024</v>
      </c>
      <c r="D211" s="1">
        <f t="shared" si="4"/>
        <v>4.2174124260000045</v>
      </c>
      <c r="E211" s="1">
        <f>D1084+($A211-C1084)*(D1085-D1084)/(C1085-C1084)</f>
        <v>3.1883333333333335</v>
      </c>
      <c r="F211" s="1">
        <f>D1097+($A211-C1097)*(D1098-D1097)/(C1098-C1097)</f>
        <v>3.355833333333333</v>
      </c>
      <c r="G211" s="1">
        <f>$B$9+$B$10*EXP(-$B$11*A211)</f>
        <v>4.6382521150162175</v>
      </c>
      <c r="H211" s="1">
        <f>$C$9+$C$10*EXP(-$C$11*A211)</f>
        <v>3.8235984095493794</v>
      </c>
      <c r="I211" s="1">
        <f>$D$9+$D$10*EXP(-$D$11*A211)</f>
        <v>4.279261430679969</v>
      </c>
      <c r="J211" s="1">
        <f>AVERAGE(B211:D211)</f>
        <v>4.179220959333338</v>
      </c>
      <c r="K211" s="1">
        <f>_xlfn.STDEV.S(B211:D211)</f>
        <v>0.36387993378026118</v>
      </c>
    </row>
    <row r="212" spans="1:11" ht="20.100000000000001" customHeight="1">
      <c r="A212" s="1">
        <v>9.1666666666666661</v>
      </c>
      <c r="B212" s="1">
        <f t="shared" si="5"/>
        <v>4.5061067723169614</v>
      </c>
      <c r="C212" s="1">
        <f t="shared" si="3"/>
        <v>3.7944564446227935</v>
      </c>
      <c r="D212" s="1">
        <f t="shared" si="4"/>
        <v>4.2106479394061029</v>
      </c>
      <c r="E212" s="1">
        <f>D1084+($A212-C1084)*(D1085-D1084)/(C1085-C1084)</f>
        <v>3.1866666666666665</v>
      </c>
      <c r="F212" s="1">
        <f>D1097+($A212-C1097)*(D1098-D1097)/(C1098-C1097)</f>
        <v>3.3516666666666666</v>
      </c>
      <c r="G212" s="1">
        <f>$B$9+$B$10*EXP(-$B$11*A212)</f>
        <v>4.6253861736475823</v>
      </c>
      <c r="H212" s="1">
        <f>$C$9+$C$10*EXP(-$C$11*A212)</f>
        <v>3.815344126607271</v>
      </c>
      <c r="I212" s="1">
        <f>$D$9+$D$10*EXP(-$D$11*A212)</f>
        <v>4.2698520647707543</v>
      </c>
      <c r="J212" s="1">
        <f>AVERAGE(B212:D212)</f>
        <v>4.1704037187819525</v>
      </c>
      <c r="K212" s="1">
        <f>_xlfn.STDEV.S(B212:D212)</f>
        <v>0.35752796421684013</v>
      </c>
    </row>
    <row r="213" spans="1:11" ht="20.100000000000001" customHeight="1">
      <c r="A213" s="1">
        <v>9.25</v>
      </c>
      <c r="B213" s="1">
        <f t="shared" si="5"/>
        <v>4.4873546301096754</v>
      </c>
      <c r="C213" s="1">
        <f t="shared" si="3"/>
        <v>3.7920866387559817</v>
      </c>
      <c r="D213" s="1">
        <f t="shared" si="4"/>
        <v>4.2057659330143542</v>
      </c>
      <c r="E213" s="1">
        <f>D1084+($A213-C1084)*(D1085-D1084)/(C1085-C1084)</f>
        <v>3.1850000000000001</v>
      </c>
      <c r="F213" s="1">
        <f>D1097+($A213-C1097)*(D1098-D1097)/(C1098-C1097)</f>
        <v>3.3475000000000001</v>
      </c>
      <c r="G213" s="1">
        <f>$B$9+$B$10*EXP(-$B$11*A213)</f>
        <v>4.6126851000872566</v>
      </c>
      <c r="H213" s="1">
        <f>$C$9+$C$10*EXP(-$C$11*A213)</f>
        <v>3.8072727677459897</v>
      </c>
      <c r="I213" s="1">
        <f>$D$9+$D$10*EXP(-$D$11*A213)</f>
        <v>4.2606087911066384</v>
      </c>
      <c r="J213" s="1">
        <f>AVERAGE(B213:D213)</f>
        <v>4.1617357339600041</v>
      </c>
      <c r="K213" s="1">
        <f>_xlfn.STDEV.S(B213:D213)</f>
        <v>0.3497190140267244</v>
      </c>
    </row>
    <row r="214" spans="1:11" ht="20.100000000000001" customHeight="1">
      <c r="A214" s="1">
        <v>9.3333333333333339</v>
      </c>
      <c r="B214" s="1">
        <f t="shared" si="5"/>
        <v>4.4802930651955917</v>
      </c>
      <c r="C214" s="1">
        <f t="shared" si="3"/>
        <v>3.7764956159711041</v>
      </c>
      <c r="D214" s="1">
        <f t="shared" si="4"/>
        <v>4.1977087138844347</v>
      </c>
      <c r="E214" s="1">
        <f>D1084+($A214-C1084)*(D1085-D1084)/(C1085-C1084)</f>
        <v>3.1833333333333331</v>
      </c>
      <c r="F214" s="1">
        <f>D1097+($A214-C1097)*(D1098-D1097)/(C1098-C1097)</f>
        <v>3.3433333333333333</v>
      </c>
      <c r="G214" s="1">
        <f>$B$9+$B$10*EXP(-$B$11*A214)</f>
        <v>4.6001467816725548</v>
      </c>
      <c r="H214" s="1">
        <f>$C$9+$C$10*EXP(-$C$11*A214)</f>
        <v>3.7993802791646685</v>
      </c>
      <c r="I214" s="1">
        <f>$D$9+$D$10*EXP(-$D$11*A214)</f>
        <v>4.2515286778605317</v>
      </c>
      <c r="J214" s="1">
        <f>AVERAGE(B214:D214)</f>
        <v>4.1514991316837104</v>
      </c>
      <c r="K214" s="1">
        <f>_xlfn.STDEV.S(B214:D214)</f>
        <v>0.3541669189790288</v>
      </c>
    </row>
    <row r="215" spans="1:11" ht="20.100000000000001" customHeight="1">
      <c r="A215" s="1">
        <v>9.4166666666666661</v>
      </c>
      <c r="B215" s="1">
        <f t="shared" si="5"/>
        <v>4.4703745720000123</v>
      </c>
      <c r="C215" s="1">
        <f t="shared" si="3"/>
        <v>3.7814172500000001</v>
      </c>
      <c r="D215" s="1">
        <f t="shared" si="4"/>
        <v>4.1903932499999996</v>
      </c>
      <c r="E215" s="1">
        <f>D1084+($A215-C1084)*(D1085-D1084)/(C1085-C1084)</f>
        <v>3.1816666666666666</v>
      </c>
      <c r="F215" s="1">
        <f>D1097+($A215-C1097)*(D1098-D1097)/(C1098-C1097)</f>
        <v>3.3391666666666668</v>
      </c>
      <c r="G215" s="1">
        <f>$B$9+$B$10*EXP(-$B$11*A215)</f>
        <v>4.5877691328130528</v>
      </c>
      <c r="H215" s="1">
        <f>$C$9+$C$10*EXP(-$C$11*A215)</f>
        <v>3.7916626968991727</v>
      </c>
      <c r="I215" s="1">
        <f>$D$9+$D$10*EXP(-$D$11*A215)</f>
        <v>4.2426088449573678</v>
      </c>
      <c r="J215" s="1">
        <f>AVERAGE(B215:D215)</f>
        <v>4.1473950240000041</v>
      </c>
      <c r="K215" s="1">
        <f>_xlfn.STDEV.S(B215:D215)</f>
        <v>0.34648547366912391</v>
      </c>
    </row>
    <row r="216" spans="1:11" ht="20.100000000000001" customHeight="1">
      <c r="A216" s="1">
        <v>9.5</v>
      </c>
      <c r="B216" s="1">
        <f t="shared" si="5"/>
        <v>4.4526598560000057</v>
      </c>
      <c r="C216" s="1">
        <f t="shared" si="3"/>
        <v>3.7750412500000001</v>
      </c>
      <c r="D216" s="1">
        <f t="shared" si="4"/>
        <v>4.1919239999999993</v>
      </c>
      <c r="E216" s="1">
        <f>D1084+($A216-C1084)*(D1085-D1084)/(C1085-C1084)</f>
        <v>3.1799999999999997</v>
      </c>
      <c r="F216" s="1">
        <f>D1097+($A216-C1097)*(D1098-D1097)/(C1098-C1097)</f>
        <v>3.335</v>
      </c>
      <c r="G216" s="1">
        <f>$B$9+$B$10*EXP(-$B$11*A216)</f>
        <v>4.575550094643666</v>
      </c>
      <c r="H216" s="1">
        <f>$C$9+$C$10*EXP(-$C$11*A216)</f>
        <v>3.7841161448312146</v>
      </c>
      <c r="I216" s="1">
        <f>$D$9+$D$10*EXP(-$D$11*A216)</f>
        <v>4.2338464631605897</v>
      </c>
      <c r="J216" s="1">
        <f>AVERAGE(B216:D216)</f>
        <v>4.1398750353333353</v>
      </c>
      <c r="K216" s="1">
        <f>_xlfn.STDEV.S(B216:D216)</f>
        <v>0.34179462377501119</v>
      </c>
    </row>
    <row r="217" spans="1:11" ht="20.100000000000001" customHeight="1">
      <c r="A217" s="1">
        <v>9.5833333333333339</v>
      </c>
      <c r="B217" s="1">
        <f t="shared" si="5"/>
        <v>4.4440004300000098</v>
      </c>
      <c r="C217" s="1">
        <f t="shared" si="3"/>
        <v>3.7622300000000002</v>
      </c>
      <c r="D217" s="1">
        <f t="shared" si="4"/>
        <v>4.1834119999999997</v>
      </c>
      <c r="E217" s="1">
        <f>D1084+($A217-C1084)*(D1085-D1084)/(C1085-C1084)</f>
        <v>3.1783333333333332</v>
      </c>
      <c r="F217" s="1">
        <f>D1097+($A217-C1097)*(D1098-D1097)/(C1098-C1097)</f>
        <v>3.3308333333333331</v>
      </c>
      <c r="G217" s="1">
        <f>$B$9+$B$10*EXP(-$B$11*A217)</f>
        <v>4.5634876346821924</v>
      </c>
      <c r="H217" s="1">
        <f>$C$9+$C$10*EXP(-$C$11*A217)</f>
        <v>3.7767368327415958</v>
      </c>
      <c r="I217" s="1">
        <f>$D$9+$D$10*EXP(-$D$11*A217)</f>
        <v>4.2252387531747599</v>
      </c>
      <c r="J217" s="1">
        <f>AVERAGE(B217:D217)</f>
        <v>4.1298808100000031</v>
      </c>
      <c r="K217" s="1">
        <f>_xlfn.STDEV.S(B217:D217)</f>
        <v>0.34402314025761593</v>
      </c>
    </row>
    <row r="218" spans="1:11" ht="20.100000000000001" customHeight="1">
      <c r="A218" s="1">
        <v>9.6666666666666661</v>
      </c>
      <c r="B218" s="1">
        <f t="shared" si="5"/>
        <v>4.4285115489566653</v>
      </c>
      <c r="C218" s="1">
        <f t="shared" si="3"/>
        <v>3.76231727929374</v>
      </c>
      <c r="D218" s="1">
        <f t="shared" si="4"/>
        <v>4.1708703330658103</v>
      </c>
      <c r="E218" s="1">
        <f>D1084+($A218-C1084)*(D1085-D1084)/(C1085-C1084)</f>
        <v>3.1766666666666667</v>
      </c>
      <c r="F218" s="1">
        <f>D1097+($A218-C1097)*(D1098-D1097)/(C1098-C1097)</f>
        <v>3.3266666666666667</v>
      </c>
      <c r="G218" s="1">
        <f>$B$9+$B$10*EXP(-$B$11*A218)</f>
        <v>4.5515797464912326</v>
      </c>
      <c r="H218" s="1">
        <f>$C$9+$C$10*EXP(-$C$11*A218)</f>
        <v>3.7695210544065865</v>
      </c>
      <c r="I218" s="1">
        <f>$D$9+$D$10*EXP(-$D$11*A218)</f>
        <v>4.2167829847640066</v>
      </c>
      <c r="J218" s="1">
        <f>AVERAGE(B218:D218)</f>
        <v>4.1205663871054048</v>
      </c>
      <c r="K218" s="1">
        <f>_xlfn.STDEV.S(B218:D218)</f>
        <v>0.33593387216432957</v>
      </c>
    </row>
    <row r="219" spans="1:11" ht="20.100000000000001" customHeight="1">
      <c r="A219" s="1">
        <v>9.75</v>
      </c>
      <c r="B219" s="1">
        <f t="shared" si="5"/>
        <v>4.4210519999999995</v>
      </c>
      <c r="C219" s="1">
        <f t="shared" si="3"/>
        <v>3.762490450558222</v>
      </c>
      <c r="D219" s="1">
        <f t="shared" si="4"/>
        <v>4.1735305821371664</v>
      </c>
      <c r="E219" s="1">
        <f>D1084+($A219-C1084)*(D1085-D1084)/(C1085-C1084)</f>
        <v>3.1749999999999998</v>
      </c>
      <c r="F219" s="1">
        <f>D1097+($A219-C1097)*(D1098-D1097)/(C1098-C1097)</f>
        <v>3.3224999999999998</v>
      </c>
      <c r="G219" s="1">
        <f>$B$9+$B$10*EXP(-$B$11*A219)</f>
        <v>4.5398244493444384</v>
      </c>
      <c r="H219" s="1">
        <f>$C$9+$C$10*EXP(-$C$11*A219)</f>
        <v>3.7624651857364921</v>
      </c>
      <c r="I219" s="1">
        <f>$D$9+$D$10*EXP(-$D$11*A219)</f>
        <v>4.2084764758860347</v>
      </c>
      <c r="J219" s="1">
        <f>AVERAGE(B219:D219)</f>
        <v>4.1190243442317955</v>
      </c>
      <c r="K219" s="1">
        <f>_xlfn.STDEV.S(B219:D219)</f>
        <v>0.33264699920296342</v>
      </c>
    </row>
    <row r="220" spans="1:11" ht="20.100000000000001" customHeight="1">
      <c r="A220" s="1">
        <v>9.8333333333333339</v>
      </c>
      <c r="B220" s="1">
        <f t="shared" si="5"/>
        <v>4.4073844999999992</v>
      </c>
      <c r="C220" s="1">
        <f t="shared" si="3"/>
        <v>3.75193727929374</v>
      </c>
      <c r="D220" s="1">
        <f t="shared" si="4"/>
        <v>4.1660213884430188</v>
      </c>
      <c r="E220" s="1">
        <f>D1084+($A220-C1084)*(D1085-D1084)/(C1085-C1084)</f>
        <v>3.1733333333333333</v>
      </c>
      <c r="F220" s="1">
        <f>D1097+($A220-C1097)*(D1098-D1097)/(C1098-C1097)</f>
        <v>3.3183333333333334</v>
      </c>
      <c r="G220" s="1">
        <f>$B$9+$B$10*EXP(-$B$11*A220)</f>
        <v>4.5282197878970516</v>
      </c>
      <c r="H220" s="1">
        <f>$C$9+$C$10*EXP(-$C$11*A220)</f>
        <v>3.7555656829554724</v>
      </c>
      <c r="I220" s="1">
        <f>$D$9+$D$10*EXP(-$D$11*A220)</f>
        <v>4.2003165918414247</v>
      </c>
      <c r="J220" s="1">
        <f>AVERAGE(B220:D220)</f>
        <v>4.1084477225789193</v>
      </c>
      <c r="K220" s="1">
        <f>_xlfn.STDEV.S(B220:D220)</f>
        <v>0.33149481147321619</v>
      </c>
    </row>
    <row r="221" spans="1:11" ht="20.100000000000001" customHeight="1">
      <c r="A221" s="1">
        <v>9.9166666666666661</v>
      </c>
      <c r="B221" s="1">
        <f t="shared" si="5"/>
        <v>4.3967099999999997</v>
      </c>
      <c r="C221" s="1">
        <f t="shared" si="3"/>
        <v>3.7525587860000047</v>
      </c>
      <c r="D221" s="1">
        <f t="shared" si="4"/>
        <v>4.1524205719999969</v>
      </c>
      <c r="E221" s="1">
        <f>D1084+($A221-C1084)*(D1085-D1084)/(C1085-C1084)</f>
        <v>3.1716666666666664</v>
      </c>
      <c r="F221" s="1">
        <f>D1097+($A221-C1097)*(D1098-D1097)/(C1098-C1097)</f>
        <v>3.3141666666666669</v>
      </c>
      <c r="G221" s="1">
        <f>$B$9+$B$10*EXP(-$B$11*A221)</f>
        <v>4.5167638318606551</v>
      </c>
      <c r="H221" s="1">
        <f>$C$9+$C$10*EXP(-$C$11*A221)</f>
        <v>3.7488190808216961</v>
      </c>
      <c r="I221" s="1">
        <f>$D$9+$D$10*EXP(-$D$11*A221)</f>
        <v>4.1923007444379454</v>
      </c>
      <c r="J221" s="1">
        <f>AVERAGE(B221:D221)</f>
        <v>4.1005631193333336</v>
      </c>
      <c r="K221" s="1">
        <f>_xlfn.STDEV.S(B221:D221)</f>
        <v>0.32519162531071311</v>
      </c>
    </row>
    <row r="222" spans="1:11" ht="20.100000000000001" customHeight="1">
      <c r="A222" s="1">
        <v>10</v>
      </c>
      <c r="B222" s="1">
        <f t="shared" si="5"/>
        <v>4.3951764980000156</v>
      </c>
      <c r="C222" s="1">
        <f t="shared" si="3"/>
        <v>3.7466081440000067</v>
      </c>
      <c r="D222" s="1">
        <f t="shared" si="4"/>
        <v>4.155068856000006</v>
      </c>
      <c r="E222" s="1">
        <f>D1084+($A222-C1084)*(D1085-D1084)/(C1085-C1084)</f>
        <v>3.17</v>
      </c>
      <c r="F222" s="1">
        <f>D1097+($A222-C1097)*(D1098-D1097)/(C1098-C1097)</f>
        <v>3.31</v>
      </c>
      <c r="G222" s="1">
        <f>$B$9+$B$10*EXP(-$B$11*A222)</f>
        <v>4.5054546756820919</v>
      </c>
      <c r="H222" s="1">
        <f>$C$9+$C$10*EXP(-$C$11*A222)</f>
        <v>3.742221990886943</v>
      </c>
      <c r="I222" s="1">
        <f>$D$9+$D$10*EXP(-$D$11*A222)</f>
        <v>4.1844263911696133</v>
      </c>
      <c r="J222" s="1">
        <f>AVERAGE(B222:D222)</f>
        <v>4.0989511660000097</v>
      </c>
      <c r="K222" s="1">
        <f>_xlfn.STDEV.S(B222:D222)</f>
        <v>0.32790566295929074</v>
      </c>
    </row>
    <row r="223" spans="1:11" ht="20.100000000000001" customHeight="1">
      <c r="A223" s="1">
        <v>10.083333333333334</v>
      </c>
      <c r="B223" s="1">
        <f t="shared" si="5"/>
        <v>4.376288284000009</v>
      </c>
      <c r="C223" s="1">
        <f t="shared" si="3"/>
        <v>3.7394305719999972</v>
      </c>
      <c r="D223" s="1">
        <f t="shared" si="4"/>
        <v>4.148779929999999</v>
      </c>
      <c r="E223" s="1">
        <f>D1085+($A223-C1085)*(D1086-D1085)/(C1086-C1085)</f>
        <v>3.1691666666666665</v>
      </c>
      <c r="F223" s="1">
        <f>D1098+($A223-C1098)*(D1099-D1098)/(C1099-C1098)</f>
        <v>3.3075000000000001</v>
      </c>
      <c r="G223" s="1">
        <f>$B$9+$B$10*EXP(-$B$11*A223)</f>
        <v>4.4942904382264999</v>
      </c>
      <c r="H223" s="1">
        <f>$C$9+$C$10*EXP(-$C$11*A223)</f>
        <v>3.7357710997947673</v>
      </c>
      <c r="I223" s="1">
        <f>$D$9+$D$10*EXP(-$D$11*A223)</f>
        <v>4.1766910344102568</v>
      </c>
      <c r="J223" s="1">
        <f>AVERAGE(B223:D223)</f>
        <v>4.0881662620000014</v>
      </c>
      <c r="K223" s="1">
        <f>_xlfn.STDEV.S(B223:D223)</f>
        <v>0.32272658535482157</v>
      </c>
    </row>
    <row r="224" spans="1:11" ht="20.100000000000001" customHeight="1">
      <c r="A224" s="1">
        <v>10.166666666666666</v>
      </c>
      <c r="B224" s="1">
        <f t="shared" si="5"/>
        <v>4.3666300700000011</v>
      </c>
      <c r="C224" s="1">
        <f t="shared" si="3"/>
        <v>3.7418058415245823</v>
      </c>
      <c r="D224" s="1">
        <f t="shared" si="4"/>
        <v>4.1492070270812507</v>
      </c>
      <c r="E224" s="1">
        <f>D1085+($A224-C1085)*(D1086-D1085)/(C1086-C1085)</f>
        <v>3.1683333333333334</v>
      </c>
      <c r="F224" s="1">
        <f>D1098+($A224-C1098)*(D1099-D1098)/(C1099-C1098)</f>
        <v>3.3050000000000002</v>
      </c>
      <c r="G224" s="1">
        <f>$B$9+$B$10*EXP(-$B$11*A224)</f>
        <v>4.4832692624644128</v>
      </c>
      <c r="H224" s="1">
        <f>$C$9+$C$10*EXP(-$C$11*A224)</f>
        <v>3.7294631676163865</v>
      </c>
      <c r="I224" s="1">
        <f>$D$9+$D$10*EXP(-$D$11*A224)</f>
        <v>4.1690922206212981</v>
      </c>
      <c r="J224" s="1">
        <f>AVERAGE(B224:D224)</f>
        <v>4.0858809795352782</v>
      </c>
      <c r="K224" s="1">
        <f>_xlfn.STDEV.S(B224:D224)</f>
        <v>0.31718917123039003</v>
      </c>
    </row>
    <row r="225" spans="1:11" ht="20.100000000000001" customHeight="1">
      <c r="A225" s="1">
        <v>10.25</v>
      </c>
      <c r="B225" s="1">
        <f t="shared" si="5"/>
        <v>4.3647550571715232</v>
      </c>
      <c r="C225" s="1">
        <f t="shared" si="3"/>
        <v>3.7325201116650017</v>
      </c>
      <c r="D225" s="1">
        <f t="shared" si="4"/>
        <v>4.1410205240000089</v>
      </c>
      <c r="E225" s="1">
        <f>D1085+($A225-C1085)*(D1086-D1085)/(C1086-C1085)</f>
        <v>3.1675</v>
      </c>
      <c r="F225" s="1">
        <f>D1098+($A225-C1098)*(D1099-D1098)/(C1099-C1098)</f>
        <v>3.3025000000000002</v>
      </c>
      <c r="G225" s="1">
        <f>$B$9+$B$10*EXP(-$B$11*A225)</f>
        <v>4.4723893151628662</v>
      </c>
      <c r="H225" s="1">
        <f>$C$9+$C$10*EXP(-$C$11*A225)</f>
        <v>3.7232950262234366</v>
      </c>
      <c r="I225" s="1">
        <f>$D$9+$D$10*EXP(-$D$11*A225)</f>
        <v>4.1616275395735336</v>
      </c>
      <c r="J225" s="1">
        <f>AVERAGE(B225:D225)</f>
        <v>4.0794318976121779</v>
      </c>
      <c r="K225" s="1">
        <f>_xlfn.STDEV.S(B225:D225)</f>
        <v>0.32058559817178844</v>
      </c>
    </row>
    <row r="226" spans="1:11" ht="20.100000000000001" customHeight="1">
      <c r="A226" s="1">
        <v>10.333333333333334</v>
      </c>
      <c r="B226" s="1">
        <f t="shared" si="5"/>
        <v>4.3546197766699963</v>
      </c>
      <c r="C226" s="1">
        <f t="shared" si="3"/>
        <v>3.7347956409227776</v>
      </c>
      <c r="D226" s="1">
        <f t="shared" si="4"/>
        <v>4.1329143319999959</v>
      </c>
      <c r="E226" s="1">
        <f>D1085+($A226-C1085)*(D1086-D1085)/(C1086-C1085)</f>
        <v>3.1666666666666665</v>
      </c>
      <c r="F226" s="1">
        <f>D1098+($A226-C1098)*(D1099-D1098)/(C1099-C1098)</f>
        <v>3.3</v>
      </c>
      <c r="G226" s="1">
        <f>$B$9+$B$10*EXP(-$B$11*A226)</f>
        <v>4.4616487865804562</v>
      </c>
      <c r="H226" s="1">
        <f>$C$9+$C$10*EXP(-$C$11*A226)</f>
        <v>3.7172635776968002</v>
      </c>
      <c r="I226" s="1">
        <f>$D$9+$D$10*EXP(-$D$11*A226)</f>
        <v>4.1542946235826426</v>
      </c>
      <c r="J226" s="1">
        <f>AVERAGE(B226:D226)</f>
        <v>4.0741099165309231</v>
      </c>
      <c r="K226" s="1">
        <f>_xlfn.STDEV.S(B226:D226)</f>
        <v>0.31406839903545081</v>
      </c>
    </row>
    <row r="227" spans="1:11" ht="20.100000000000001" customHeight="1">
      <c r="A227" s="1">
        <v>10.416666666666666</v>
      </c>
      <c r="B227" s="1">
        <f t="shared" si="5"/>
        <v>4.3468120842527735</v>
      </c>
      <c r="C227" s="1">
        <f t="shared" si="3"/>
        <v>3.7237948560000045</v>
      </c>
      <c r="D227" s="1">
        <f t="shared" si="4"/>
        <v>4.136022584269675</v>
      </c>
      <c r="E227" s="1">
        <f>D1085+($A227-C1085)*(D1086-D1085)/(C1086-C1085)</f>
        <v>3.1658333333333335</v>
      </c>
      <c r="F227" s="1">
        <f>D1098+($A227-C1098)*(D1099-D1098)/(C1099-C1098)</f>
        <v>3.2974999999999999</v>
      </c>
      <c r="G227" s="1">
        <f>$B$9+$B$10*EXP(-$B$11*A227)</f>
        <v>4.4510458901663208</v>
      </c>
      <c r="H227" s="1">
        <f>$C$9+$C$10*EXP(-$C$11*A227)</f>
        <v>3.7113657927706889</v>
      </c>
      <c r="I227" s="1">
        <f>$D$9+$D$10*EXP(-$D$11*A227)</f>
        <v>4.1470911467581963</v>
      </c>
      <c r="J227" s="1">
        <f>AVERAGE(B227:D227)</f>
        <v>4.0688765081741511</v>
      </c>
      <c r="K227" s="1">
        <f>_xlfn.STDEV.S(B227:D227)</f>
        <v>0.31688967058932377</v>
      </c>
    </row>
    <row r="228" spans="1:11" ht="20.100000000000001" customHeight="1">
      <c r="A228" s="1">
        <v>10.5</v>
      </c>
      <c r="B228" s="1">
        <f t="shared" si="5"/>
        <v>4.3293322880000051</v>
      </c>
      <c r="C228" s="1">
        <f t="shared" si="3"/>
        <v>3.7197375719999979</v>
      </c>
      <c r="D228" s="1">
        <f t="shared" si="4"/>
        <v>4.1234067503987237</v>
      </c>
      <c r="E228" s="1">
        <f>D1085+($A228-C1085)*(D1086-D1085)/(C1086-C1085)</f>
        <v>3.165</v>
      </c>
      <c r="F228" s="1">
        <f>D1098+($A228-C1098)*(D1099-D1098)/(C1099-C1098)</f>
        <v>3.2949999999999999</v>
      </c>
      <c r="G228" s="1">
        <f>$B$9+$B$10*EXP(-$B$11*A228)</f>
        <v>4.4405788622629636</v>
      </c>
      <c r="H228" s="1">
        <f>$C$9+$C$10*EXP(-$C$11*A228)</f>
        <v>3.7055987093112086</v>
      </c>
      <c r="I228" s="1">
        <f>$D$9+$D$10*EXP(-$D$11*A228)</f>
        <v>4.1400148242659158</v>
      </c>
      <c r="J228" s="1">
        <f>AVERAGE(B228:D228)</f>
        <v>4.057492203466242</v>
      </c>
      <c r="K228" s="1">
        <f>_xlfn.STDEV.S(B228:D228)</f>
        <v>0.31009671889068435</v>
      </c>
    </row>
    <row r="229" spans="1:11" ht="20.100000000000001" customHeight="1">
      <c r="A229" s="1">
        <v>10.583333333333334</v>
      </c>
      <c r="B229" s="1">
        <f t="shared" si="5"/>
        <v>4.3240400000000001</v>
      </c>
      <c r="C229" s="1">
        <f t="shared" si="3"/>
        <v>3.7206380898876534</v>
      </c>
      <c r="D229" s="1">
        <f t="shared" si="4"/>
        <v>4.1238026123595573</v>
      </c>
      <c r="E229" s="1">
        <f>D1085+($A229-C1085)*(D1086-D1085)/(C1086-C1085)</f>
        <v>3.1641666666666666</v>
      </c>
      <c r="F229" s="1">
        <f>D1098+($A229-C1098)*(D1099-D1098)/(C1099-C1098)</f>
        <v>3.2925</v>
      </c>
      <c r="G229" s="1">
        <f>$B$9+$B$10*EXP(-$B$11*A229)</f>
        <v>4.4302459618128953</v>
      </c>
      <c r="H229" s="1">
        <f>$C$9+$C$10*EXP(-$C$11*A229)</f>
        <v>3.6999594308286454</v>
      </c>
      <c r="I229" s="1">
        <f>$D$9+$D$10*EXP(-$D$11*A229)</f>
        <v>4.1330634116029623</v>
      </c>
      <c r="J229" s="1">
        <f>AVERAGE(B229:D229)</f>
        <v>4.0561602340824043</v>
      </c>
      <c r="K229" s="1">
        <f>_xlfn.STDEV.S(B229:D229)</f>
        <v>0.30733545969518272</v>
      </c>
    </row>
    <row r="230" spans="1:11" ht="20.100000000000001" customHeight="1">
      <c r="A230" s="1">
        <v>10.666666666666666</v>
      </c>
      <c r="B230" s="1">
        <f t="shared" si="5"/>
        <v>4.3227286200000155</v>
      </c>
      <c r="C230" s="1">
        <f t="shared" si="3"/>
        <v>3.7077360719999972</v>
      </c>
      <c r="D230" s="1">
        <f t="shared" si="4"/>
        <v>4.1158059520000014</v>
      </c>
      <c r="E230" s="1">
        <f>D1085+($A230-C1085)*(D1086-D1085)/(C1086-C1085)</f>
        <v>3.1633333333333336</v>
      </c>
      <c r="F230" s="1">
        <f>D1098+($A230-C1098)*(D1099-D1098)/(C1099-C1098)</f>
        <v>3.29</v>
      </c>
      <c r="G230" s="1">
        <f>$B$9+$B$10*EXP(-$B$11*A230)</f>
        <v>4.4200454700690273</v>
      </c>
      <c r="H230" s="1">
        <f>$C$9+$C$10*EXP(-$C$11*A230)</f>
        <v>3.6944451250227139</v>
      </c>
      <c r="I230" s="1">
        <f>$D$9+$D$10*EXP(-$D$11*A230)</f>
        <v>4.126234703886011</v>
      </c>
      <c r="J230" s="1">
        <f>AVERAGE(B230:D230)</f>
        <v>4.0487568813333388</v>
      </c>
      <c r="K230" s="1">
        <f>_xlfn.STDEV.S(B230:D230)</f>
        <v>0.31293073024526702</v>
      </c>
    </row>
    <row r="231" spans="1:11" ht="20.100000000000001" customHeight="1">
      <c r="A231" s="1">
        <v>10.75</v>
      </c>
      <c r="B231" s="1">
        <f t="shared" si="5"/>
        <v>4.3077955056179791</v>
      </c>
      <c r="C231" s="1">
        <f t="shared" ref="C231:C294" si="6">D718+($A231-C718)*(D719-D718)/(C719-C718)</f>
        <v>3.7158725642054629</v>
      </c>
      <c r="D231" s="1">
        <f t="shared" ref="D231:D294" si="7">D961+($A231-C961)*(D962-D961)/(C962-C961)</f>
        <v>4.1090800720000011</v>
      </c>
      <c r="E231" s="1">
        <f>D1085+($A231-C1085)*(D1086-D1085)/(C1086-C1085)</f>
        <v>3.1625000000000001</v>
      </c>
      <c r="F231" s="1">
        <f>D1098+($A231-C1098)*(D1099-D1098)/(C1099-C1098)</f>
        <v>3.2874999999999996</v>
      </c>
      <c r="G231" s="1">
        <f>$B$9+$B$10*EXP(-$B$11*A231)</f>
        <v>4.4099756903087819</v>
      </c>
      <c r="H231" s="1">
        <f>$C$9+$C$10*EXP(-$C$11*A231)</f>
        <v>3.6890530223600506</v>
      </c>
      <c r="I231" s="1">
        <f>$D$9+$D$10*EXP(-$D$11*A231)</f>
        <v>4.1195265351518966</v>
      </c>
      <c r="J231" s="1">
        <f>AVERAGE(B231:D231)</f>
        <v>4.0442493806078144</v>
      </c>
      <c r="K231" s="1">
        <f>_xlfn.STDEV.S(B231:D231)</f>
        <v>0.30123986464676783</v>
      </c>
    </row>
    <row r="232" spans="1:11" ht="20.100000000000001" customHeight="1">
      <c r="A232" s="1">
        <v>10.833333333333334</v>
      </c>
      <c r="B232" s="1">
        <f t="shared" si="5"/>
        <v>4.3051777870813455</v>
      </c>
      <c r="C232" s="1">
        <f t="shared" si="6"/>
        <v>3.7001836124402017</v>
      </c>
      <c r="D232" s="1">
        <f t="shared" si="7"/>
        <v>4.1048499999999999</v>
      </c>
      <c r="E232" s="1">
        <f>D1085+($A232-C1085)*(D1086-D1085)/(C1086-C1085)</f>
        <v>3.1616666666666666</v>
      </c>
      <c r="F232" s="1">
        <f>D1098+($A232-C1098)*(D1099-D1098)/(C1099-C1098)</f>
        <v>3.2849999999999997</v>
      </c>
      <c r="G232" s="1">
        <f>$B$9+$B$10*EXP(-$B$11*A232)</f>
        <v>4.400034947551867</v>
      </c>
      <c r="H232" s="1">
        <f>$C$9+$C$10*EXP(-$C$11*A232)</f>
        <v>3.6837804146832278</v>
      </c>
      <c r="I232" s="1">
        <f>$D$9+$D$10*EXP(-$D$11*A232)</f>
        <v>4.112936777670603</v>
      </c>
      <c r="J232" s="1">
        <f>AVERAGE(B232:D232)</f>
        <v>4.0367371331738484</v>
      </c>
      <c r="K232" s="1">
        <f>_xlfn.STDEV.S(B232:D232)</f>
        <v>0.30819475953994974</v>
      </c>
    </row>
    <row r="233" spans="1:11" ht="20.100000000000001" customHeight="1">
      <c r="A233" s="1">
        <v>10.916666666666666</v>
      </c>
      <c r="B233" s="1">
        <f t="shared" si="5"/>
        <v>4.2879973314606774</v>
      </c>
      <c r="C233" s="1">
        <f t="shared" si="6"/>
        <v>3.6915888844301734</v>
      </c>
      <c r="D233" s="1">
        <f t="shared" si="7"/>
        <v>4.1033854864593833</v>
      </c>
      <c r="E233" s="1">
        <f>D1085+($A233-C1085)*(D1086-D1085)/(C1086-C1085)</f>
        <v>3.1608333333333336</v>
      </c>
      <c r="F233" s="1">
        <f>D1098+($A233-C1098)*(D1099-D1098)/(C1099-C1098)</f>
        <v>3.2824999999999998</v>
      </c>
      <c r="G233" s="1">
        <f>$B$9+$B$10*EXP(-$B$11*A233)</f>
        <v>4.3902215882816575</v>
      </c>
      <c r="H233" s="1">
        <f>$C$9+$C$10*EXP(-$C$11*A233)</f>
        <v>3.6786246538505964</v>
      </c>
      <c r="I233" s="1">
        <f>$D$9+$D$10*EXP(-$D$11*A233)</f>
        <v>4.1064633412703779</v>
      </c>
      <c r="J233" s="1">
        <f>AVERAGE(B233:D233)</f>
        <v>4.0276572341167451</v>
      </c>
      <c r="K233" s="1">
        <f>_xlfn.STDEV.S(B233:D233)</f>
        <v>0.3053306978908068</v>
      </c>
    </row>
    <row r="234" spans="1:11" ht="20.100000000000001" customHeight="1">
      <c r="A234" s="1">
        <v>11</v>
      </c>
      <c r="B234" s="1">
        <f t="shared" ref="B234:B297" si="8">D479+($A234-C479)*(D480-D479)/(C480-C479)</f>
        <v>4.2849079039999998</v>
      </c>
      <c r="C234" s="1">
        <f t="shared" si="6"/>
        <v>3.7004838080000075</v>
      </c>
      <c r="D234" s="1">
        <f t="shared" si="7"/>
        <v>4.0879529139999988</v>
      </c>
      <c r="E234" s="1">
        <f>D1085+($A234-C1085)*(D1086-D1085)/(C1086-C1085)</f>
        <v>3.16</v>
      </c>
      <c r="F234" s="1">
        <f>D1098+($A234-C1098)*(D1099-D1098)/(C1099-C1098)</f>
        <v>3.28</v>
      </c>
      <c r="G234" s="1">
        <f>$B$9+$B$10*EXP(-$B$11*A234)</f>
        <v>4.3805339801701599</v>
      </c>
      <c r="H234" s="1">
        <f>$C$9+$C$10*EXP(-$C$11*A234)</f>
        <v>3.6735831504062677</v>
      </c>
      <c r="I234" s="1">
        <f>$D$9+$D$10*EXP(-$D$11*A234)</f>
        <v>4.1001041726747625</v>
      </c>
      <c r="J234" s="1">
        <f>AVERAGE(B234:D234)</f>
        <v>4.0244482086666684</v>
      </c>
      <c r="K234" s="1">
        <f>_xlfn.STDEV.S(B234:D234)</f>
        <v>0.29734242330343119</v>
      </c>
    </row>
    <row r="235" spans="1:11" ht="20.100000000000001" customHeight="1">
      <c r="A235" s="1">
        <v>11.083333333333334</v>
      </c>
      <c r="B235" s="1">
        <f t="shared" si="8"/>
        <v>4.2839249880000061</v>
      </c>
      <c r="C235" s="1">
        <f t="shared" si="6"/>
        <v>3.6937661640000052</v>
      </c>
      <c r="D235" s="1">
        <f t="shared" si="7"/>
        <v>4.0922613839999995</v>
      </c>
      <c r="E235" s="1">
        <f>D1086+($A235-C1086)*(D1087-D1086)/(C1087-C1086)</f>
        <v>3.1591666666666667</v>
      </c>
      <c r="F235" s="1">
        <f>D1099+($A235-C1099)*(D1100-D1099)/(C1100-C1099)</f>
        <v>3.2774999999999999</v>
      </c>
      <c r="G235" s="1">
        <f>$B$9+$B$10*EXP(-$B$11*A235)</f>
        <v>4.3709705118064921</v>
      </c>
      <c r="H235" s="1">
        <f>$C$9+$C$10*EXP(-$C$11*A235)</f>
        <v>3.668653372279572</v>
      </c>
      <c r="I235" s="1">
        <f>$D$9+$D$10*EXP(-$D$11*A235)</f>
        <v>4.0938572548513257</v>
      </c>
      <c r="J235" s="1">
        <f>AVERAGE(B235:D235)</f>
        <v>4.0233175120000029</v>
      </c>
      <c r="K235" s="1">
        <f>_xlfn.STDEV.S(B235:D235)</f>
        <v>0.30105946671883588</v>
      </c>
    </row>
    <row r="236" spans="1:11" ht="20.100000000000001" customHeight="1">
      <c r="A236" s="1">
        <v>11.166666666666666</v>
      </c>
      <c r="B236" s="1">
        <f t="shared" si="8"/>
        <v>4.2620320239999989</v>
      </c>
      <c r="C236" s="1">
        <f t="shared" si="6"/>
        <v>3.6897623559999975</v>
      </c>
      <c r="D236" s="1">
        <f t="shared" si="7"/>
        <v>4.0918071060000072</v>
      </c>
      <c r="E236" s="1">
        <f>D1086+($A236-C1086)*(D1087-D1086)/(C1087-C1086)</f>
        <v>3.1583333333333337</v>
      </c>
      <c r="F236" s="1">
        <f>D1099+($A236-C1099)*(D1100-D1099)/(C1100-C1099)</f>
        <v>3.2749999999999999</v>
      </c>
      <c r="G236" s="1">
        <f>$B$9+$B$10*EXP(-$B$11*A236)</f>
        <v>4.3615295924288464</v>
      </c>
      <c r="H236" s="1">
        <f>$C$9+$C$10*EXP(-$C$11*A236)</f>
        <v>3.6638328435133394</v>
      </c>
      <c r="I236" s="1">
        <f>$D$9+$D$10*EXP(-$D$11*A236)</f>
        <v>4.0877206063718869</v>
      </c>
      <c r="J236" s="1">
        <f>AVERAGE(B236:D236)</f>
        <v>4.0145338286666679</v>
      </c>
      <c r="K236" s="1">
        <f>_xlfn.STDEV.S(B236:D236)</f>
        <v>0.2938562791069545</v>
      </c>
    </row>
    <row r="237" spans="1:11" ht="20.100000000000001" customHeight="1">
      <c r="A237" s="1">
        <v>11.25</v>
      </c>
      <c r="B237" s="1">
        <f t="shared" si="8"/>
        <v>4.2641257412236744</v>
      </c>
      <c r="C237" s="1">
        <f t="shared" si="6"/>
        <v>3.6914640702106372</v>
      </c>
      <c r="D237" s="1">
        <f t="shared" si="7"/>
        <v>4.0765159169341878</v>
      </c>
      <c r="E237" s="1">
        <f>D1086+($A237-C1086)*(D1087-D1086)/(C1087-C1086)</f>
        <v>3.1575000000000002</v>
      </c>
      <c r="F237" s="1">
        <f>D1099+($A237-C1099)*(D1100-D1099)/(C1100-C1099)</f>
        <v>3.2725</v>
      </c>
      <c r="G237" s="1">
        <f>$B$9+$B$10*EXP(-$B$11*A237)</f>
        <v>4.3522096516598854</v>
      </c>
      <c r="H237" s="1">
        <f>$C$9+$C$10*EXP(-$C$11*A237)</f>
        <v>3.6591191430203618</v>
      </c>
      <c r="I237" s="1">
        <f>$D$9+$D$10*EXP(-$D$11*A237)</f>
        <v>4.0816922807840408</v>
      </c>
      <c r="J237" s="1">
        <f>AVERAGE(B237:D237)</f>
        <v>4.0107019094561664</v>
      </c>
      <c r="K237" s="1">
        <f>_xlfn.STDEV.S(B237:D237)</f>
        <v>0.2919485571930418</v>
      </c>
    </row>
    <row r="238" spans="1:11" ht="20.100000000000001" customHeight="1">
      <c r="A238" s="1">
        <v>11.333333333333334</v>
      </c>
      <c r="B238" s="1">
        <f t="shared" si="8"/>
        <v>4.2515022780000047</v>
      </c>
      <c r="C238" s="1">
        <f t="shared" si="6"/>
        <v>3.6874586600199377</v>
      </c>
      <c r="D238" s="1">
        <f t="shared" si="7"/>
        <v>4.0808425717703329</v>
      </c>
      <c r="E238" s="1">
        <f>D1086+($A238-C1086)*(D1087-D1086)/(C1087-C1086)</f>
        <v>3.1566666666666667</v>
      </c>
      <c r="F238" s="1">
        <f>D1099+($A238-C1099)*(D1100-D1099)/(C1100-C1099)</f>
        <v>3.27</v>
      </c>
      <c r="G238" s="1">
        <f>$B$9+$B$10*EXP(-$B$11*A238)</f>
        <v>4.3430091392455337</v>
      </c>
      <c r="H238" s="1">
        <f>$C$9+$C$10*EXP(-$C$11*A238)</f>
        <v>3.6545099033674138</v>
      </c>
      <c r="I238" s="1">
        <f>$D$9+$D$10*EXP(-$D$11*A238)</f>
        <v>4.0757703659937699</v>
      </c>
      <c r="J238" s="1">
        <f>AVERAGE(B238:D238)</f>
        <v>4.0066011699300921</v>
      </c>
      <c r="K238" s="1">
        <f>_xlfn.STDEV.S(B238:D238)</f>
        <v>0.28925791269456064</v>
      </c>
    </row>
    <row r="239" spans="1:11" ht="20.100000000000001" customHeight="1">
      <c r="A239" s="1">
        <v>11.416666666666666</v>
      </c>
      <c r="B239" s="1">
        <f t="shared" si="8"/>
        <v>4.241382913999999</v>
      </c>
      <c r="C239" s="1">
        <f t="shared" si="6"/>
        <v>3.6887490190571817</v>
      </c>
      <c r="D239" s="1">
        <f t="shared" si="7"/>
        <v>4.0717033747993563</v>
      </c>
      <c r="E239" s="1">
        <f>D1086+($A239-C1086)*(D1087-D1086)/(C1087-C1086)</f>
        <v>3.1558333333333333</v>
      </c>
      <c r="F239" s="1">
        <f>D1099+($A239-C1099)*(D1100-D1099)/(C1100-C1099)</f>
        <v>3.2675000000000001</v>
      </c>
      <c r="G239" s="1">
        <f>$B$9+$B$10*EXP(-$B$11*A239)</f>
        <v>4.3339265247971062</v>
      </c>
      <c r="H239" s="1">
        <f>$C$9+$C$10*EXP(-$C$11*A239)</f>
        <v>3.65000280958622</v>
      </c>
      <c r="I239" s="1">
        <f>$D$9+$D$10*EXP(-$D$11*A239)</f>
        <v>4.0699529836589576</v>
      </c>
      <c r="J239" s="1">
        <f>AVERAGE(B239:D239)</f>
        <v>4.0006117692855128</v>
      </c>
      <c r="K239" s="1">
        <f>_xlfn.STDEV.S(B239:D239)</f>
        <v>0.28309286063201811</v>
      </c>
    </row>
    <row r="240" spans="1:11" ht="20.100000000000001" customHeight="1">
      <c r="A240" s="1">
        <v>11.5</v>
      </c>
      <c r="B240" s="1">
        <f t="shared" si="8"/>
        <v>4.2445790429374037</v>
      </c>
      <c r="C240" s="1">
        <f t="shared" si="6"/>
        <v>3.6799123340000057</v>
      </c>
      <c r="D240" s="1">
        <f t="shared" si="7"/>
        <v>4.0742330479999982</v>
      </c>
      <c r="E240" s="1">
        <f>D1086+($A240-C1086)*(D1087-D1086)/(C1087-C1086)</f>
        <v>3.1550000000000002</v>
      </c>
      <c r="F240" s="1">
        <f>D1099+($A240-C1099)*(D1100-D1099)/(C1100-C1099)</f>
        <v>3.2649999999999997</v>
      </c>
      <c r="G240" s="1">
        <f>$B$9+$B$10*EXP(-$B$11*A240)</f>
        <v>4.3249602975367525</v>
      </c>
      <c r="H240" s="1">
        <f>$C$9+$C$10*EXP(-$C$11*A240)</f>
        <v>3.6455955980107744</v>
      </c>
      <c r="I240" s="1">
        <f>$D$9+$D$10*EXP(-$D$11*A240)</f>
        <v>4.0642382885936081</v>
      </c>
      <c r="J240" s="1">
        <f>AVERAGE(B240:D240)</f>
        <v>3.9995748083124689</v>
      </c>
      <c r="K240" s="1">
        <f>_xlfn.STDEV.S(B240:D240)</f>
        <v>0.28964204220119433</v>
      </c>
    </row>
    <row r="241" spans="1:11" ht="20.100000000000001" customHeight="1">
      <c r="A241" s="1">
        <v>11.583333333333334</v>
      </c>
      <c r="B241" s="1">
        <f t="shared" si="8"/>
        <v>4.234267715311006</v>
      </c>
      <c r="C241" s="1">
        <f t="shared" si="6"/>
        <v>3.6762418559999932</v>
      </c>
      <c r="D241" s="1">
        <f t="shared" si="7"/>
        <v>4.0677307139999996</v>
      </c>
      <c r="E241" s="1">
        <f>D1086+($A241-C1086)*(D1087-D1086)/(C1087-C1086)</f>
        <v>3.1541666666666668</v>
      </c>
      <c r="F241" s="1">
        <f>D1099+($A241-C1099)*(D1100-D1099)/(C1100-C1099)</f>
        <v>3.2624999999999997</v>
      </c>
      <c r="G241" s="1">
        <f>$B$9+$B$10*EXP(-$B$11*A241)</f>
        <v>4.3161089660461576</v>
      </c>
      <c r="H241" s="1">
        <f>$C$9+$C$10*EXP(-$C$11*A241)</f>
        <v>3.6412860551404247</v>
      </c>
      <c r="I241" s="1">
        <f>$D$9+$D$10*EXP(-$D$11*A241)</f>
        <v>4.0586244681825789</v>
      </c>
      <c r="J241" s="1">
        <f>AVERAGE(B241:D241)</f>
        <v>3.9927467617703329</v>
      </c>
      <c r="K241" s="1">
        <f>_xlfn.STDEV.S(B241:D241)</f>
        <v>0.28647017250306228</v>
      </c>
    </row>
    <row r="242" spans="1:11" ht="20.100000000000001" customHeight="1">
      <c r="A242" s="1">
        <v>11.666666666666666</v>
      </c>
      <c r="B242" s="1">
        <f t="shared" si="8"/>
        <v>4.2353490429374041</v>
      </c>
      <c r="C242" s="1">
        <f t="shared" si="6"/>
        <v>3.680435382000014</v>
      </c>
      <c r="D242" s="1">
        <f t="shared" si="7"/>
        <v>4.0651072379999977</v>
      </c>
      <c r="E242" s="1">
        <f>D1086+($A242-C1086)*(D1087-D1086)/(C1087-C1086)</f>
        <v>3.1533333333333333</v>
      </c>
      <c r="F242" s="1">
        <f>D1099+($A242-C1099)*(D1100-D1099)/(C1100-C1099)</f>
        <v>3.26</v>
      </c>
      <c r="G242" s="1">
        <f>$B$9+$B$10*EXP(-$B$11*A242)</f>
        <v>4.3073710580184592</v>
      </c>
      <c r="H242" s="1">
        <f>$C$9+$C$10*EXP(-$C$11*A242)</f>
        <v>3.637072016528152</v>
      </c>
      <c r="I242" s="1">
        <f>$D$9+$D$10*EXP(-$D$11*A242)</f>
        <v>4.0531097418066482</v>
      </c>
      <c r="J242" s="1">
        <f>AVERAGE(B242:D242)</f>
        <v>3.9936305543124724</v>
      </c>
      <c r="K242" s="1">
        <f>_xlfn.STDEV.S(B242:D242)</f>
        <v>0.28427799775388729</v>
      </c>
    </row>
    <row r="243" spans="1:11" ht="20.100000000000001" customHeight="1">
      <c r="A243" s="1">
        <v>11.75</v>
      </c>
      <c r="B243" s="1">
        <f t="shared" si="8"/>
        <v>4.2248299999999999</v>
      </c>
      <c r="C243" s="1">
        <f t="shared" si="6"/>
        <v>3.6695300842696681</v>
      </c>
      <c r="D243" s="1">
        <f t="shared" si="7"/>
        <v>4.0597554755216683</v>
      </c>
      <c r="E243" s="1">
        <f>D1086+($A243-C1086)*(D1087-D1086)/(C1087-C1086)</f>
        <v>3.1524999999999999</v>
      </c>
      <c r="F243" s="1">
        <f>D1099+($A243-C1099)*(D1100-D1099)/(C1100-C1099)</f>
        <v>3.2574999999999998</v>
      </c>
      <c r="G243" s="1">
        <f>$B$9+$B$10*EXP(-$B$11*A243)</f>
        <v>4.2987451200133551</v>
      </c>
      <c r="H243" s="1">
        <f>$C$9+$C$10*EXP(-$C$11*A243)</f>
        <v>3.6329513656934882</v>
      </c>
      <c r="I243" s="1">
        <f>$D$9+$D$10*EXP(-$D$11*A243)</f>
        <v>4.0476923602777255</v>
      </c>
      <c r="J243" s="1">
        <f>AVERAGE(B243:D243)</f>
        <v>3.9847051865971124</v>
      </c>
      <c r="K243" s="1">
        <f>_xlfn.STDEV.S(B243:D243)</f>
        <v>0.2851559371699508</v>
      </c>
    </row>
    <row r="244" spans="1:11" ht="20.100000000000001" customHeight="1">
      <c r="A244" s="1">
        <v>11.833333333333334</v>
      </c>
      <c r="B244" s="1">
        <f t="shared" si="8"/>
        <v>4.2240979519999975</v>
      </c>
      <c r="C244" s="1">
        <f t="shared" si="6"/>
        <v>3.6650064872408312</v>
      </c>
      <c r="D244" s="1">
        <f t="shared" si="7"/>
        <v>4.0584940131578957</v>
      </c>
      <c r="E244" s="1">
        <f>D1086+($A244-C1086)*(D1087-D1086)/(C1087-C1086)</f>
        <v>3.1516666666666664</v>
      </c>
      <c r="F244" s="1">
        <f>D1099+($A244-C1099)*(D1100-D1099)/(C1100-C1099)</f>
        <v>3.2549999999999999</v>
      </c>
      <c r="G244" s="1">
        <f>$B$9+$B$10*EXP(-$B$11*A244)</f>
        <v>4.2902297172153334</v>
      </c>
      <c r="H244" s="1">
        <f>$C$9+$C$10*EXP(-$C$11*A244)</f>
        <v>3.6289220330595247</v>
      </c>
      <c r="I244" s="1">
        <f>$D$9+$D$10*EXP(-$D$11*A244)</f>
        <v>4.0423706052840434</v>
      </c>
      <c r="J244" s="1">
        <f>AVERAGE(B244:D244)</f>
        <v>3.9825328174662413</v>
      </c>
      <c r="K244" s="1">
        <f>_xlfn.STDEV.S(B244:D244)</f>
        <v>0.2871818133688428</v>
      </c>
    </row>
    <row r="245" spans="1:11" ht="20.100000000000001" customHeight="1">
      <c r="A245" s="1">
        <v>11.916666666666666</v>
      </c>
      <c r="B245" s="1">
        <f t="shared" si="8"/>
        <v>4.2157053819999968</v>
      </c>
      <c r="C245" s="1">
        <f t="shared" si="6"/>
        <v>3.6602975882825235</v>
      </c>
      <c r="D245" s="1">
        <f t="shared" si="7"/>
        <v>4.0561909510433383</v>
      </c>
      <c r="E245" s="1">
        <f>D1086+($A245-C1086)*(D1087-D1086)/(C1087-C1086)</f>
        <v>3.1508333333333334</v>
      </c>
      <c r="F245" s="1">
        <f>D1099+($A245-C1099)*(D1100-D1099)/(C1100-C1099)</f>
        <v>3.2524999999999999</v>
      </c>
      <c r="G245" s="1">
        <f>$B$9+$B$10*EXP(-$B$11*A245)</f>
        <v>4.2818234331950169</v>
      </c>
      <c r="H245" s="1">
        <f>$C$9+$C$10*EXP(-$C$11*A245)</f>
        <v>3.6249819949134752</v>
      </c>
      <c r="I245" s="1">
        <f>$D$9+$D$10*EXP(-$D$11*A245)</f>
        <v>4.0371427888451263</v>
      </c>
      <c r="J245" s="1">
        <f>AVERAGE(B245:D245)</f>
        <v>3.977397973775286</v>
      </c>
      <c r="K245" s="1">
        <f>_xlfn.STDEV.S(B245:D245)</f>
        <v>0.28596451577180104</v>
      </c>
    </row>
    <row r="246" spans="1:11" ht="20.100000000000001" customHeight="1">
      <c r="A246" s="1">
        <v>12</v>
      </c>
      <c r="B246" s="1">
        <f t="shared" si="8"/>
        <v>4.205324524478331</v>
      </c>
      <c r="C246" s="1">
        <f t="shared" si="6"/>
        <v>3.6460848699999913</v>
      </c>
      <c r="D246" s="1">
        <f t="shared" si="7"/>
        <v>4.0532342260000052</v>
      </c>
      <c r="E246" s="1">
        <f>D1086+($A246-C1086)*(D1087-D1086)/(C1087-C1086)</f>
        <v>3.15</v>
      </c>
      <c r="F246" s="1">
        <f>D1099+($A246-C1099)*(D1100-D1099)/(C1100-C1099)</f>
        <v>3.25</v>
      </c>
      <c r="G246" s="1">
        <f>$B$9+$B$10*EXP(-$B$11*A246)</f>
        <v>4.2735248696735546</v>
      </c>
      <c r="H246" s="1">
        <f>$C$9+$C$10*EXP(-$C$11*A246)</f>
        <v>3.6211292723902782</v>
      </c>
      <c r="I246" s="1">
        <f>$D$9+$D$10*EXP(-$D$11*A246)</f>
        <v>4.0320072527763946</v>
      </c>
      <c r="J246" s="1">
        <f>AVERAGE(B246:D246)</f>
        <v>3.9682145401594426</v>
      </c>
      <c r="K246" s="1">
        <f>_xlfn.STDEV.S(B246:D246)</f>
        <v>0.28915135832394806</v>
      </c>
    </row>
    <row r="247" spans="1:11" ht="20.100000000000001" customHeight="1">
      <c r="A247" s="1">
        <v>12.083333333333334</v>
      </c>
      <c r="B247" s="1">
        <f t="shared" si="8"/>
        <v>4.2052875480000056</v>
      </c>
      <c r="C247" s="1">
        <f t="shared" si="6"/>
        <v>3.6599620960000041</v>
      </c>
      <c r="D247" s="1">
        <f t="shared" si="7"/>
        <v>4.0444366440000028</v>
      </c>
      <c r="E247" s="1" t="str">
        <f>""</f>
        <v/>
      </c>
      <c r="F247" s="1" t="str">
        <f>""</f>
        <v/>
      </c>
      <c r="G247" s="1">
        <f>$B$9+$B$10*EXP(-$B$11*A247)</f>
        <v>4.2653326462900338</v>
      </c>
      <c r="H247" s="1">
        <f>$C$9+$C$10*EXP(-$C$11*A247)</f>
        <v>3.6173619304787201</v>
      </c>
      <c r="I247" s="1">
        <f>$D$9+$D$10*EXP(-$D$11*A247)</f>
        <v>4.0269623681632103</v>
      </c>
      <c r="J247" s="1">
        <f>AVERAGE(B247:D247)</f>
        <v>3.9698954293333375</v>
      </c>
      <c r="K247" s="1">
        <f>_xlfn.STDEV.S(B247:D247)</f>
        <v>0.28020038662132124</v>
      </c>
    </row>
    <row r="248" spans="1:11" ht="20.100000000000001" customHeight="1">
      <c r="A248" s="1">
        <v>12.166666666666666</v>
      </c>
      <c r="B248" s="1">
        <f t="shared" si="8"/>
        <v>4.195046677999998</v>
      </c>
      <c r="C248" s="1">
        <f t="shared" si="6"/>
        <v>3.6513418080000073</v>
      </c>
      <c r="D248" s="1">
        <f t="shared" si="7"/>
        <v>4.0399244754262815</v>
      </c>
      <c r="E248" s="1" t="str">
        <f>""</f>
        <v/>
      </c>
      <c r="F248" s="1" t="str">
        <f>""</f>
        <v/>
      </c>
      <c r="G248" s="1">
        <f>$B$9+$B$10*EXP(-$B$11*A248)</f>
        <v>4.2572454003718772</v>
      </c>
      <c r="H248" s="1">
        <f>$C$9+$C$10*EXP(-$C$11*A248)</f>
        <v>3.613678077049586</v>
      </c>
      <c r="I248" s="1">
        <f>$D$9+$D$10*EXP(-$D$11*A248)</f>
        <v>4.02200653484421</v>
      </c>
      <c r="J248" s="1">
        <f>AVERAGE(B248:D248)</f>
        <v>3.9621043204754294</v>
      </c>
      <c r="K248" s="1">
        <f>_xlfn.STDEV.S(B248:D248)</f>
        <v>0.28008164667264029</v>
      </c>
    </row>
    <row r="249" spans="1:11" ht="20.100000000000001" customHeight="1">
      <c r="A249" s="1">
        <v>12.25</v>
      </c>
      <c r="B249" s="1">
        <f t="shared" si="8"/>
        <v>4.1954084520000103</v>
      </c>
      <c r="C249" s="1">
        <f t="shared" si="6"/>
        <v>3.6396683791374072</v>
      </c>
      <c r="D249" s="1">
        <f t="shared" si="7"/>
        <v>4.0356729280000074</v>
      </c>
      <c r="E249" s="1" t="str">
        <f>""</f>
        <v/>
      </c>
      <c r="F249" s="1" t="str">
        <f>""</f>
        <v/>
      </c>
      <c r="G249" s="1">
        <f>$B$9+$B$10*EXP(-$B$11*A249)</f>
        <v>4.249261786708181</v>
      </c>
      <c r="H249" s="1">
        <f>$C$9+$C$10*EXP(-$C$11*A249)</f>
        <v>3.6100758619053464</v>
      </c>
      <c r="I249" s="1">
        <f>$D$9+$D$10*EXP(-$D$11*A249)</f>
        <v>4.0171381809037605</v>
      </c>
      <c r="J249" s="1">
        <f>AVERAGE(B249:D249)</f>
        <v>3.9569165863791418</v>
      </c>
      <c r="K249" s="1">
        <f>_xlfn.STDEV.S(B249:D249)</f>
        <v>0.28611829398949618</v>
      </c>
    </row>
    <row r="250" spans="1:11" ht="20.100000000000001" customHeight="1">
      <c r="A250" s="1">
        <v>12.333333333333334</v>
      </c>
      <c r="B250" s="1">
        <f t="shared" si="8"/>
        <v>4.1790055245737197</v>
      </c>
      <c r="C250" s="1">
        <f t="shared" si="6"/>
        <v>3.6478063920000015</v>
      </c>
      <c r="D250" s="1">
        <f t="shared" si="7"/>
        <v>4.0259208239999955</v>
      </c>
      <c r="E250" s="1" t="str">
        <f>""</f>
        <v/>
      </c>
      <c r="F250" s="1" t="str">
        <f>""</f>
        <v/>
      </c>
      <c r="G250" s="1">
        <f>$B$9+$B$10*EXP(-$B$11*A250)</f>
        <v>4.2413804773259516</v>
      </c>
      <c r="H250" s="1">
        <f>$C$9+$C$10*EXP(-$C$11*A250)</f>
        <v>3.6065534758509044</v>
      </c>
      <c r="I250" s="1">
        <f>$D$9+$D$10*EXP(-$D$11*A250)</f>
        <v>4.0123557621733674</v>
      </c>
      <c r="J250" s="1">
        <f>AVERAGE(B250:D250)</f>
        <v>3.9509109135245724</v>
      </c>
      <c r="K250" s="1">
        <f>_xlfn.STDEV.S(B250:D250)</f>
        <v>0.27342822570816627</v>
      </c>
    </row>
    <row r="251" spans="1:11" ht="20.100000000000001" customHeight="1">
      <c r="A251" s="1">
        <v>12.416666666666666</v>
      </c>
      <c r="B251" s="1">
        <f t="shared" si="8"/>
        <v>4.181250173479568</v>
      </c>
      <c r="C251" s="1">
        <f t="shared" si="6"/>
        <v>3.6457199999999998</v>
      </c>
      <c r="D251" s="1">
        <f t="shared" si="7"/>
        <v>4.0317327840000035</v>
      </c>
      <c r="E251" s="1" t="str">
        <f>""</f>
        <v/>
      </c>
      <c r="F251" s="1" t="str">
        <f>""</f>
        <v/>
      </c>
      <c r="G251" s="1">
        <f>$B$9+$B$10*EXP(-$B$11*A251)</f>
        <v>4.2336001612692176</v>
      </c>
      <c r="H251" s="1">
        <f>$C$9+$C$10*EXP(-$C$11*A251)</f>
        <v>3.6031091497849368</v>
      </c>
      <c r="I251" s="1">
        <f>$D$9+$D$10*EXP(-$D$11*A251)</f>
        <v>4.0076577617418909</v>
      </c>
      <c r="J251" s="1">
        <f>AVERAGE(B251:D251)</f>
        <v>3.952900985826524</v>
      </c>
      <c r="K251" s="1">
        <f>_xlfn.STDEV.S(B251:D251)</f>
        <v>0.27633128845502142</v>
      </c>
    </row>
    <row r="252" spans="1:11" ht="20.100000000000001" customHeight="1">
      <c r="A252" s="1">
        <v>12.5</v>
      </c>
      <c r="B252" s="1">
        <f t="shared" si="8"/>
        <v>4.1712914363089366</v>
      </c>
      <c r="C252" s="1">
        <f t="shared" si="6"/>
        <v>3.6453839967897288</v>
      </c>
      <c r="D252" s="1">
        <f t="shared" si="7"/>
        <v>4.0261043097913412</v>
      </c>
      <c r="E252" s="1" t="str">
        <f>""</f>
        <v/>
      </c>
      <c r="F252" s="1" t="str">
        <f>""</f>
        <v/>
      </c>
      <c r="G252" s="1">
        <f>$B$9+$B$10*EXP(-$B$11*A252)</f>
        <v>4.2259195443809681</v>
      </c>
      <c r="H252" s="1">
        <f>$C$9+$C$10*EXP(-$C$11*A252)</f>
        <v>3.5997411538113719</v>
      </c>
      <c r="I252" s="1">
        <f>$D$9+$D$10*EXP(-$D$11*A252)</f>
        <v>4.0030426894744027</v>
      </c>
      <c r="J252" s="1">
        <f>AVERAGE(B252:D252)</f>
        <v>3.9475932476300017</v>
      </c>
      <c r="K252" s="1">
        <f>_xlfn.STDEV.S(B252:D252)</f>
        <v>0.27160200458886258</v>
      </c>
    </row>
    <row r="253" spans="1:11" ht="20.100000000000001" customHeight="1">
      <c r="A253" s="1">
        <v>12.583333333333334</v>
      </c>
      <c r="B253" s="1">
        <f t="shared" si="8"/>
        <v>4.1562798559999958</v>
      </c>
      <c r="C253" s="1">
        <f t="shared" si="6"/>
        <v>3.6414555741626797</v>
      </c>
      <c r="D253" s="1">
        <f t="shared" si="7"/>
        <v>4.0133744258373207</v>
      </c>
      <c r="E253" s="1" t="str">
        <f>""</f>
        <v/>
      </c>
      <c r="F253" s="1" t="str">
        <f>""</f>
        <v/>
      </c>
      <c r="G253" s="1">
        <f>$B$9+$B$10*EXP(-$B$11*A253)</f>
        <v>4.2183373490878857</v>
      </c>
      <c r="H253" s="1">
        <f>$C$9+$C$10*EXP(-$C$11*A253)</f>
        <v>3.5964477963705561</v>
      </c>
      <c r="I253" s="1">
        <f>$D$9+$D$10*EXP(-$D$11*A253)</f>
        <v>3.9985090815395377</v>
      </c>
      <c r="J253" s="1">
        <f>AVERAGE(B253:D253)</f>
        <v>3.9370366186666654</v>
      </c>
      <c r="K253" s="1">
        <f>_xlfn.STDEV.S(B253:D253)</f>
        <v>0.26576607363439975</v>
      </c>
    </row>
    <row r="254" spans="1:11" ht="20.100000000000001" customHeight="1">
      <c r="A254" s="1">
        <v>12.666666666666666</v>
      </c>
      <c r="B254" s="1">
        <f t="shared" si="8"/>
        <v>4.1613016080000085</v>
      </c>
      <c r="C254" s="1">
        <f t="shared" si="6"/>
        <v>3.6340773515248803</v>
      </c>
      <c r="D254" s="1">
        <f t="shared" si="7"/>
        <v>4.0206400000000002</v>
      </c>
      <c r="E254" s="1" t="str">
        <f>""</f>
        <v/>
      </c>
      <c r="F254" s="1" t="str">
        <f>""</f>
        <v/>
      </c>
      <c r="G254" s="1">
        <f>$B$9+$B$10*EXP(-$B$11*A254)</f>
        <v>4.2108523141878376</v>
      </c>
      <c r="H254" s="1">
        <f>$C$9+$C$10*EXP(-$C$11*A254)</f>
        <v>3.5932274233896773</v>
      </c>
      <c r="I254" s="1">
        <f>$D$9+$D$10*EXP(-$D$11*A254)</f>
        <v>3.99405549994519</v>
      </c>
      <c r="J254" s="1">
        <f>AVERAGE(B254:D254)</f>
        <v>3.9386729865082963</v>
      </c>
      <c r="K254" s="1">
        <f>_xlfn.STDEV.S(B254:D254)</f>
        <v>0.27300237660046078</v>
      </c>
    </row>
    <row r="255" spans="1:11" ht="20.100000000000001" customHeight="1">
      <c r="A255" s="1">
        <v>12.75</v>
      </c>
      <c r="B255" s="1">
        <f t="shared" si="8"/>
        <v>4.1491701440000046</v>
      </c>
      <c r="C255" s="1">
        <f t="shared" si="6"/>
        <v>3.633146</v>
      </c>
      <c r="D255" s="1">
        <f t="shared" si="7"/>
        <v>4.0200630000000004</v>
      </c>
      <c r="E255" s="1" t="str">
        <f>""</f>
        <v/>
      </c>
      <c r="F255" s="1" t="str">
        <f>""</f>
        <v/>
      </c>
      <c r="G255" s="1">
        <f>$B$9+$B$10*EXP(-$B$11*A255)</f>
        <v>4.2034631946400918</v>
      </c>
      <c r="H255" s="1">
        <f>$C$9+$C$10*EXP(-$C$11*A255)</f>
        <v>3.5900784174520144</v>
      </c>
      <c r="I255" s="1">
        <f>$D$9+$D$10*EXP(-$D$11*A255)</f>
        <v>3.9896805320824029</v>
      </c>
      <c r="J255" s="1">
        <f>AVERAGE(B255:D255)</f>
        <v>3.9341263813333351</v>
      </c>
      <c r="K255" s="1">
        <f>_xlfn.STDEV.S(B255:D255)</f>
        <v>0.2685312944865631</v>
      </c>
    </row>
    <row r="256" spans="1:11" ht="20.100000000000001" customHeight="1">
      <c r="A256" s="1">
        <v>12.833333333333334</v>
      </c>
      <c r="B256" s="1">
        <f t="shared" si="8"/>
        <v>4.1435920064205423</v>
      </c>
      <c r="C256" s="1">
        <f t="shared" si="6"/>
        <v>3.6339589999999999</v>
      </c>
      <c r="D256" s="1">
        <f t="shared" si="7"/>
        <v>4.0139440369181392</v>
      </c>
      <c r="E256" s="1" t="str">
        <f>""</f>
        <v/>
      </c>
      <c r="F256" s="1" t="str">
        <f>""</f>
        <v/>
      </c>
      <c r="G256" s="1">
        <f>$B$9+$B$10*EXP(-$B$11*A256)</f>
        <v>4.1961687613582219</v>
      </c>
      <c r="H256" s="1">
        <f>$C$9+$C$10*EXP(-$C$11*A256)</f>
        <v>3.5869991969845989</v>
      </c>
      <c r="I256" s="1">
        <f>$D$9+$D$10*EXP(-$D$11*A256)</f>
        <v>3.9853827902773094</v>
      </c>
      <c r="J256" s="1">
        <f>AVERAGE(B256:D256)</f>
        <v>3.9304983477795603</v>
      </c>
      <c r="K256" s="1">
        <f>_xlfn.STDEV.S(B256:D256)</f>
        <v>0.2648656972602707</v>
      </c>
    </row>
    <row r="257" spans="1:11" ht="20.100000000000001" customHeight="1">
      <c r="A257" s="1">
        <v>12.916666666666666</v>
      </c>
      <c r="B257" s="1">
        <f t="shared" si="8"/>
        <v>4.1486906778309418</v>
      </c>
      <c r="C257" s="1">
        <f t="shared" si="6"/>
        <v>3.6306110000000005</v>
      </c>
      <c r="D257" s="1">
        <f t="shared" si="7"/>
        <v>4.0054033971291876</v>
      </c>
      <c r="E257" s="1" t="str">
        <f>""</f>
        <v/>
      </c>
      <c r="F257" s="1" t="str">
        <f>""</f>
        <v/>
      </c>
      <c r="G257" s="1">
        <f>$B$9+$B$10*EXP(-$B$11*A257)</f>
        <v>4.1889678010056608</v>
      </c>
      <c r="H257" s="1">
        <f>$C$9+$C$10*EXP(-$C$11*A257)</f>
        <v>3.5839882154638749</v>
      </c>
      <c r="I257" s="1">
        <f>$D$9+$D$10*EXP(-$D$11*A257)</f>
        <v>3.9811609113509858</v>
      </c>
      <c r="J257" s="1">
        <f>AVERAGE(B257:D257)</f>
        <v>3.92823502498671</v>
      </c>
      <c r="K257" s="1">
        <f>_xlfn.STDEV.S(B257:D257)</f>
        <v>0.2675216933067166</v>
      </c>
    </row>
    <row r="258" spans="1:11" ht="20.100000000000001" customHeight="1">
      <c r="A258" s="1">
        <v>13</v>
      </c>
      <c r="B258" s="1">
        <f t="shared" si="8"/>
        <v>4.1387576805778465</v>
      </c>
      <c r="C258" s="1">
        <f t="shared" si="6"/>
        <v>3.6195371107544139</v>
      </c>
      <c r="D258" s="1">
        <f t="shared" si="7"/>
        <v>4.0029928892455855</v>
      </c>
      <c r="E258" s="1" t="str">
        <f>""</f>
        <v/>
      </c>
      <c r="F258" s="1" t="str">
        <f>""</f>
        <v/>
      </c>
      <c r="G258" s="1">
        <f>$B$9+$B$10*EXP(-$B$11*A258)</f>
        <v>4.1818591157938769</v>
      </c>
      <c r="H258" s="1">
        <f>$C$9+$C$10*EXP(-$C$11*A258)</f>
        <v>3.5810439606389681</v>
      </c>
      <c r="I258" s="1">
        <f>$D$9+$D$10*EXP(-$D$11*A258)</f>
        <v>3.9770135561870679</v>
      </c>
      <c r="J258" s="1">
        <f>AVERAGE(B258:D258)</f>
        <v>3.920429226859282</v>
      </c>
      <c r="K258" s="1">
        <f>_xlfn.STDEV.S(B258:D258)</f>
        <v>0.26927693698481153</v>
      </c>
    </row>
    <row r="259" spans="1:11" ht="20.100000000000001" customHeight="1">
      <c r="A259" s="1">
        <v>13.083333333333334</v>
      </c>
      <c r="B259" s="1">
        <f t="shared" si="8"/>
        <v>4.1417632985553778</v>
      </c>
      <c r="C259" s="1">
        <f t="shared" si="6"/>
        <v>3.6230070719999974</v>
      </c>
      <c r="D259" s="1">
        <f t="shared" si="7"/>
        <v>3.9999986799999991</v>
      </c>
      <c r="E259" s="1" t="str">
        <f>""</f>
        <v/>
      </c>
      <c r="F259" s="1" t="str">
        <f>""</f>
        <v/>
      </c>
      <c r="G259" s="1">
        <f>$B$9+$B$10*EXP(-$B$11*A259)</f>
        <v>4.1748415232831446</v>
      </c>
      <c r="H259" s="1">
        <f>$C$9+$C$10*EXP(-$C$11*A259)</f>
        <v>3.5781649537721631</v>
      </c>
      <c r="I259" s="1">
        <f>$D$9+$D$10*EXP(-$D$11*A259)</f>
        <v>3.9729394093070076</v>
      </c>
      <c r="J259" s="1">
        <f>AVERAGE(B259:D259)</f>
        <v>3.9215896835184583</v>
      </c>
      <c r="K259" s="1">
        <f>_xlfn.STDEV.S(B259:D259)</f>
        <v>0.26811934599059806</v>
      </c>
    </row>
    <row r="260" spans="1:11" ht="20.100000000000001" customHeight="1">
      <c r="A260" s="1">
        <v>13.166666666666666</v>
      </c>
      <c r="B260" s="1">
        <f t="shared" si="8"/>
        <v>4.1313899999999997</v>
      </c>
      <c r="C260" s="1">
        <f t="shared" si="6"/>
        <v>3.6259913200000011</v>
      </c>
      <c r="D260" s="1">
        <f t="shared" si="7"/>
        <v>4.0003158560000056</v>
      </c>
      <c r="E260" s="1" t="str">
        <f>""</f>
        <v/>
      </c>
      <c r="F260" s="1" t="str">
        <f>""</f>
        <v/>
      </c>
      <c r="G260" s="1">
        <f>$B$9+$B$10*EXP(-$B$11*A260)</f>
        <v>4.1679138561858498</v>
      </c>
      <c r="H260" s="1">
        <f>$C$9+$C$10*EXP(-$C$11*A260)</f>
        <v>3.5753497488962158</v>
      </c>
      <c r="I260" s="1">
        <f>$D$9+$D$10*EXP(-$D$11*A260)</f>
        <v>3.9689371784528205</v>
      </c>
      <c r="J260" s="1">
        <f>AVERAGE(B260:D260)</f>
        <v>3.9192323920000018</v>
      </c>
      <c r="K260" s="1">
        <f>_xlfn.STDEV.S(B260:D260)</f>
        <v>0.26227438406583886</v>
      </c>
    </row>
    <row r="261" spans="1:11" ht="20.100000000000001" customHeight="1">
      <c r="A261" s="1">
        <v>13.25</v>
      </c>
      <c r="B261" s="1">
        <f t="shared" si="8"/>
        <v>4.1310418860353133</v>
      </c>
      <c r="C261" s="1">
        <f t="shared" si="6"/>
        <v>3.6229362480000158</v>
      </c>
      <c r="D261" s="1">
        <f t="shared" si="7"/>
        <v>3.9935145360000046</v>
      </c>
      <c r="E261" s="1" t="str">
        <f>""</f>
        <v/>
      </c>
      <c r="F261" s="1" t="str">
        <f>""</f>
        <v/>
      </c>
      <c r="G261" s="1">
        <f>$B$9+$B$10*EXP(-$B$11*A261)</f>
        <v>4.1610749621723349</v>
      </c>
      <c r="H261" s="1">
        <f>$C$9+$C$10*EXP(-$C$11*A261)</f>
        <v>3.5725969320881212</v>
      </c>
      <c r="I261" s="1">
        <f>$D$9+$D$10*EXP(-$D$11*A261)</f>
        <v>3.9650055941772009</v>
      </c>
      <c r="J261" s="1">
        <f>AVERAGE(B261:D261)</f>
        <v>3.9158308900117778</v>
      </c>
      <c r="K261" s="1">
        <f>_xlfn.STDEV.S(B261:D261)</f>
        <v>0.26280962024121624</v>
      </c>
    </row>
    <row r="262" spans="1:11" ht="20.100000000000001" customHeight="1">
      <c r="A262" s="1">
        <v>13.333333333333334</v>
      </c>
      <c r="B262" s="1">
        <f t="shared" si="8"/>
        <v>4.1272058560000051</v>
      </c>
      <c r="C262" s="1">
        <f t="shared" si="6"/>
        <v>3.6066635486459275</v>
      </c>
      <c r="D262" s="1">
        <f t="shared" si="7"/>
        <v>3.9876237071213696</v>
      </c>
      <c r="E262" s="1" t="str">
        <f>""</f>
        <v/>
      </c>
      <c r="F262" s="1" t="str">
        <f>""</f>
        <v/>
      </c>
      <c r="G262" s="1">
        <f>$B$9+$B$10*EXP(-$B$11*A262)</f>
        <v>4.1543237036792187</v>
      </c>
      <c r="H262" s="1">
        <f>$C$9+$C$10*EXP(-$C$11*A262)</f>
        <v>3.5699051207589814</v>
      </c>
      <c r="I262" s="1">
        <f>$D$9+$D$10*EXP(-$D$11*A262)</f>
        <v>3.9611434094408744</v>
      </c>
      <c r="J262" s="1">
        <f>AVERAGE(B262:D262)</f>
        <v>3.9071643705891006</v>
      </c>
      <c r="K262" s="1">
        <f>_xlfn.STDEV.S(B262:D262)</f>
        <v>0.26943710223869766</v>
      </c>
    </row>
    <row r="263" spans="1:11" ht="20.100000000000001" customHeight="1">
      <c r="A263" s="1">
        <v>13.416666666666666</v>
      </c>
      <c r="B263" s="1">
        <f t="shared" si="8"/>
        <v>4.1201671760000069</v>
      </c>
      <c r="C263" s="1">
        <f t="shared" si="6"/>
        <v>3.6174290588235349</v>
      </c>
      <c r="D263" s="1">
        <f t="shared" si="7"/>
        <v>3.9811746780000021</v>
      </c>
      <c r="E263" s="1" t="str">
        <f>""</f>
        <v/>
      </c>
      <c r="F263" s="1" t="str">
        <f>""</f>
        <v/>
      </c>
      <c r="G263" s="1">
        <f>$B$9+$B$10*EXP(-$B$11*A263)</f>
        <v>4.1476589577201786</v>
      </c>
      <c r="H263" s="1">
        <f>$C$9+$C$10*EXP(-$C$11*A263)</f>
        <v>3.5672729629596023</v>
      </c>
      <c r="I263" s="1">
        <f>$D$9+$D$10*EXP(-$D$11*A263)</f>
        <v>3.957349399217053</v>
      </c>
      <c r="J263" s="1">
        <f>AVERAGE(B263:D263)</f>
        <v>3.9062569709411812</v>
      </c>
      <c r="K263" s="1">
        <f>_xlfn.STDEV.S(B263:D263)</f>
        <v>0.25960720471271492</v>
      </c>
    </row>
    <row r="264" spans="1:11" ht="20.100000000000001" customHeight="1">
      <c r="A264" s="1">
        <v>13.5</v>
      </c>
      <c r="B264" s="1">
        <f t="shared" si="8"/>
        <v>4.1126916080000022</v>
      </c>
      <c r="C264" s="1">
        <f t="shared" si="6"/>
        <v>3.6104782326981084</v>
      </c>
      <c r="D264" s="1">
        <f t="shared" si="7"/>
        <v>3.9791099999999999</v>
      </c>
      <c r="E264" s="1" t="str">
        <f>""</f>
        <v/>
      </c>
      <c r="F264" s="1" t="str">
        <f>""</f>
        <v/>
      </c>
      <c r="G264" s="1">
        <f>$B$9+$B$10*EXP(-$B$11*A264)</f>
        <v>4.1410796156991578</v>
      </c>
      <c r="H264" s="1">
        <f>$C$9+$C$10*EXP(-$C$11*A264)</f>
        <v>3.5646991367014871</v>
      </c>
      <c r="I264" s="1">
        <f>$D$9+$D$10*EXP(-$D$11*A264)</f>
        <v>3.9536223601028779</v>
      </c>
      <c r="J264" s="1">
        <f>AVERAGE(B264:D264)</f>
        <v>3.9007599468993703</v>
      </c>
      <c r="K264" s="1">
        <f>_xlfn.STDEV.S(B264:D264)</f>
        <v>0.26011269999499032</v>
      </c>
    </row>
    <row r="265" spans="1:11" ht="20.100000000000001" customHeight="1">
      <c r="A265" s="1">
        <v>13.583333333333334</v>
      </c>
      <c r="B265" s="1">
        <f t="shared" si="8"/>
        <v>4.1106199999999999</v>
      </c>
      <c r="C265" s="1">
        <f t="shared" si="6"/>
        <v>3.5961855479999896</v>
      </c>
      <c r="D265" s="1">
        <f t="shared" si="7"/>
        <v>3.9784952588282554</v>
      </c>
      <c r="E265" s="1" t="str">
        <f>""</f>
        <v/>
      </c>
      <c r="F265" s="1" t="str">
        <f>""</f>
        <v/>
      </c>
      <c r="G265" s="1">
        <f>$B$9+$B$10*EXP(-$B$11*A265)</f>
        <v>4.1345845832259611</v>
      </c>
      <c r="H265" s="1">
        <f>$C$9+$C$10*EXP(-$C$11*A265)</f>
        <v>3.5621823492928737</v>
      </c>
      <c r="I265" s="1">
        <f>$D$9+$D$10*EXP(-$D$11*A265)</f>
        <v>3.9499611099377159</v>
      </c>
      <c r="J265" s="1">
        <f>AVERAGE(B265:D265)</f>
        <v>3.8951002689427483</v>
      </c>
      <c r="K265" s="1">
        <f>_xlfn.STDEV.S(B265:D265)</f>
        <v>0.26716426520895459</v>
      </c>
    </row>
    <row r="266" spans="1:11" ht="20.100000000000001" customHeight="1">
      <c r="A266" s="1">
        <v>13.666666666666666</v>
      </c>
      <c r="B266" s="1">
        <f t="shared" si="8"/>
        <v>4.1090317647058958</v>
      </c>
      <c r="C266" s="1">
        <f t="shared" si="6"/>
        <v>3.6056419040000076</v>
      </c>
      <c r="D266" s="1">
        <f t="shared" si="7"/>
        <v>3.9732145913078152</v>
      </c>
      <c r="E266" s="1" t="str">
        <f>""</f>
        <v/>
      </c>
      <c r="F266" s="1" t="str">
        <f>""</f>
        <v/>
      </c>
      <c r="G266" s="1">
        <f>$B$9+$B$10*EXP(-$B$11*A266)</f>
        <v>4.1281727799342187</v>
      </c>
      <c r="H266" s="1">
        <f>$C$9+$C$10*EXP(-$C$11*A266)</f>
        <v>3.5597213366894835</v>
      </c>
      <c r="I266" s="1">
        <f>$D$9+$D$10*EXP(-$D$11*A266)</f>
        <v>3.9463644874281973</v>
      </c>
      <c r="J266" s="1">
        <f>AVERAGE(B266:D266)</f>
        <v>3.8959627533379062</v>
      </c>
      <c r="K266" s="1">
        <f>_xlfn.STDEV.S(B266:D266)</f>
        <v>0.26043468052022217</v>
      </c>
    </row>
    <row r="267" spans="1:11" ht="20.100000000000001" customHeight="1">
      <c r="A267" s="1">
        <v>13.75</v>
      </c>
      <c r="B267" s="1">
        <f t="shared" si="8"/>
        <v>4.0950237793380193</v>
      </c>
      <c r="C267" s="1">
        <f t="shared" si="6"/>
        <v>3.598297870000001</v>
      </c>
      <c r="D267" s="1">
        <f t="shared" si="7"/>
        <v>3.9724361095505598</v>
      </c>
      <c r="E267" s="1" t="str">
        <f>""</f>
        <v/>
      </c>
      <c r="F267" s="1" t="str">
        <f>""</f>
        <v/>
      </c>
      <c r="G267" s="1">
        <f>$B$9+$B$10*EXP(-$B$11*A267)</f>
        <v>4.1218431393016797</v>
      </c>
      <c r="H267" s="1">
        <f>$C$9+$C$10*EXP(-$C$11*A267)</f>
        <v>3.5573148628596658</v>
      </c>
      <c r="I267" s="1">
        <f>$D$9+$D$10*EXP(-$D$11*A267)</f>
        <v>3.9428313517798705</v>
      </c>
      <c r="J267" s="1">
        <f>AVERAGE(B267:D267)</f>
        <v>3.8885859196295272</v>
      </c>
      <c r="K267" s="1">
        <f>_xlfn.STDEV.S(B267:D267)</f>
        <v>0.25876108288200006</v>
      </c>
    </row>
    <row r="268" spans="1:11" ht="20.100000000000001" customHeight="1">
      <c r="A268" s="1">
        <v>13.833333333333334</v>
      </c>
      <c r="B268" s="1">
        <f t="shared" si="8"/>
        <v>4.0905949039999934</v>
      </c>
      <c r="C268" s="1">
        <f t="shared" si="6"/>
        <v>3.5969013683788149</v>
      </c>
      <c r="D268" s="1">
        <f t="shared" si="7"/>
        <v>3.9724804760000048</v>
      </c>
      <c r="E268" s="1" t="str">
        <f>""</f>
        <v/>
      </c>
      <c r="F268" s="1" t="str">
        <f>""</f>
        <v/>
      </c>
      <c r="G268" s="1">
        <f>$B$9+$B$10*EXP(-$B$11*A268)</f>
        <v>4.1155946084728132</v>
      </c>
      <c r="H268" s="1">
        <f>$C$9+$C$10*EXP(-$C$11*A268)</f>
        <v>3.5549617191636029</v>
      </c>
      <c r="I268" s="1">
        <f>$D$9+$D$10*EXP(-$D$11*A268)</f>
        <v>3.9393605823353592</v>
      </c>
      <c r="J268" s="1">
        <f>AVERAGE(B268:D268)</f>
        <v>3.886658916126271</v>
      </c>
      <c r="K268" s="1">
        <f>_xlfn.STDEV.S(B268:D268)</f>
        <v>0.2577931959592914</v>
      </c>
    </row>
    <row r="269" spans="1:11" ht="20.100000000000001" customHeight="1">
      <c r="A269" s="1">
        <v>13.916666666666666</v>
      </c>
      <c r="B269" s="1">
        <f t="shared" si="8"/>
        <v>4.0965338904494404</v>
      </c>
      <c r="C269" s="1">
        <f t="shared" si="6"/>
        <v>3.5943127252791052</v>
      </c>
      <c r="D269" s="1">
        <f t="shared" si="7"/>
        <v>3.9573024759999966</v>
      </c>
      <c r="E269" s="1" t="str">
        <f>""</f>
        <v/>
      </c>
      <c r="F269" s="1" t="str">
        <f>""</f>
        <v/>
      </c>
      <c r="G269" s="1">
        <f>$B$9+$B$10*EXP(-$B$11*A269)</f>
        <v>4.1094261480836751</v>
      </c>
      <c r="H269" s="1">
        <f>$C$9+$C$10*EXP(-$C$11*A269)</f>
        <v>3.5526607237462793</v>
      </c>
      <c r="I269" s="1">
        <f>$D$9+$D$10*EXP(-$D$11*A269)</f>
        <v>3.9359510782189084</v>
      </c>
      <c r="J269" s="1">
        <f>AVERAGE(B269:D269)</f>
        <v>3.8827163639095144</v>
      </c>
      <c r="K269" s="1">
        <f>_xlfn.STDEV.S(B269:D269)</f>
        <v>0.25928524981927298</v>
      </c>
    </row>
    <row r="270" spans="1:11" ht="20.100000000000001" customHeight="1">
      <c r="A270" s="1">
        <v>14</v>
      </c>
      <c r="B270" s="1">
        <f t="shared" si="8"/>
        <v>4.0928342344497661</v>
      </c>
      <c r="C270" s="1">
        <f t="shared" si="6"/>
        <v>3.5979288463081902</v>
      </c>
      <c r="D270" s="1">
        <f t="shared" si="7"/>
        <v>3.9661917140000034</v>
      </c>
      <c r="E270" s="1" t="str">
        <f>""</f>
        <v/>
      </c>
      <c r="F270" s="1" t="str">
        <f>""</f>
        <v/>
      </c>
      <c r="G270" s="1">
        <f>$B$9+$B$10*EXP(-$B$11*A270)</f>
        <v>4.1033367320890237</v>
      </c>
      <c r="H270" s="1">
        <f>$C$9+$C$10*EXP(-$C$11*A270)</f>
        <v>3.5504107209438991</v>
      </c>
      <c r="I270" s="1">
        <f>$D$9+$D$10*EXP(-$D$11*A270)</f>
        <v>3.9326017579871992</v>
      </c>
      <c r="J270" s="1">
        <f>AVERAGE(B270:D270)</f>
        <v>3.8856515982526534</v>
      </c>
      <c r="K270" s="1">
        <f>_xlfn.STDEV.S(B270:D270)</f>
        <v>0.25709505729659293</v>
      </c>
    </row>
    <row r="271" spans="1:11" ht="20.100000000000001" customHeight="1">
      <c r="A271" s="1">
        <v>14.083333333333334</v>
      </c>
      <c r="B271" s="1">
        <f t="shared" si="8"/>
        <v>4.0799622191011196</v>
      </c>
      <c r="C271" s="1">
        <f t="shared" si="6"/>
        <v>3.5939362138844295</v>
      </c>
      <c r="D271" s="1">
        <f t="shared" si="7"/>
        <v>3.9557755145436286</v>
      </c>
      <c r="E271" s="1" t="str">
        <f>""</f>
        <v/>
      </c>
      <c r="F271" s="1" t="str">
        <f>""</f>
        <v/>
      </c>
      <c r="G271" s="1">
        <f>$B$9+$B$10*EXP(-$B$11*A271)</f>
        <v>4.0973253475916538</v>
      </c>
      <c r="H271" s="1">
        <f>$C$9+$C$10*EXP(-$C$11*A271)</f>
        <v>3.5482105807034605</v>
      </c>
      <c r="I271" s="1">
        <f>$D$9+$D$10*EXP(-$D$11*A271)</f>
        <v>3.9293115592863361</v>
      </c>
      <c r="J271" s="1">
        <f>AVERAGE(B271:D271)</f>
        <v>3.8765579825097256</v>
      </c>
      <c r="K271" s="1">
        <f>_xlfn.STDEV.S(B271:D271)</f>
        <v>0.25251115316532119</v>
      </c>
    </row>
    <row r="272" spans="1:11" ht="20.100000000000001" customHeight="1">
      <c r="A272" s="1">
        <v>14.166666666666666</v>
      </c>
      <c r="B272" s="1">
        <f t="shared" si="8"/>
        <v>4.0839641899999997</v>
      </c>
      <c r="C272" s="1">
        <f t="shared" si="6"/>
        <v>3.5944425697767191</v>
      </c>
      <c r="D272" s="1">
        <f t="shared" si="7"/>
        <v>3.9620556450648086</v>
      </c>
      <c r="E272" s="1" t="str">
        <f>""</f>
        <v/>
      </c>
      <c r="F272" s="1" t="str">
        <f>""</f>
        <v/>
      </c>
      <c r="G272" s="1">
        <f>$B$9+$B$10*EXP(-$B$11*A272)</f>
        <v>4.0913909946739073</v>
      </c>
      <c r="H272" s="1">
        <f>$C$9+$C$10*EXP(-$C$11*A272)</f>
        <v>3.5460591980151914</v>
      </c>
      <c r="I272" s="1">
        <f>$D$9+$D$10*EXP(-$D$11*A272)</f>
        <v>3.9260794385148814</v>
      </c>
      <c r="J272" s="1">
        <f>AVERAGE(B272:D272)</f>
        <v>3.8801541349471758</v>
      </c>
      <c r="K272" s="1">
        <f>_xlfn.STDEV.S(B272:D272)</f>
        <v>0.25483082071477925</v>
      </c>
    </row>
    <row r="273" spans="1:11" ht="20.100000000000001" customHeight="1">
      <c r="A273" s="1">
        <v>14.25</v>
      </c>
      <c r="B273" s="1">
        <f t="shared" si="8"/>
        <v>4.0819302380000027</v>
      </c>
      <c r="C273" s="1">
        <f t="shared" si="6"/>
        <v>3.5904762138844295</v>
      </c>
      <c r="D273" s="1">
        <f t="shared" si="7"/>
        <v>3.9551423771313932</v>
      </c>
      <c r="E273" s="1" t="str">
        <f>""</f>
        <v/>
      </c>
      <c r="F273" s="1" t="str">
        <f>""</f>
        <v/>
      </c>
      <c r="G273" s="1">
        <f>$B$9+$B$10*EXP(-$B$11*A273)</f>
        <v>4.0855326862313568</v>
      </c>
      <c r="H273" s="1">
        <f>$C$9+$C$10*EXP(-$C$11*A273)</f>
        <v>3.5439554923575649</v>
      </c>
      <c r="I273" s="1">
        <f>$D$9+$D$10*EXP(-$D$11*A273)</f>
        <v>3.9229043704928408</v>
      </c>
      <c r="J273" s="1">
        <f>AVERAGE(B273:D273)</f>
        <v>3.8758496096719419</v>
      </c>
      <c r="K273" s="1">
        <f>_xlfn.STDEV.S(B273:D273)</f>
        <v>0.2551416698294921</v>
      </c>
    </row>
    <row r="274" spans="1:11" ht="20.100000000000001" customHeight="1">
      <c r="A274" s="1">
        <v>14.333333333333334</v>
      </c>
      <c r="B274" s="1">
        <f t="shared" si="8"/>
        <v>4.0738358100000003</v>
      </c>
      <c r="C274" s="1">
        <f t="shared" si="6"/>
        <v>3.5913705100000013</v>
      </c>
      <c r="D274" s="1">
        <f t="shared" si="7"/>
        <v>3.9568010960000017</v>
      </c>
      <c r="E274" s="1" t="str">
        <f>""</f>
        <v/>
      </c>
      <c r="F274" s="1" t="str">
        <f>""</f>
        <v/>
      </c>
      <c r="G274" s="1">
        <f>$B$9+$B$10*EXP(-$B$11*A274)</f>
        <v>4.0797494478086085</v>
      </c>
      <c r="H274" s="1">
        <f>$C$9+$C$10*EXP(-$C$11*A274)</f>
        <v>3.5418984071546098</v>
      </c>
      <c r="I274" s="1">
        <f>$D$9+$D$10*EXP(-$D$11*A274)</f>
        <v>3.9197853481364922</v>
      </c>
      <c r="J274" s="1">
        <f>AVERAGE(B274:D274)</f>
        <v>3.8740024720000008</v>
      </c>
      <c r="K274" s="1">
        <f>_xlfn.STDEV.S(B274:D274)</f>
        <v>0.25166426152364657</v>
      </c>
    </row>
    <row r="275" spans="1:11" ht="20.100000000000001" customHeight="1">
      <c r="A275" s="1">
        <v>14.416666666666666</v>
      </c>
      <c r="B275" s="1">
        <f t="shared" si="8"/>
        <v>4.0737210110331024</v>
      </c>
      <c r="C275" s="1">
        <f t="shared" si="6"/>
        <v>3.5887916160000151</v>
      </c>
      <c r="D275" s="1">
        <f t="shared" si="7"/>
        <v>3.9536007400000006</v>
      </c>
      <c r="E275" s="1" t="str">
        <f>""</f>
        <v/>
      </c>
      <c r="F275" s="1" t="str">
        <f>""</f>
        <v/>
      </c>
      <c r="G275" s="1">
        <f>$B$9+$B$10*EXP(-$B$11*A275)</f>
        <v>4.0740403174372162</v>
      </c>
      <c r="H275" s="1">
        <f>$C$9+$C$10*EXP(-$C$11*A275)</f>
        <v>3.5398869092452543</v>
      </c>
      <c r="I275" s="1">
        <f>$D$9+$D$10*EXP(-$D$11*A275)</f>
        <v>3.9167213821389546</v>
      </c>
      <c r="J275" s="1">
        <f>AVERAGE(B275:D275)</f>
        <v>3.8720377890110398</v>
      </c>
      <c r="K275" s="1">
        <f>_xlfn.STDEV.S(B275:D275)</f>
        <v>0.25254408678943518</v>
      </c>
    </row>
    <row r="276" spans="1:11" ht="20.100000000000001" customHeight="1">
      <c r="A276" s="1">
        <v>14.5</v>
      </c>
      <c r="B276" s="1">
        <f t="shared" si="8"/>
        <v>4.0644799999999996</v>
      </c>
      <c r="C276" s="1">
        <f t="shared" si="6"/>
        <v>3.5765099999999999</v>
      </c>
      <c r="D276" s="1">
        <f t="shared" si="7"/>
        <v>3.9518021920000028</v>
      </c>
      <c r="E276" s="1" t="str">
        <f>""</f>
        <v/>
      </c>
      <c r="F276" s="1" t="str">
        <f>""</f>
        <v/>
      </c>
      <c r="G276" s="1">
        <f>$B$9+$B$10*EXP(-$B$11*A276)</f>
        <v>4.0684043454756678</v>
      </c>
      <c r="H276" s="1">
        <f>$C$9+$C$10*EXP(-$C$11*A276)</f>
        <v>3.5379199883644228</v>
      </c>
      <c r="I276" s="1">
        <f>$D$9+$D$10*EXP(-$D$11*A276)</f>
        <v>3.9137115006563943</v>
      </c>
      <c r="J276" s="1">
        <f>AVERAGE(B276:D276)</f>
        <v>3.8642640640000008</v>
      </c>
      <c r="K276" s="1">
        <f>_xlfn.STDEV.S(B276:D276)</f>
        <v>0.25549143452434664</v>
      </c>
    </row>
    <row r="277" spans="1:11" ht="20.100000000000001" customHeight="1">
      <c r="A277" s="1">
        <v>14.583333333333334</v>
      </c>
      <c r="B277" s="1">
        <f t="shared" si="8"/>
        <v>4.0646061885656968</v>
      </c>
      <c r="C277" s="1">
        <f t="shared" si="6"/>
        <v>3.5755974543630979</v>
      </c>
      <c r="D277" s="1">
        <f t="shared" si="7"/>
        <v>3.9461798274478319</v>
      </c>
      <c r="E277" s="1" t="str">
        <f>""</f>
        <v/>
      </c>
      <c r="F277" s="1" t="str">
        <f>""</f>
        <v/>
      </c>
      <c r="G277" s="1">
        <f>$B$9+$B$10*EXP(-$B$11*A277)</f>
        <v>4.0628405944514272</v>
      </c>
      <c r="H277" s="1">
        <f>$C$9+$C$10*EXP(-$C$11*A277)</f>
        <v>3.5359966566356364</v>
      </c>
      <c r="I277" s="1">
        <f>$D$9+$D$10*EXP(-$D$11*A277)</f>
        <v>3.9107547489997696</v>
      </c>
      <c r="J277" s="1">
        <f>AVERAGE(B277:D277)</f>
        <v>3.8621278234588754</v>
      </c>
      <c r="K277" s="1">
        <f>_xlfn.STDEV.S(B277:D277)</f>
        <v>0.25510966281684949</v>
      </c>
    </row>
    <row r="278" spans="1:11" ht="20.100000000000001" customHeight="1">
      <c r="A278" s="1">
        <v>14.666666666666666</v>
      </c>
      <c r="B278" s="1">
        <f t="shared" si="8"/>
        <v>4.0644595425361185</v>
      </c>
      <c r="C278" s="1">
        <f t="shared" si="6"/>
        <v>3.569361254237279</v>
      </c>
      <c r="D278" s="1">
        <f t="shared" si="7"/>
        <v>3.9489402312599662</v>
      </c>
      <c r="E278" s="1" t="str">
        <f>""</f>
        <v/>
      </c>
      <c r="F278" s="1" t="str">
        <f>""</f>
        <v/>
      </c>
      <c r="G278" s="1">
        <f>$B$9+$B$10*EXP(-$B$11*A278)</f>
        <v>4.0573481389049952</v>
      </c>
      <c r="H278" s="1">
        <f>$C$9+$C$10*EXP(-$C$11*A278)</f>
        <v>3.5341159480748563</v>
      </c>
      <c r="I278" s="1">
        <f>$D$9+$D$10*EXP(-$D$11*A278)</f>
        <v>3.9078501893320192</v>
      </c>
      <c r="J278" s="1">
        <f>AVERAGE(B278:D278)</f>
        <v>3.8609203426777881</v>
      </c>
      <c r="K278" s="1">
        <f>_xlfn.STDEV.S(B278:D278)</f>
        <v>0.25901969878490805</v>
      </c>
    </row>
    <row r="279" spans="1:11" ht="20.100000000000001" customHeight="1">
      <c r="A279" s="1">
        <v>14.75</v>
      </c>
      <c r="B279" s="1">
        <f t="shared" si="8"/>
        <v>4.0545851156299832</v>
      </c>
      <c r="C279" s="1">
        <f t="shared" si="6"/>
        <v>3.5759882226680091</v>
      </c>
      <c r="D279" s="1">
        <f t="shared" si="7"/>
        <v>3.9386003250401287</v>
      </c>
      <c r="E279" s="1" t="str">
        <f>""</f>
        <v/>
      </c>
      <c r="F279" s="1" t="str">
        <f>""</f>
        <v/>
      </c>
      <c r="G279" s="1">
        <f>$B$9+$B$10*EXP(-$B$11*A279)</f>
        <v>4.051926065235973</v>
      </c>
      <c r="H279" s="1">
        <f>$C$9+$C$10*EXP(-$C$11*A279)</f>
        <v>3.5322769181053233</v>
      </c>
      <c r="I279" s="1">
        <f>$D$9+$D$10*EXP(-$D$11*A279)</f>
        <v>3.9049969003705947</v>
      </c>
      <c r="J279" s="1">
        <f>AVERAGE(B279:D279)</f>
        <v>3.8563912211127072</v>
      </c>
      <c r="K279" s="1">
        <f>_xlfn.STDEV.S(B279:D279)</f>
        <v>0.24966477337547252</v>
      </c>
    </row>
    <row r="280" spans="1:11" ht="20.100000000000001" customHeight="1">
      <c r="A280" s="1">
        <v>14.833333333333334</v>
      </c>
      <c r="B280" s="1">
        <f t="shared" si="8"/>
        <v>4.049219522471911</v>
      </c>
      <c r="C280" s="1">
        <f t="shared" si="6"/>
        <v>3.5701560000000172</v>
      </c>
      <c r="D280" s="1">
        <f t="shared" si="7"/>
        <v>3.937180023999999</v>
      </c>
      <c r="E280" s="1" t="str">
        <f>""</f>
        <v/>
      </c>
      <c r="F280" s="1" t="str">
        <f>""</f>
        <v/>
      </c>
      <c r="G280" s="1">
        <f>$B$9+$B$10*EXP(-$B$11*A280)</f>
        <v>4.0465734715510964</v>
      </c>
      <c r="H280" s="1">
        <f>$C$9+$C$10*EXP(-$C$11*A280)</f>
        <v>3.5304786430831494</v>
      </c>
      <c r="I280" s="1">
        <f>$D$9+$D$10*EXP(-$D$11*A280)</f>
        <v>3.9021939770952425</v>
      </c>
      <c r="J280" s="1">
        <f>AVERAGE(B280:D280)</f>
        <v>3.8521851821573088</v>
      </c>
      <c r="K280" s="1">
        <f>_xlfn.STDEV.S(B280:D280)</f>
        <v>0.25058642620000904</v>
      </c>
    </row>
    <row r="281" spans="1:11" ht="20.100000000000001" customHeight="1">
      <c r="A281" s="1">
        <v>14.916666666666666</v>
      </c>
      <c r="B281" s="1">
        <f t="shared" si="8"/>
        <v>4.0481040480000026</v>
      </c>
      <c r="C281" s="1">
        <f t="shared" si="6"/>
        <v>3.5579569879999893</v>
      </c>
      <c r="D281" s="1">
        <f t="shared" si="7"/>
        <v>3.9327816934189386</v>
      </c>
      <c r="E281" s="1" t="str">
        <f>""</f>
        <v/>
      </c>
      <c r="F281" s="1" t="str">
        <f>""</f>
        <v/>
      </c>
      <c r="G281" s="1">
        <f>$B$9+$B$10*EXP(-$B$11*A281)</f>
        <v>4.0412894675142139</v>
      </c>
      <c r="H281" s="1">
        <f>$C$9+$C$10*EXP(-$C$11*A281)</f>
        <v>3.5287202198334207</v>
      </c>
      <c r="I281" s="1">
        <f>$D$9+$D$10*EXP(-$D$11*A281)</f>
        <v>3.8994405304609452</v>
      </c>
      <c r="J281" s="1">
        <f>AVERAGE(B281:D281)</f>
        <v>3.8462809098063104</v>
      </c>
      <c r="K281" s="1">
        <f>_xlfn.STDEV.S(B281:D281)</f>
        <v>0.25626709558752025</v>
      </c>
    </row>
    <row r="282" spans="1:11" ht="20.100000000000001" customHeight="1">
      <c r="A282" s="1">
        <v>15</v>
      </c>
      <c r="B282" s="1">
        <f t="shared" si="8"/>
        <v>4.0539159759999972</v>
      </c>
      <c r="C282" s="1">
        <f t="shared" si="6"/>
        <v>3.5665199759999959</v>
      </c>
      <c r="D282" s="1">
        <f t="shared" si="7"/>
        <v>3.9235368421052597</v>
      </c>
      <c r="E282" s="1" t="str">
        <f>""</f>
        <v/>
      </c>
      <c r="F282" s="1" t="str">
        <f>""</f>
        <v/>
      </c>
      <c r="G282" s="1">
        <f>$B$9+$B$10*EXP(-$B$11*A282)</f>
        <v>4.0360731741981946</v>
      </c>
      <c r="H282" s="1">
        <f>$C$9+$C$10*EXP(-$C$11*A282)</f>
        <v>3.5270007651965827</v>
      </c>
      <c r="I282" s="1">
        <f>$D$9+$D$10*EXP(-$D$11*A282)</f>
        <v>3.8967356871159304</v>
      </c>
      <c r="J282" s="1">
        <f>AVERAGE(B282:D282)</f>
        <v>3.8479909313684177</v>
      </c>
      <c r="K282" s="1">
        <f>_xlfn.STDEV.S(B282:D282)</f>
        <v>0.25232737401200545</v>
      </c>
    </row>
    <row r="283" spans="1:11" ht="20.100000000000001" customHeight="1">
      <c r="A283" s="1">
        <v>15.083333333333334</v>
      </c>
      <c r="B283" s="1">
        <f t="shared" si="8"/>
        <v>4.0422430359999968</v>
      </c>
      <c r="C283" s="1">
        <f t="shared" si="6"/>
        <v>3.5687774799358025</v>
      </c>
      <c r="D283" s="1">
        <f t="shared" si="7"/>
        <v>3.9303921067415728</v>
      </c>
      <c r="E283" s="1" t="str">
        <f>""</f>
        <v/>
      </c>
      <c r="F283" s="1" t="str">
        <f>""</f>
        <v/>
      </c>
      <c r="G283" s="1">
        <f>$B$9+$B$10*EXP(-$B$11*A283)</f>
        <v>4.0309237239387272</v>
      </c>
      <c r="H283" s="1">
        <f>$C$9+$C$10*EXP(-$C$11*A283)</f>
        <v>3.5253194155848782</v>
      </c>
      <c r="I283" s="1">
        <f>$D$9+$D$10*EXP(-$D$11*A283)</f>
        <v>3.894078589124657</v>
      </c>
      <c r="J283" s="1">
        <f>AVERAGE(B283:D283)</f>
        <v>3.8471375408924575</v>
      </c>
      <c r="K283" s="1">
        <f>_xlfn.STDEV.S(B283:D283)</f>
        <v>0.24746898845277096</v>
      </c>
    </row>
    <row r="284" spans="1:11" ht="20.100000000000001" customHeight="1">
      <c r="A284" s="1">
        <v>15.166666666666666</v>
      </c>
      <c r="B284" s="1">
        <f t="shared" si="8"/>
        <v>4.0326261998394886</v>
      </c>
      <c r="C284" s="1">
        <f t="shared" si="6"/>
        <v>3.5629335526315775</v>
      </c>
      <c r="D284" s="1">
        <f t="shared" si="7"/>
        <v>3.9267008605817528</v>
      </c>
      <c r="E284" s="1" t="str">
        <f>""</f>
        <v/>
      </c>
      <c r="F284" s="1" t="str">
        <f>""</f>
        <v/>
      </c>
      <c r="G284" s="1">
        <f>$B$9+$B$10*EXP(-$B$11*A284)</f>
        <v>4.0258402601899981</v>
      </c>
      <c r="H284" s="1">
        <f>$C$9+$C$10*EXP(-$C$11*A284)</f>
        <v>3.5236753265486138</v>
      </c>
      <c r="I284" s="1">
        <f>$D$9+$D$10*EXP(-$D$11*A284)</f>
        <v>3.89146839369569</v>
      </c>
      <c r="J284" s="1">
        <f>AVERAGE(B284:D284)</f>
        <v>3.840753537684273</v>
      </c>
      <c r="K284" s="1">
        <f>_xlfn.STDEV.S(B284:D284)</f>
        <v>0.24635949838645668</v>
      </c>
    </row>
    <row r="285" spans="1:11" ht="20.100000000000001" customHeight="1">
      <c r="A285" s="1">
        <v>15.25</v>
      </c>
      <c r="B285" s="1">
        <f t="shared" si="8"/>
        <v>4.0436396052631629</v>
      </c>
      <c r="C285" s="1">
        <f t="shared" si="6"/>
        <v>3.5638995866773779</v>
      </c>
      <c r="D285" s="1">
        <f t="shared" si="7"/>
        <v>3.9153503349950105</v>
      </c>
      <c r="E285" s="1" t="str">
        <f>""</f>
        <v/>
      </c>
      <c r="F285" s="1" t="str">
        <f>""</f>
        <v/>
      </c>
      <c r="G285" s="1">
        <f>$B$9+$B$10*EXP(-$B$11*A285)</f>
        <v>4.0208219373822116</v>
      </c>
      <c r="H285" s="1">
        <f>$C$9+$C$10*EXP(-$C$11*A285)</f>
        <v>3.5220676723520401</v>
      </c>
      <c r="I285" s="1">
        <f>$D$9+$D$10*EXP(-$D$11*A285)</f>
        <v>3.8889042729143806</v>
      </c>
      <c r="J285" s="1">
        <f>AVERAGE(B285:D285)</f>
        <v>3.8409631756451836</v>
      </c>
      <c r="K285" s="1">
        <f>_xlfn.STDEV.S(B285:D285)</f>
        <v>0.24837010380735181</v>
      </c>
    </row>
    <row r="286" spans="1:11" ht="20.100000000000001" customHeight="1">
      <c r="A286" s="1">
        <v>15.333333333333334</v>
      </c>
      <c r="B286" s="1">
        <f t="shared" si="8"/>
        <v>4.033409586677366</v>
      </c>
      <c r="C286" s="1">
        <f t="shared" si="6"/>
        <v>3.5560144279999988</v>
      </c>
      <c r="D286" s="1">
        <f t="shared" si="7"/>
        <v>3.9211547462387175</v>
      </c>
      <c r="E286" s="1" t="str">
        <f>""</f>
        <v/>
      </c>
      <c r="F286" s="1" t="str">
        <f>""</f>
        <v/>
      </c>
      <c r="G286" s="1">
        <f>$B$9+$B$10*EXP(-$B$11*A286)</f>
        <v>4.0158679207809431</v>
      </c>
      <c r="H286" s="1">
        <f>$C$9+$C$10*EXP(-$C$11*A286)</f>
        <v>3.5204956455586291</v>
      </c>
      <c r="I286" s="1">
        <f>$D$9+$D$10*EXP(-$D$11*A286)</f>
        <v>3.8863854134802627</v>
      </c>
      <c r="J286" s="1">
        <f>AVERAGE(B286:D286)</f>
        <v>3.8368595869720274</v>
      </c>
      <c r="K286" s="1">
        <f>_xlfn.STDEV.S(B286:D286)</f>
        <v>0.24961127736741914</v>
      </c>
    </row>
    <row r="287" spans="1:11" ht="20.100000000000001" customHeight="1">
      <c r="A287" s="1">
        <v>15.416666666666666</v>
      </c>
      <c r="B287" s="1">
        <f t="shared" si="8"/>
        <v>4.0255244279999989</v>
      </c>
      <c r="C287" s="1">
        <f t="shared" si="6"/>
        <v>3.5575011440000028</v>
      </c>
      <c r="D287" s="1">
        <f t="shared" si="7"/>
        <v>3.9191199999999999</v>
      </c>
      <c r="E287" s="1" t="str">
        <f>""</f>
        <v/>
      </c>
      <c r="F287" s="1" t="str">
        <f>""</f>
        <v/>
      </c>
      <c r="G287" s="1">
        <f>$B$9+$B$10*EXP(-$B$11*A287)</f>
        <v>4.0109773863482916</v>
      </c>
      <c r="H287" s="1">
        <f>$C$9+$C$10*EXP(-$C$11*A287)</f>
        <v>3.5189584566255432</v>
      </c>
      <c r="I287" s="1">
        <f>$D$9+$D$10*EXP(-$D$11*A287)</f>
        <v>3.8839110164490891</v>
      </c>
      <c r="J287" s="1">
        <f>AVERAGE(B287:D287)</f>
        <v>3.8340485240000004</v>
      </c>
      <c r="K287" s="1">
        <f>_xlfn.STDEV.S(B287:D287)</f>
        <v>0.24533510880660578</v>
      </c>
    </row>
    <row r="288" spans="1:11" ht="20.100000000000001" customHeight="1">
      <c r="A288" s="1">
        <v>15.5</v>
      </c>
      <c r="B288" s="1">
        <f t="shared" si="8"/>
        <v>4.0281088559999976</v>
      </c>
      <c r="C288" s="1">
        <f t="shared" si="6"/>
        <v>3.5535678079999995</v>
      </c>
      <c r="D288" s="1">
        <f t="shared" si="7"/>
        <v>3.918137074000005</v>
      </c>
      <c r="E288" s="1" t="str">
        <f>""</f>
        <v/>
      </c>
      <c r="F288" s="1" t="str">
        <f>""</f>
        <v/>
      </c>
      <c r="G288" s="1">
        <f>$B$9+$B$10*EXP(-$B$11*A288)</f>
        <v>4.0061495206058098</v>
      </c>
      <c r="H288" s="1">
        <f>$C$9+$C$10*EXP(-$C$11*A288)</f>
        <v>3.5174553335070913</v>
      </c>
      <c r="I288" s="1">
        <f>$D$9+$D$10*EXP(-$D$11*A288)</f>
        <v>3.8814802969794155</v>
      </c>
      <c r="J288" s="1">
        <f>AVERAGE(B288:D288)</f>
        <v>3.8332712460000007</v>
      </c>
      <c r="K288" s="1">
        <f>_xlfn.STDEV.S(B288:D288)</f>
        <v>0.24839274975495734</v>
      </c>
    </row>
    <row r="289" spans="1:11" ht="20.100000000000001" customHeight="1">
      <c r="A289" s="1">
        <v>15.583333333333334</v>
      </c>
      <c r="B289" s="1">
        <f t="shared" si="8"/>
        <v>4.0313567160000039</v>
      </c>
      <c r="C289" s="1">
        <f t="shared" si="6"/>
        <v>3.5545900000000001</v>
      </c>
      <c r="D289" s="1">
        <f t="shared" si="7"/>
        <v>3.9113313579999982</v>
      </c>
      <c r="E289" s="1" t="str">
        <f>""</f>
        <v/>
      </c>
      <c r="F289" s="1" t="str">
        <f>""</f>
        <v/>
      </c>
      <c r="G289" s="1">
        <f>$B$9+$B$10*EXP(-$B$11*A289)</f>
        <v>4.0013835204991919</v>
      </c>
      <c r="H289" s="1">
        <f>$C$9+$C$10*EXP(-$C$11*A289)</f>
        <v>3.5159855212669724</v>
      </c>
      <c r="I289" s="1">
        <f>$D$9+$D$10*EXP(-$D$11*A289)</f>
        <v>3.879092484083662</v>
      </c>
      <c r="J289" s="1">
        <f>AVERAGE(B289:D289)</f>
        <v>3.8324260246666673</v>
      </c>
      <c r="K289" s="1">
        <f>_xlfn.STDEV.S(B289:D289)</f>
        <v>0.24798420129655455</v>
      </c>
    </row>
    <row r="290" spans="1:11" ht="20.100000000000001" customHeight="1">
      <c r="A290" s="1">
        <v>15.666666666666666</v>
      </c>
      <c r="B290" s="1">
        <f t="shared" si="8"/>
        <v>4.0253882226680036</v>
      </c>
      <c r="C290" s="1">
        <f t="shared" si="6"/>
        <v>3.5536026966292185</v>
      </c>
      <c r="D290" s="1">
        <f t="shared" si="7"/>
        <v>3.912513216292139</v>
      </c>
      <c r="E290" s="1" t="str">
        <f>""</f>
        <v/>
      </c>
      <c r="F290" s="1" t="str">
        <f>""</f>
        <v/>
      </c>
      <c r="G290" s="1">
        <f>$B$9+$B$10*EXP(-$B$11*A290)</f>
        <v>3.9966785932646998</v>
      </c>
      <c r="H290" s="1">
        <f>$C$9+$C$10*EXP(-$C$11*A290)</f>
        <v>3.5145482816991134</v>
      </c>
      <c r="I290" s="1">
        <f>$D$9+$D$10*EXP(-$D$11*A290)</f>
        <v>3.8767468203835675</v>
      </c>
      <c r="J290" s="1">
        <f>AVERAGE(B290:D290)</f>
        <v>3.830501378529787</v>
      </c>
      <c r="K290" s="1">
        <f>_xlfn.STDEV.S(B290:D290)</f>
        <v>0.24635310388706705</v>
      </c>
    </row>
    <row r="291" spans="1:11" ht="20.100000000000001" customHeight="1">
      <c r="A291" s="1">
        <v>15.75</v>
      </c>
      <c r="B291" s="1">
        <f t="shared" si="8"/>
        <v>4.025149497507484</v>
      </c>
      <c r="C291" s="1">
        <f t="shared" si="6"/>
        <v>3.5465100000000001</v>
      </c>
      <c r="D291" s="1">
        <f t="shared" si="7"/>
        <v>3.9067178289473681</v>
      </c>
      <c r="E291" s="1" t="str">
        <f>""</f>
        <v/>
      </c>
      <c r="F291" s="1" t="str">
        <f>""</f>
        <v/>
      </c>
      <c r="G291" s="1">
        <f>$B$9+$B$10*EXP(-$B$11*A291)</f>
        <v>3.9920339562972913</v>
      </c>
      <c r="H291" s="1">
        <f>$C$9+$C$10*EXP(-$C$11*A291)</f>
        <v>3.5131428929569073</v>
      </c>
      <c r="I291" s="1">
        <f>$D$9+$D$10*EXP(-$D$11*A291)</f>
        <v>3.8744425618699601</v>
      </c>
      <c r="J291" s="1">
        <f>AVERAGE(B291:D291)</f>
        <v>3.8261257754849507</v>
      </c>
      <c r="K291" s="1">
        <f>_xlfn.STDEV.S(B291:D291)</f>
        <v>0.24928949326941363</v>
      </c>
    </row>
    <row r="292" spans="1:11" ht="20.100000000000001" customHeight="1">
      <c r="A292" s="1">
        <v>15.833333333333334</v>
      </c>
      <c r="B292" s="1">
        <f t="shared" si="8"/>
        <v>4.0157547462387173</v>
      </c>
      <c r="C292" s="1">
        <f t="shared" si="6"/>
        <v>3.5463694803370793</v>
      </c>
      <c r="D292" s="1">
        <f t="shared" si="7"/>
        <v>3.9083172191011255</v>
      </c>
      <c r="E292" s="1" t="str">
        <f>""</f>
        <v/>
      </c>
      <c r="F292" s="1" t="str">
        <f>""</f>
        <v/>
      </c>
      <c r="G292" s="1">
        <f>$B$9+$B$10*EXP(-$B$11*A292)</f>
        <v>3.9874488370204477</v>
      </c>
      <c r="H292" s="1">
        <f>$C$9+$C$10*EXP(-$C$11*A292)</f>
        <v>3.5117686491906701</v>
      </c>
      <c r="I292" s="1">
        <f>$D$9+$D$10*EXP(-$D$11*A292)</f>
        <v>3.8721789776667697</v>
      </c>
      <c r="J292" s="1">
        <f>AVERAGE(B292:D292)</f>
        <v>3.8234804818923074</v>
      </c>
      <c r="K292" s="1">
        <f>_xlfn.STDEV.S(B292:D292)</f>
        <v>0.24592394341862364</v>
      </c>
    </row>
    <row r="293" spans="1:11" ht="20.100000000000001" customHeight="1">
      <c r="A293" s="1">
        <v>15.916666666666666</v>
      </c>
      <c r="B293" s="1">
        <f t="shared" si="8"/>
        <v>4.0137200000000002</v>
      </c>
      <c r="C293" s="1">
        <f t="shared" si="6"/>
        <v>3.5443500000000001</v>
      </c>
      <c r="D293" s="1">
        <f t="shared" si="7"/>
        <v>3.90513625</v>
      </c>
      <c r="E293" s="1" t="str">
        <f>""</f>
        <v/>
      </c>
      <c r="F293" s="1" t="str">
        <f>""</f>
        <v/>
      </c>
      <c r="G293" s="1">
        <f>$B$9+$B$10*EXP(-$B$11*A293)</f>
        <v>3.9829224727576644</v>
      </c>
      <c r="H293" s="1">
        <f>$C$9+$C$10*EXP(-$C$11*A293)</f>
        <v>3.5104248601931314</v>
      </c>
      <c r="I293" s="1">
        <f>$D$9+$D$10*EXP(-$D$11*A293)</f>
        <v>3.869955349799203</v>
      </c>
      <c r="J293" s="1">
        <f>AVERAGE(B293:D293)</f>
        <v>3.8210687500000002</v>
      </c>
      <c r="K293" s="1">
        <f>_xlfn.STDEV.S(B293:D293)</f>
        <v>0.24571845197743594</v>
      </c>
    </row>
    <row r="294" spans="1:11" ht="20.100000000000001" customHeight="1">
      <c r="A294" s="1">
        <v>16</v>
      </c>
      <c r="B294" s="1">
        <f t="shared" si="8"/>
        <v>4.0127358560000053</v>
      </c>
      <c r="C294" s="1">
        <f t="shared" si="6"/>
        <v>3.5380012499999998</v>
      </c>
      <c r="D294" s="1">
        <f t="shared" si="7"/>
        <v>3.90254375</v>
      </c>
      <c r="E294" s="1" t="str">
        <f>""</f>
        <v/>
      </c>
      <c r="F294" s="1" t="str">
        <f>""</f>
        <v/>
      </c>
      <c r="G294" s="1">
        <f>$B$9+$B$10*EXP(-$B$11*A294)</f>
        <v>3.9784541106055871</v>
      </c>
      <c r="H294" s="1">
        <f>$C$9+$C$10*EXP(-$C$11*A294)</f>
        <v>3.50911085105278</v>
      </c>
      <c r="I294" s="1">
        <f>$D$9+$D$10*EXP(-$D$11*A294)</f>
        <v>3.8677709729660159</v>
      </c>
      <c r="J294" s="1">
        <f>AVERAGE(B294:D294)</f>
        <v>3.817760285333335</v>
      </c>
      <c r="K294" s="1">
        <f>_xlfn.STDEV.S(B294:D294)</f>
        <v>0.24846410896577767</v>
      </c>
    </row>
    <row r="295" spans="1:11" ht="20.100000000000001" customHeight="1">
      <c r="A295" s="1">
        <v>16.083333333333332</v>
      </c>
      <c r="B295" s="1">
        <f t="shared" si="8"/>
        <v>4.0052185720000022</v>
      </c>
      <c r="C295" s="1">
        <f t="shared" ref="C295:C342" si="9">D782+($A295-C782)*(D783-D782)/(C783-C782)</f>
        <v>3.5427612500000003</v>
      </c>
      <c r="D295" s="1">
        <f t="shared" ref="D295:D342" si="10">D1025+($A295-C1025)*(D1026-D1025)/(C1026-C1025)</f>
        <v>3.8914399999999998</v>
      </c>
      <c r="E295" s="1" t="str">
        <f>""</f>
        <v/>
      </c>
      <c r="F295" s="1" t="str">
        <f>""</f>
        <v/>
      </c>
      <c r="G295" s="1">
        <f>$B$9+$B$10*EXP(-$B$11*A295)</f>
        <v>3.9740430073087807</v>
      </c>
      <c r="H295" s="1">
        <f>$C$9+$C$10*EXP(-$C$11*A295)</f>
        <v>3.5078259618148939</v>
      </c>
      <c r="I295" s="1">
        <f>$D$9+$D$10*EXP(-$D$11*A295)</f>
        <v>3.8656251543157998</v>
      </c>
      <c r="J295" s="1">
        <f>AVERAGE(B295:D295)</f>
        <v>3.8131399406666673</v>
      </c>
      <c r="K295" s="1">
        <f>_xlfn.STDEV.S(B295:D295)</f>
        <v>0.24096652907936383</v>
      </c>
    </row>
    <row r="296" spans="1:11" ht="20.100000000000001" customHeight="1">
      <c r="A296" s="1">
        <v>16.166666666666668</v>
      </c>
      <c r="B296" s="1">
        <f t="shared" si="8"/>
        <v>4.0020394803370793</v>
      </c>
      <c r="C296" s="1">
        <f t="shared" si="9"/>
        <v>3.539148657704656</v>
      </c>
      <c r="D296" s="1">
        <f t="shared" si="10"/>
        <v>3.8918738884430173</v>
      </c>
      <c r="E296" s="1" t="str">
        <f>""</f>
        <v/>
      </c>
      <c r="F296" s="1" t="str">
        <f>""</f>
        <v/>
      </c>
      <c r="G296" s="1">
        <f>$B$9+$B$10*EXP(-$B$11*A296)</f>
        <v>3.9696884291360925</v>
      </c>
      <c r="H296" s="1">
        <f>$C$9+$C$10*EXP(-$C$11*A296)</f>
        <v>3.506569547150082</v>
      </c>
      <c r="I296" s="1">
        <f>$D$9+$D$10*EXP(-$D$11*A296)</f>
        <v>3.8635172132272206</v>
      </c>
      <c r="J296" s="1">
        <f>AVERAGE(B296:D296)</f>
        <v>3.8110206754949174</v>
      </c>
      <c r="K296" s="1">
        <f>_xlfn.STDEV.S(B296:D296)</f>
        <v>0.24180552093025806</v>
      </c>
    </row>
    <row r="297" spans="1:11" ht="20.100000000000001" customHeight="1">
      <c r="A297" s="1">
        <v>16.25</v>
      </c>
      <c r="B297" s="1">
        <f t="shared" si="8"/>
        <v>4.0014624999999997</v>
      </c>
      <c r="C297" s="1">
        <f t="shared" si="9"/>
        <v>3.5293777492025442</v>
      </c>
      <c r="D297" s="1">
        <f t="shared" si="10"/>
        <v>3.8938674481658748</v>
      </c>
      <c r="E297" s="1" t="str">
        <f>""</f>
        <v/>
      </c>
      <c r="F297" s="1" t="str">
        <f>""</f>
        <v/>
      </c>
      <c r="G297" s="1">
        <f>$B$9+$B$10*EXP(-$B$11*A297)</f>
        <v>3.9653896517586102</v>
      </c>
      <c r="H297" s="1">
        <f>$C$9+$C$10*EXP(-$C$11*A297)</f>
        <v>3.5053409760301673</v>
      </c>
      <c r="I297" s="1">
        <f>$D$9+$D$10*EXP(-$D$11*A297)</f>
        <v>3.8614464810931359</v>
      </c>
      <c r="J297" s="1">
        <f>AVERAGE(B297:D297)</f>
        <v>3.8082358991228062</v>
      </c>
      <c r="K297" s="1">
        <f>_xlfn.STDEV.S(B297:D297)</f>
        <v>0.24741781388475348</v>
      </c>
    </row>
    <row r="298" spans="1:11" ht="20.100000000000001" customHeight="1">
      <c r="A298" s="1">
        <v>16.333333333333332</v>
      </c>
      <c r="B298" s="1">
        <f t="shared" ref="B298:B342" si="11">D543+($A298-C543)*(D544-D543)/(C544-C543)</f>
        <v>4.0030475000000001</v>
      </c>
      <c r="C298" s="1">
        <f t="shared" si="9"/>
        <v>3.5375722231139655</v>
      </c>
      <c r="D298" s="1">
        <f t="shared" si="10"/>
        <v>3.887399353932584</v>
      </c>
      <c r="E298" s="1" t="str">
        <f>""</f>
        <v/>
      </c>
      <c r="F298" s="1" t="str">
        <f>""</f>
        <v/>
      </c>
      <c r="G298" s="1">
        <f>$B$9+$B$10*EXP(-$B$11*A298)</f>
        <v>3.9611459601291754</v>
      </c>
      <c r="H298" s="1">
        <f>$C$9+$C$10*EXP(-$C$11*A298)</f>
        <v>3.5041396314112609</v>
      </c>
      <c r="I298" s="1">
        <f>$D$9+$D$10*EXP(-$D$11*A298)</f>
        <v>3.8594123011085233</v>
      </c>
      <c r="J298" s="1">
        <f>AVERAGE(B298:D298)</f>
        <v>3.8093396923488498</v>
      </c>
      <c r="K298" s="1">
        <f>_xlfn.STDEV.S(B298:D298)</f>
        <v>0.24235674412518002</v>
      </c>
    </row>
    <row r="299" spans="1:11" ht="20.100000000000001" customHeight="1">
      <c r="A299" s="1">
        <v>16.416666666666668</v>
      </c>
      <c r="B299" s="1">
        <f t="shared" si="11"/>
        <v>3.991358657704656</v>
      </c>
      <c r="C299" s="1">
        <f t="shared" si="9"/>
        <v>3.5318148599999981</v>
      </c>
      <c r="D299" s="1">
        <f t="shared" si="10"/>
        <v>3.8915874299999991</v>
      </c>
      <c r="E299" s="1" t="str">
        <f>""</f>
        <v/>
      </c>
      <c r="F299" s="1" t="str">
        <f>""</f>
        <v/>
      </c>
      <c r="G299" s="1">
        <f>$B$9+$B$10*EXP(-$B$11*A299)</f>
        <v>3.9569566483634473</v>
      </c>
      <c r="H299" s="1">
        <f>$C$9+$C$10*EXP(-$C$11*A299)</f>
        <v>3.50296490992385</v>
      </c>
      <c r="I299" s="1">
        <f>$D$9+$D$10*EXP(-$D$11*A299)</f>
        <v>3.8574140280621507</v>
      </c>
      <c r="J299" s="1">
        <f>AVERAGE(B299:D299)</f>
        <v>3.8049203159015512</v>
      </c>
      <c r="K299" s="1">
        <f>_xlfn.STDEV.S(B299:D299)</f>
        <v>0.24171991436747603</v>
      </c>
    </row>
    <row r="300" spans="1:11" ht="20.100000000000001" customHeight="1">
      <c r="A300" s="1">
        <v>16.5</v>
      </c>
      <c r="B300" s="1">
        <f t="shared" si="11"/>
        <v>3.9824791419999857</v>
      </c>
      <c r="C300" s="1">
        <f t="shared" si="9"/>
        <v>3.5323418540000096</v>
      </c>
      <c r="D300" s="1">
        <f t="shared" si="10"/>
        <v>3.8915554260000067</v>
      </c>
      <c r="E300" s="1" t="str">
        <f>""</f>
        <v/>
      </c>
      <c r="F300" s="1" t="str">
        <f>""</f>
        <v/>
      </c>
      <c r="G300" s="1">
        <f>$B$9+$B$10*EXP(-$B$11*A300)</f>
        <v>3.952821019622486</v>
      </c>
      <c r="H300" s="1">
        <f>$C$9+$C$10*EXP(-$C$11*A300)</f>
        <v>3.5018162215697615</v>
      </c>
      <c r="I300" s="1">
        <f>$D$9+$D$10*EXP(-$D$11*A300)</f>
        <v>3.8554510281319265</v>
      </c>
      <c r="J300" s="1">
        <f>AVERAGE(B300:D300)</f>
        <v>3.8021254740000008</v>
      </c>
      <c r="K300" s="1">
        <f>_xlfn.STDEV.S(B300:D300)</f>
        <v>0.23802138926583025</v>
      </c>
    </row>
    <row r="301" spans="1:11" ht="20.100000000000001" customHeight="1">
      <c r="A301" s="1">
        <v>16.583333333333332</v>
      </c>
      <c r="B301" s="1">
        <f t="shared" si="11"/>
        <v>3.9966828560000058</v>
      </c>
      <c r="C301" s="1">
        <f t="shared" si="9"/>
        <v>3.5215502860000045</v>
      </c>
      <c r="D301" s="1">
        <f t="shared" si="10"/>
        <v>3.8839277160000041</v>
      </c>
      <c r="E301" s="1" t="str">
        <f>""</f>
        <v/>
      </c>
      <c r="F301" s="1" t="str">
        <f>""</f>
        <v/>
      </c>
      <c r="G301" s="1">
        <f>$B$9+$B$10*EXP(-$B$11*A301)</f>
        <v>3.9487383859968417</v>
      </c>
      <c r="H301" s="1">
        <f>$C$9+$C$10*EXP(-$C$11*A301)</f>
        <v>3.5006929894258367</v>
      </c>
      <c r="I301" s="1">
        <f>$D$9+$D$10*EXP(-$D$11*A301)</f>
        <v>3.8535226786838583</v>
      </c>
      <c r="J301" s="1">
        <f>AVERAGE(B301:D301)</f>
        <v>3.8007202860000047</v>
      </c>
      <c r="K301" s="1">
        <f>_xlfn.STDEV.S(B301:D301)</f>
        <v>0.24825460131507154</v>
      </c>
    </row>
    <row r="302" spans="1:11" ht="20.100000000000001" customHeight="1">
      <c r="A302" s="1">
        <v>16.666666666666668</v>
      </c>
      <c r="B302" s="1">
        <f t="shared" si="11"/>
        <v>3.9888744300000107</v>
      </c>
      <c r="C302" s="1">
        <f t="shared" si="9"/>
        <v>3.5177068465396113</v>
      </c>
      <c r="D302" s="1">
        <f t="shared" si="10"/>
        <v>3.8793072196589806</v>
      </c>
      <c r="E302" s="1" t="str">
        <f>""</f>
        <v/>
      </c>
      <c r="F302" s="1" t="str">
        <f>""</f>
        <v/>
      </c>
      <c r="G302" s="1">
        <f>$B$9+$B$10*EXP(-$B$11*A302)</f>
        <v>3.9447080683921323</v>
      </c>
      <c r="H302" s="1">
        <f>$C$9+$C$10*EXP(-$C$11*A302)</f>
        <v>3.4995946493541763</v>
      </c>
      <c r="I302" s="1">
        <f>$D$9+$D$10*EXP(-$D$11*A302)</f>
        <v>3.8516283680745662</v>
      </c>
      <c r="J302" s="1">
        <f>AVERAGE(B302:D302)</f>
        <v>3.7952961653995345</v>
      </c>
      <c r="K302" s="1">
        <f>_xlfn.STDEV.S(B302:D302)</f>
        <v>0.24656260027489138</v>
      </c>
    </row>
    <row r="303" spans="1:11" ht="20.100000000000001" customHeight="1">
      <c r="A303" s="1">
        <v>16.75</v>
      </c>
      <c r="B303" s="1">
        <f t="shared" si="11"/>
        <v>3.9772449067201578</v>
      </c>
      <c r="C303" s="1">
        <f t="shared" si="9"/>
        <v>3.5245426460618225</v>
      </c>
      <c r="D303" s="1">
        <f t="shared" si="10"/>
        <v>3.8754404287138575</v>
      </c>
      <c r="E303" s="1" t="str">
        <f>""</f>
        <v/>
      </c>
      <c r="F303" s="1" t="str">
        <f>""</f>
        <v/>
      </c>
      <c r="G303" s="1">
        <f>$B$9+$B$10*EXP(-$B$11*A303)</f>
        <v>3.9407293964160823</v>
      </c>
      <c r="H303" s="1">
        <f>$C$9+$C$10*EXP(-$C$11*A303)</f>
        <v>3.4985206497188028</v>
      </c>
      <c r="I303" s="1">
        <f>$D$9+$D$10*EXP(-$D$11*A303)</f>
        <v>3.849767495457276</v>
      </c>
      <c r="J303" s="1">
        <f>AVERAGE(B303:D303)</f>
        <v>3.7924093271652795</v>
      </c>
      <c r="K303" s="1">
        <f>_xlfn.STDEV.S(B303:D303)</f>
        <v>0.23749833066691137</v>
      </c>
    </row>
    <row r="304" spans="1:11" ht="20.100000000000001" customHeight="1">
      <c r="A304" s="1">
        <v>16.833333333333332</v>
      </c>
      <c r="B304" s="1">
        <f t="shared" si="11"/>
        <v>3.9813169252243195</v>
      </c>
      <c r="C304" s="1">
        <f t="shared" si="9"/>
        <v>3.5168170330992958</v>
      </c>
      <c r="D304" s="1">
        <f t="shared" si="10"/>
        <v>3.8764400000000001</v>
      </c>
      <c r="E304" s="1" t="str">
        <f>""</f>
        <v/>
      </c>
      <c r="F304" s="1" t="str">
        <f>""</f>
        <v/>
      </c>
      <c r="G304" s="1">
        <f>$B$9+$B$10*EXP(-$B$11*A304)</f>
        <v>3.9368017082670117</v>
      </c>
      <c r="H304" s="1">
        <f>$C$9+$C$10*EXP(-$C$11*A304)</f>
        <v>3.4974704511086045</v>
      </c>
      <c r="I304" s="1">
        <f>$D$9+$D$10*EXP(-$D$11*A304)</f>
        <v>3.84793947059124</v>
      </c>
      <c r="J304" s="1">
        <f>AVERAGE(B304:D304)</f>
        <v>3.7915246527745388</v>
      </c>
      <c r="K304" s="1">
        <f>_xlfn.STDEV.S(B304:D304)</f>
        <v>0.24361444865166595</v>
      </c>
    </row>
    <row r="305" spans="1:11" ht="20.100000000000001" customHeight="1">
      <c r="A305" s="1">
        <v>16.916666666666668</v>
      </c>
      <c r="B305" s="1">
        <f t="shared" si="11"/>
        <v>3.9864112136409338</v>
      </c>
      <c r="C305" s="1">
        <f t="shared" si="9"/>
        <v>3.5188299999999999</v>
      </c>
      <c r="D305" s="1">
        <f t="shared" si="10"/>
        <v>3.876893951999997</v>
      </c>
      <c r="E305" s="1" t="str">
        <f>""</f>
        <v/>
      </c>
      <c r="F305" s="1" t="str">
        <f>""</f>
        <v/>
      </c>
      <c r="G305" s="1">
        <f>$B$9+$B$10*EXP(-$B$11*A305)</f>
        <v>3.9329243506237548</v>
      </c>
      <c r="H305" s="1">
        <f>$C$9+$C$10*EXP(-$C$11*A305)</f>
        <v>3.4964435260664195</v>
      </c>
      <c r="I305" s="1">
        <f>$D$9+$D$10*EXP(-$D$11*A305)</f>
        <v>3.8461437136545236</v>
      </c>
      <c r="J305" s="1">
        <f>AVERAGE(B305:D305)</f>
        <v>3.794045055213644</v>
      </c>
      <c r="K305" s="1">
        <f>_xlfn.STDEV.S(B305:D305)</f>
        <v>0.24455265815672306</v>
      </c>
    </row>
    <row r="306" spans="1:11" ht="20.100000000000001" customHeight="1">
      <c r="A306" s="1">
        <v>17</v>
      </c>
      <c r="B306" s="1">
        <f t="shared" si="11"/>
        <v>3.974854047999989</v>
      </c>
      <c r="C306" s="1">
        <f t="shared" si="9"/>
        <v>3.5185269280000018</v>
      </c>
      <c r="D306" s="1">
        <f t="shared" si="10"/>
        <v>3.8792951680000041</v>
      </c>
      <c r="E306" s="1" t="str">
        <f>""</f>
        <v/>
      </c>
      <c r="F306" s="1" t="str">
        <f>""</f>
        <v/>
      </c>
      <c r="G306" s="1">
        <f>$B$9+$B$10*EXP(-$B$11*A306)</f>
        <v>3.9290966785369887</v>
      </c>
      <c r="H306" s="1">
        <f>$C$9+$C$10*EXP(-$C$11*A306)</f>
        <v>3.4954393588241235</v>
      </c>
      <c r="I306" s="1">
        <f>$D$9+$D$10*EXP(-$D$11*A306)</f>
        <v>3.8443796550600919</v>
      </c>
      <c r="J306" s="1">
        <f>AVERAGE(B306:D306)</f>
        <v>3.7908920479999981</v>
      </c>
      <c r="K306" s="1">
        <f>_xlfn.STDEV.S(B306:D306)</f>
        <v>0.24066562660914467</v>
      </c>
    </row>
    <row r="307" spans="1:11" ht="20.100000000000001" customHeight="1">
      <c r="A307" s="1">
        <v>17.083333333333332</v>
      </c>
      <c r="B307" s="1">
        <f t="shared" si="11"/>
        <v>3.982912000000014</v>
      </c>
      <c r="C307" s="1">
        <f t="shared" si="9"/>
        <v>3.516823071999998</v>
      </c>
      <c r="D307" s="1">
        <f t="shared" si="10"/>
        <v>3.875896773675759</v>
      </c>
      <c r="E307" s="1" t="str">
        <f>""</f>
        <v/>
      </c>
      <c r="F307" s="1" t="str">
        <f>""</f>
        <v/>
      </c>
      <c r="G307" s="1">
        <f>$B$9+$B$10*EXP(-$B$11*A307)</f>
        <v>3.9253180553219518</v>
      </c>
      <c r="H307" s="1">
        <f>$C$9+$C$10*EXP(-$C$11*A307)</f>
        <v>3.4944574450435852</v>
      </c>
      <c r="I307" s="1">
        <f>$D$9+$D$10*EXP(-$D$11*A307)</f>
        <v>3.8426467352751468</v>
      </c>
      <c r="J307" s="1">
        <f>AVERAGE(B307:D307)</f>
        <v>3.791877281891924</v>
      </c>
      <c r="K307" s="1">
        <f>_xlfn.STDEV.S(B307:D307)</f>
        <v>0.2441396699652916</v>
      </c>
    </row>
    <row r="308" spans="1:11" ht="20.100000000000001" customHeight="1">
      <c r="A308" s="1">
        <v>17.166666666666668</v>
      </c>
      <c r="B308" s="1">
        <f t="shared" si="11"/>
        <v>3.9706370239999949</v>
      </c>
      <c r="C308" s="1">
        <f t="shared" si="9"/>
        <v>3.5185259550561816</v>
      </c>
      <c r="D308" s="1">
        <f t="shared" si="10"/>
        <v>3.8786594880000025</v>
      </c>
      <c r="E308" s="1" t="str">
        <f>""</f>
        <v/>
      </c>
      <c r="F308" s="1" t="str">
        <f>""</f>
        <v/>
      </c>
      <c r="G308" s="1">
        <f>$B$9+$B$10*EXP(-$B$11*A308)</f>
        <v>3.921587852452542</v>
      </c>
      <c r="H308" s="1">
        <f>$C$9+$C$10*EXP(-$C$11*A308)</f>
        <v>3.4934972915633686</v>
      </c>
      <c r="I308" s="1">
        <f>$D$9+$D$10*EXP(-$D$11*A308)</f>
        <v>3.8409444046436509</v>
      </c>
      <c r="J308" s="1">
        <f>AVERAGE(B308:D308)</f>
        <v>3.7892741556853928</v>
      </c>
      <c r="K308" s="1">
        <f>_xlfn.STDEV.S(B308:D308)</f>
        <v>0.23894226894822157</v>
      </c>
    </row>
    <row r="309" spans="1:11" ht="20.100000000000001" customHeight="1">
      <c r="A309" s="1">
        <v>17.25</v>
      </c>
      <c r="B309" s="1">
        <f t="shared" si="11"/>
        <v>3.9751945906902115</v>
      </c>
      <c r="C309" s="1">
        <f t="shared" si="9"/>
        <v>3.5148144640000032</v>
      </c>
      <c r="D309" s="1">
        <f t="shared" si="10"/>
        <v>3.8703599498495493</v>
      </c>
      <c r="E309" s="1" t="str">
        <f>""</f>
        <v/>
      </c>
      <c r="F309" s="1" t="str">
        <f>""</f>
        <v/>
      </c>
      <c r="G309" s="1">
        <f>$B$9+$B$10*EXP(-$B$11*A309)</f>
        <v>3.917905449456768</v>
      </c>
      <c r="H309" s="1">
        <f>$C$9+$C$10*EXP(-$C$11*A309)</f>
        <v>3.4925584161510415</v>
      </c>
      <c r="I309" s="1">
        <f>$D$9+$D$10*EXP(-$D$11*A309)</f>
        <v>3.8392721232119862</v>
      </c>
      <c r="J309" s="1">
        <f>AVERAGE(B309:D309)</f>
        <v>3.7867896681799214</v>
      </c>
      <c r="K309" s="1">
        <f>_xlfn.STDEV.S(B309:D309)</f>
        <v>0.2412995218531914</v>
      </c>
    </row>
    <row r="310" spans="1:11" ht="20.100000000000001" customHeight="1">
      <c r="A310" s="1">
        <v>17.333333333333332</v>
      </c>
      <c r="B310" s="1">
        <f t="shared" si="11"/>
        <v>3.9717264593301449</v>
      </c>
      <c r="C310" s="1">
        <f t="shared" si="9"/>
        <v>3.5046054879999984</v>
      </c>
      <c r="D310" s="1">
        <f t="shared" si="10"/>
        <v>3.8671055912263252</v>
      </c>
      <c r="E310" s="1" t="str">
        <f>""</f>
        <v/>
      </c>
      <c r="F310" s="1" t="str">
        <f>""</f>
        <v/>
      </c>
      <c r="G310" s="1">
        <f>$B$9+$B$10*EXP(-$B$11*A310)</f>
        <v>3.9142702338135416</v>
      </c>
      <c r="H310" s="1">
        <f>$C$9+$C$10*EXP(-$C$11*A310)</f>
        <v>3.4916403472609785</v>
      </c>
      <c r="I310" s="1">
        <f>$D$9+$D$10*EXP(-$D$11*A310)</f>
        <v>3.8376293605576866</v>
      </c>
      <c r="J310" s="1">
        <f>AVERAGE(B310:D310)</f>
        <v>3.7811458461854897</v>
      </c>
      <c r="K310" s="1">
        <f>_xlfn.STDEV.S(B310:D310)</f>
        <v>0.24513732639016644</v>
      </c>
    </row>
    <row r="311" spans="1:11" ht="20.100000000000001" customHeight="1">
      <c r="A311" s="1">
        <v>17.416666666666668</v>
      </c>
      <c r="B311" s="1">
        <f t="shared" si="11"/>
        <v>3.9687299999999999</v>
      </c>
      <c r="C311" s="1">
        <f t="shared" si="9"/>
        <v>3.5094435955056182</v>
      </c>
      <c r="D311" s="1">
        <f t="shared" si="10"/>
        <v>3.8602278716148422</v>
      </c>
      <c r="E311" s="1" t="str">
        <f>""</f>
        <v/>
      </c>
      <c r="F311" s="1" t="str">
        <f>""</f>
        <v/>
      </c>
      <c r="G311" s="1">
        <f>$B$9+$B$10*EXP(-$B$11*A311)</f>
        <v>3.9106816008507934</v>
      </c>
      <c r="H311" s="1">
        <f>$C$9+$C$10*EXP(-$C$11*A311)</f>
        <v>3.4907426237975296</v>
      </c>
      <c r="I311" s="1">
        <f>$D$9+$D$10*EXP(-$D$11*A311)</f>
        <v>3.8360155956211983</v>
      </c>
      <c r="J311" s="1">
        <f>AVERAGE(B311:D311)</f>
        <v>3.7794671557068202</v>
      </c>
      <c r="K311" s="1">
        <f>_xlfn.STDEV.S(B311:D311)</f>
        <v>0.24005774360313056</v>
      </c>
    </row>
    <row r="312" spans="1:11" ht="20.100000000000001" customHeight="1">
      <c r="A312" s="1">
        <v>17.5</v>
      </c>
      <c r="B312" s="1">
        <f t="shared" si="11"/>
        <v>3.9676440480000026</v>
      </c>
      <c r="C312" s="1">
        <f t="shared" si="9"/>
        <v>3.5071740031898013</v>
      </c>
      <c r="D312" s="1">
        <f t="shared" si="10"/>
        <v>3.8667345960000015</v>
      </c>
      <c r="E312" s="1" t="str">
        <f>""</f>
        <v/>
      </c>
      <c r="F312" s="1" t="str">
        <f>""</f>
        <v/>
      </c>
      <c r="G312" s="1">
        <f>$B$9+$B$10*EXP(-$B$11*A312)</f>
        <v>3.9071389536448931</v>
      </c>
      <c r="H312" s="1">
        <f>$C$9+$C$10*EXP(-$C$11*A312)</f>
        <v>3.4898647948834367</v>
      </c>
      <c r="I312" s="1">
        <f>$D$9+$D$10*EXP(-$D$11*A312)</f>
        <v>3.834430316540606</v>
      </c>
      <c r="J312" s="1">
        <f>AVERAGE(B312:D312)</f>
        <v>3.7805175490632679</v>
      </c>
      <c r="K312" s="1">
        <f>_xlfn.STDEV.S(B312:D312)</f>
        <v>0.24203966602345431</v>
      </c>
    </row>
    <row r="313" spans="1:11" ht="20.100000000000001" customHeight="1">
      <c r="A313" s="1">
        <v>17.583333333333332</v>
      </c>
      <c r="B313" s="1">
        <f t="shared" si="11"/>
        <v>3.9614254879999979</v>
      </c>
      <c r="C313" s="1">
        <f t="shared" si="9"/>
        <v>3.4998329213483128</v>
      </c>
      <c r="D313" s="1">
        <f t="shared" si="10"/>
        <v>3.8626411820000039</v>
      </c>
      <c r="E313" s="1" t="str">
        <f>""</f>
        <v/>
      </c>
      <c r="F313" s="1" t="str">
        <f>""</f>
        <v/>
      </c>
      <c r="G313" s="1">
        <f>$B$9+$B$10*EXP(-$B$11*A313)</f>
        <v>3.903641702921357</v>
      </c>
      <c r="H313" s="1">
        <f>$C$9+$C$10*EXP(-$C$11*A313)</f>
        <v>3.4890064196333825</v>
      </c>
      <c r="I313" s="1">
        <f>$D$9+$D$10*EXP(-$D$11*A313)</f>
        <v>3.8328730204892794</v>
      </c>
      <c r="J313" s="1">
        <f>AVERAGE(B313:D313)</f>
        <v>3.7746331971161049</v>
      </c>
      <c r="K313" s="1">
        <f>_xlfn.STDEV.S(B313:D313)</f>
        <v>0.2430555048739198</v>
      </c>
    </row>
    <row r="314" spans="1:11" ht="20.100000000000001" customHeight="1">
      <c r="A314" s="1">
        <v>17.666666666666668</v>
      </c>
      <c r="B314" s="1">
        <f t="shared" si="11"/>
        <v>3.9650249280000032</v>
      </c>
      <c r="C314" s="1">
        <f t="shared" si="9"/>
        <v>3.5033539040000035</v>
      </c>
      <c r="D314" s="1">
        <f t="shared" si="10"/>
        <v>3.8566308079999967</v>
      </c>
      <c r="E314" s="1" t="str">
        <f>""</f>
        <v/>
      </c>
      <c r="F314" s="1" t="str">
        <f>""</f>
        <v/>
      </c>
      <c r="G314" s="1">
        <f>$B$9+$B$10*EXP(-$B$11*A314)</f>
        <v>3.9001892669568328</v>
      </c>
      <c r="H314" s="1">
        <f>$C$9+$C$10*EXP(-$C$11*A314)</f>
        <v>3.4881670669325575</v>
      </c>
      <c r="I314" s="1">
        <f>$D$9+$D$10*EXP(-$D$11*A314)</f>
        <v>3.8313432135163819</v>
      </c>
      <c r="J314" s="1">
        <f>AVERAGE(B314:D314)</f>
        <v>3.7750032133333344</v>
      </c>
      <c r="K314" s="1">
        <f>_xlfn.STDEV.S(B314:D314)</f>
        <v>0.24141733939094093</v>
      </c>
    </row>
    <row r="315" spans="1:11" ht="20.100000000000001" customHeight="1">
      <c r="A315" s="1">
        <v>17.75</v>
      </c>
      <c r="B315" s="1">
        <f t="shared" si="11"/>
        <v>3.954329331995992</v>
      </c>
      <c r="C315" s="1">
        <f t="shared" si="9"/>
        <v>3.5002099037111347</v>
      </c>
      <c r="D315" s="1">
        <f t="shared" si="10"/>
        <v>3.862440104333869</v>
      </c>
      <c r="E315" s="1" t="str">
        <f>""</f>
        <v/>
      </c>
      <c r="F315" s="1" t="str">
        <f>""</f>
        <v/>
      </c>
      <c r="G315" s="1">
        <f>$B$9+$B$10*EXP(-$B$11*A315)</f>
        <v>3.896781071482335</v>
      </c>
      <c r="H315" s="1">
        <f>$C$9+$C$10*EXP(-$C$11*A315)</f>
        <v>3.4873463152201363</v>
      </c>
      <c r="I315" s="1">
        <f>$D$9+$D$10*EXP(-$D$11*A315)</f>
        <v>3.8298404103901995</v>
      </c>
      <c r="J315" s="1">
        <f>AVERAGE(B315:D315)</f>
        <v>3.7723264466803319</v>
      </c>
      <c r="K315" s="1">
        <f>_xlfn.STDEV.S(B315:D315)</f>
        <v>0.24009678727174916</v>
      </c>
    </row>
    <row r="316" spans="1:11" ht="20.100000000000001" customHeight="1">
      <c r="A316" s="1">
        <v>17.833333333333332</v>
      </c>
      <c r="B316" s="1">
        <f t="shared" si="11"/>
        <v>3.9455623728813505</v>
      </c>
      <c r="C316" s="1">
        <f t="shared" si="9"/>
        <v>3.4987249790628163</v>
      </c>
      <c r="D316" s="1">
        <f t="shared" si="10"/>
        <v>3.8598240530303007</v>
      </c>
      <c r="E316" s="1" t="str">
        <f>""</f>
        <v/>
      </c>
      <c r="F316" s="1" t="str">
        <f>""</f>
        <v/>
      </c>
      <c r="G316" s="1">
        <f>$B$9+$B$10*EXP(-$B$11*A316)</f>
        <v>3.8934165495877227</v>
      </c>
      <c r="H316" s="1">
        <f>$C$9+$C$10*EXP(-$C$11*A316)</f>
        <v>3.4865437522775498</v>
      </c>
      <c r="I316" s="1">
        <f>$D$9+$D$10*EXP(-$D$11*A316)</f>
        <v>3.828364134444231</v>
      </c>
      <c r="J316" s="1">
        <f>AVERAGE(B316:D316)</f>
        <v>3.7680371349914892</v>
      </c>
      <c r="K316" s="1">
        <f>_xlfn.STDEV.S(B316:D316)</f>
        <v>0.23713823578438922</v>
      </c>
    </row>
    <row r="317" spans="1:11" ht="20.100000000000001" customHeight="1">
      <c r="A317" s="1">
        <v>17.916666666666668</v>
      </c>
      <c r="B317" s="1">
        <f t="shared" si="11"/>
        <v>3.9581007301905751</v>
      </c>
      <c r="C317" s="1">
        <f t="shared" si="9"/>
        <v>3.4951137552658027</v>
      </c>
      <c r="D317" s="1">
        <f t="shared" si="10"/>
        <v>3.8499099999999999</v>
      </c>
      <c r="E317" s="1" t="str">
        <f>""</f>
        <v/>
      </c>
      <c r="F317" s="1" t="str">
        <f>""</f>
        <v/>
      </c>
      <c r="G317" s="1">
        <f>$B$9+$B$10*EXP(-$B$11*A317)</f>
        <v>3.8900951416274023</v>
      </c>
      <c r="H317" s="1">
        <f>$C$9+$C$10*EXP(-$C$11*A317)</f>
        <v>3.4857589750214495</v>
      </c>
      <c r="I317" s="1">
        <f>$D$9+$D$10*EXP(-$D$11*A317)</f>
        <v>3.8269139174259963</v>
      </c>
      <c r="J317" s="1">
        <f>AVERAGE(B317:D317)</f>
        <v>3.7677081618187924</v>
      </c>
      <c r="K317" s="1">
        <f>_xlfn.STDEV.S(B317:D317)</f>
        <v>0.24219226120537998</v>
      </c>
    </row>
    <row r="318" spans="1:11" ht="20.100000000000001" customHeight="1">
      <c r="A318" s="1">
        <v>18</v>
      </c>
      <c r="B318" s="1">
        <f t="shared" si="11"/>
        <v>3.9478517980000034</v>
      </c>
      <c r="C318" s="1">
        <f t="shared" si="9"/>
        <v>3.4917881659999943</v>
      </c>
      <c r="D318" s="1">
        <f t="shared" si="10"/>
        <v>3.8502347860000006</v>
      </c>
      <c r="E318" s="1" t="str">
        <f>""</f>
        <v/>
      </c>
      <c r="F318" s="1" t="str">
        <f>""</f>
        <v/>
      </c>
      <c r="G318" s="1">
        <f>$B$9+$B$10*EXP(-$B$11*A318)</f>
        <v>3.8868162951272365</v>
      </c>
      <c r="H318" s="1">
        <f>$C$9+$C$10*EXP(-$C$11*A318)</f>
        <v>3.4849915893012624</v>
      </c>
      <c r="I318" s="1">
        <f>$D$9+$D$10*EXP(-$D$11*A318)</f>
        <v>3.8254892993485154</v>
      </c>
      <c r="J318" s="1">
        <f>AVERAGE(B318:D318)</f>
        <v>3.7632915833333329</v>
      </c>
      <c r="K318" s="1">
        <f>_xlfn.STDEV.S(B318:D318)</f>
        <v>0.24014131147245965</v>
      </c>
    </row>
    <row r="319" spans="1:11" ht="20.100000000000001" customHeight="1">
      <c r="A319" s="1">
        <v>18.083333333333332</v>
      </c>
      <c r="B319" s="1">
        <f t="shared" si="11"/>
        <v>3.9403654039999991</v>
      </c>
      <c r="C319" s="1">
        <f t="shared" si="9"/>
        <v>3.4944522620000122</v>
      </c>
      <c r="D319" s="1">
        <f t="shared" si="10"/>
        <v>3.8510839519999975</v>
      </c>
      <c r="E319" s="1" t="str">
        <f>""</f>
        <v/>
      </c>
      <c r="F319" s="1" t="str">
        <f>""</f>
        <v/>
      </c>
      <c r="G319" s="1">
        <f>$B$9+$B$10*EXP(-$B$11*A319)</f>
        <v>3.8835794646926485</v>
      </c>
      <c r="H319" s="1">
        <f>$C$9+$C$10*EXP(-$C$11*A319)</f>
        <v>3.4842412097012305</v>
      </c>
      <c r="I319" s="1">
        <f>$D$9+$D$10*EXP(-$D$11*A319)</f>
        <v>3.8240898283444062</v>
      </c>
      <c r="J319" s="1">
        <f>AVERAGE(B319:D319)</f>
        <v>3.7619672060000031</v>
      </c>
      <c r="K319" s="1">
        <f>_xlfn.STDEV.S(B319:D319)</f>
        <v>0.23593638626819682</v>
      </c>
    </row>
    <row r="320" spans="1:11" ht="20.100000000000001" customHeight="1">
      <c r="A320" s="1">
        <v>18.166666666666668</v>
      </c>
      <c r="B320" s="1">
        <f t="shared" si="11"/>
        <v>3.9433500000000001</v>
      </c>
      <c r="C320" s="1">
        <f t="shared" si="9"/>
        <v>3.4876560479999901</v>
      </c>
      <c r="D320" s="1">
        <f t="shared" si="10"/>
        <v>3.8446264760000011</v>
      </c>
      <c r="E320" s="1" t="str">
        <f>""</f>
        <v/>
      </c>
      <c r="F320" s="1" t="str">
        <f>""</f>
        <v/>
      </c>
      <c r="G320" s="1">
        <f>$B$9+$B$10*EXP(-$B$11*A320)</f>
        <v>3.880384111917901</v>
      </c>
      <c r="H320" s="1">
        <f>$C$9+$C$10*EXP(-$C$11*A320)</f>
        <v>3.483507459346836</v>
      </c>
      <c r="I320" s="1">
        <f>$D$9+$D$10*EXP(-$D$11*A320)</f>
        <v>3.822715060522559</v>
      </c>
      <c r="J320" s="1">
        <f>AVERAGE(B320:D320)</f>
        <v>3.7585441746666639</v>
      </c>
      <c r="K320" s="1">
        <f>_xlfn.STDEV.S(B320:D320)</f>
        <v>0.239732906428132</v>
      </c>
    </row>
    <row r="321" spans="1:11" ht="20.100000000000001" customHeight="1">
      <c r="A321" s="1">
        <v>18.25</v>
      </c>
      <c r="B321" s="1">
        <f t="shared" si="11"/>
        <v>3.9427004279999989</v>
      </c>
      <c r="C321" s="1">
        <f t="shared" si="9"/>
        <v>3.4942741713483176</v>
      </c>
      <c r="D321" s="1">
        <f t="shared" si="10"/>
        <v>3.8474377909309787</v>
      </c>
      <c r="E321" s="1" t="str">
        <f>""</f>
        <v/>
      </c>
      <c r="F321" s="1" t="str">
        <f>""</f>
        <v/>
      </c>
      <c r="G321" s="1">
        <f>$B$9+$B$10*EXP(-$B$11*A321)</f>
        <v>3.8772297052965405</v>
      </c>
      <c r="H321" s="1">
        <f>$C$9+$C$10*EXP(-$C$11*A321)</f>
        <v>3.4827899697155202</v>
      </c>
      <c r="I321" s="1">
        <f>$D$9+$D$10*EXP(-$D$11*A321)</f>
        <v>3.8213645598273409</v>
      </c>
      <c r="J321" s="1">
        <f>AVERAGE(B321:D321)</f>
        <v>3.7614707967597649</v>
      </c>
      <c r="K321" s="1">
        <f>_xlfn.STDEV.S(B321:D321)</f>
        <v>0.23625043910813157</v>
      </c>
    </row>
    <row r="322" spans="1:11" ht="20.100000000000001" customHeight="1">
      <c r="A322" s="1">
        <v>18.333333333333332</v>
      </c>
      <c r="B322" s="1">
        <f t="shared" si="11"/>
        <v>3.9392194482343506</v>
      </c>
      <c r="C322" s="1">
        <f t="shared" si="9"/>
        <v>3.4909669597288735</v>
      </c>
      <c r="D322" s="1">
        <f t="shared" si="10"/>
        <v>3.8456229206539096</v>
      </c>
      <c r="E322" s="1" t="str">
        <f>""</f>
        <v/>
      </c>
      <c r="F322" s="1" t="str">
        <f>""</f>
        <v/>
      </c>
      <c r="G322" s="1">
        <f>$B$9+$B$10*EXP(-$B$11*A322)</f>
        <v>3.8741157201329863</v>
      </c>
      <c r="H322" s="1">
        <f>$C$9+$C$10*EXP(-$C$11*A322)</f>
        <v>3.4820883804515934</v>
      </c>
      <c r="I322" s="1">
        <f>$D$9+$D$10*EXP(-$D$11*A322)</f>
        <v>3.8200378979002867</v>
      </c>
      <c r="J322" s="1">
        <f>AVERAGE(B322:D322)</f>
        <v>3.7586031095390449</v>
      </c>
      <c r="K322" s="1">
        <f>_xlfn.STDEV.S(B322:D322)</f>
        <v>0.23645699187735664</v>
      </c>
    </row>
    <row r="323" spans="1:11" ht="20.100000000000001" customHeight="1">
      <c r="A323" s="1">
        <v>18.416666666666668</v>
      </c>
      <c r="B323" s="1">
        <f t="shared" si="11"/>
        <v>3.9407106838118064</v>
      </c>
      <c r="C323" s="1">
        <f t="shared" si="9"/>
        <v>3.48306</v>
      </c>
      <c r="D323" s="1">
        <f t="shared" si="10"/>
        <v>3.8408422090690211</v>
      </c>
      <c r="E323" s="1" t="str">
        <f>""</f>
        <v/>
      </c>
      <c r="F323" s="1" t="str">
        <f>""</f>
        <v/>
      </c>
      <c r="G323" s="1">
        <f>$B$9+$B$10*EXP(-$B$11*A323)</f>
        <v>3.8710416384552566</v>
      </c>
      <c r="H323" s="1">
        <f>$C$9+$C$10*EXP(-$C$11*A323)</f>
        <v>3.481402339185248</v>
      </c>
      <c r="I323" s="1">
        <f>$D$9+$D$10*EXP(-$D$11*A323)</f>
        <v>3.8187346539442286</v>
      </c>
      <c r="J323" s="1">
        <f>AVERAGE(B323:D323)</f>
        <v>3.7548709642936089</v>
      </c>
      <c r="K323" s="1">
        <f>_xlfn.STDEV.S(B323:D323)</f>
        <v>0.24063318203134171</v>
      </c>
    </row>
    <row r="324" spans="1:11" ht="20.100000000000001" customHeight="1">
      <c r="A324" s="1">
        <v>18.5</v>
      </c>
      <c r="B324" s="1">
        <f t="shared" si="11"/>
        <v>3.9319736195826649</v>
      </c>
      <c r="C324" s="1">
        <f t="shared" si="9"/>
        <v>3.483392177999999</v>
      </c>
      <c r="D324" s="1">
        <f t="shared" si="10"/>
        <v>3.8408349040000029</v>
      </c>
      <c r="E324" s="1" t="str">
        <f>""</f>
        <v/>
      </c>
      <c r="F324" s="1" t="str">
        <f>""</f>
        <v/>
      </c>
      <c r="G324" s="1">
        <f>$B$9+$B$10*EXP(-$B$11*A324)</f>
        <v>3.8680069489288087</v>
      </c>
      <c r="H324" s="1">
        <f>$C$9+$C$10*EXP(-$C$11*A324)</f>
        <v>3.4807315013555837</v>
      </c>
      <c r="I324" s="1">
        <f>$D$9+$D$10*EXP(-$D$11*A324)</f>
        <v>3.8174544145898262</v>
      </c>
      <c r="J324" s="1">
        <f>AVERAGE(B324:D324)</f>
        <v>3.7520669005275558</v>
      </c>
      <c r="K324" s="1">
        <f>_xlfn.STDEV.S(B324:D324)</f>
        <v>0.23709944382781456</v>
      </c>
    </row>
    <row r="325" spans="1:11" ht="20.100000000000001" customHeight="1">
      <c r="A325" s="1">
        <v>18.583333333333332</v>
      </c>
      <c r="B325" s="1">
        <f t="shared" si="11"/>
        <v>3.9334675479999981</v>
      </c>
      <c r="C325" s="1">
        <f t="shared" si="9"/>
        <v>3.4842095340000041</v>
      </c>
      <c r="D325" s="1">
        <f t="shared" si="10"/>
        <v>3.8350768079999993</v>
      </c>
      <c r="E325" s="1" t="str">
        <f>""</f>
        <v/>
      </c>
      <c r="F325" s="1" t="str">
        <f>""</f>
        <v/>
      </c>
      <c r="G325" s="1">
        <f>$B$9+$B$10*EXP(-$B$11*A325)</f>
        <v>3.8650111467714834</v>
      </c>
      <c r="H325" s="1">
        <f>$C$9+$C$10*EXP(-$C$11*A325)</f>
        <v>3.4800755300375514</v>
      </c>
      <c r="I325" s="1">
        <f>$D$9+$D$10*EXP(-$D$11*A325)</f>
        <v>3.8161967737644518</v>
      </c>
      <c r="J325" s="1">
        <f>AVERAGE(B325:D325)</f>
        <v>3.7509179633333338</v>
      </c>
      <c r="K325" s="1">
        <f>_xlfn.STDEV.S(B325:D325)</f>
        <v>0.23615720217161629</v>
      </c>
    </row>
    <row r="326" spans="1:11" ht="20.100000000000001" customHeight="1">
      <c r="A326" s="1">
        <v>18.666666666666668</v>
      </c>
      <c r="B326" s="1">
        <f t="shared" si="11"/>
        <v>3.9352680960000042</v>
      </c>
      <c r="C326" s="1">
        <f t="shared" si="9"/>
        <v>3.4781282879999975</v>
      </c>
      <c r="D326" s="1">
        <f t="shared" si="10"/>
        <v>3.8347387321965942</v>
      </c>
      <c r="E326" s="1" t="str">
        <f>""</f>
        <v/>
      </c>
      <c r="F326" s="1" t="str">
        <f>""</f>
        <v/>
      </c>
      <c r="G326" s="1">
        <f>$B$9+$B$10*EXP(-$B$11*A326)</f>
        <v>3.8620537336695451</v>
      </c>
      <c r="H326" s="1">
        <f>$C$9+$C$10*EXP(-$C$11*A326)</f>
        <v>3.4794340957727368</v>
      </c>
      <c r="I326" s="1">
        <f>$D$9+$D$10*EXP(-$D$11*A326)</f>
        <v>3.8149613325633913</v>
      </c>
      <c r="J326" s="1">
        <f>AVERAGE(B326:D326)</f>
        <v>3.7493783720655323</v>
      </c>
      <c r="K326" s="1">
        <f>_xlfn.STDEV.S(B326:D326)</f>
        <v>0.24022696419396641</v>
      </c>
    </row>
    <row r="327" spans="1:11" ht="20.100000000000001" customHeight="1">
      <c r="A327" s="1">
        <v>18.75</v>
      </c>
      <c r="B327" s="1">
        <f t="shared" si="11"/>
        <v>3.9285168079999995</v>
      </c>
      <c r="C327" s="1">
        <f t="shared" si="9"/>
        <v>3.4833931775325966</v>
      </c>
      <c r="D327" s="1">
        <f t="shared" si="10"/>
        <v>3.8273479279999973</v>
      </c>
      <c r="E327" s="1" t="str">
        <f>""</f>
        <v/>
      </c>
      <c r="F327" s="1" t="str">
        <f>""</f>
        <v/>
      </c>
      <c r="G327" s="1">
        <f>$B$9+$B$10*EXP(-$B$11*A327)</f>
        <v>3.8591342176947903</v>
      </c>
      <c r="H327" s="1">
        <f>$C$9+$C$10*EXP(-$C$11*A327)</f>
        <v>3.4788068764038886</v>
      </c>
      <c r="I327" s="1">
        <f>$D$9+$D$10*EXP(-$D$11*A327)</f>
        <v>3.8137476991233163</v>
      </c>
      <c r="J327" s="1">
        <f>AVERAGE(B327:D327)</f>
        <v>3.7464193045108645</v>
      </c>
      <c r="K327" s="1">
        <f>_xlfn.STDEV.S(B327:D327)</f>
        <v>0.23333633059385464</v>
      </c>
    </row>
    <row r="328" spans="1:11" ht="20.100000000000001" customHeight="1">
      <c r="A328" s="1">
        <v>18.833333333333332</v>
      </c>
      <c r="B328" s="1">
        <f t="shared" si="11"/>
        <v>3.9283445997994031</v>
      </c>
      <c r="C328" s="1">
        <f t="shared" si="9"/>
        <v>3.4841853240000056</v>
      </c>
      <c r="D328" s="1">
        <f t="shared" si="10"/>
        <v>3.8308079279999974</v>
      </c>
      <c r="E328" s="1" t="str">
        <f>""</f>
        <v/>
      </c>
      <c r="F328" s="1" t="str">
        <f>""</f>
        <v/>
      </c>
      <c r="G328" s="1">
        <f>$B$9+$B$10*EXP(-$B$11*A328)</f>
        <v>3.8562521132227219</v>
      </c>
      <c r="H328" s="1">
        <f>$C$9+$C$10*EXP(-$C$11*A328)</f>
        <v>3.4781935569131197</v>
      </c>
      <c r="I328" s="1">
        <f>$D$9+$D$10*EXP(-$D$11*A328)</f>
        <v>3.812555488497992</v>
      </c>
      <c r="J328" s="1">
        <f>AVERAGE(B328:D328)</f>
        <v>3.7477792839331356</v>
      </c>
      <c r="K328" s="1">
        <f>_xlfn.STDEV.S(B328:D328)</f>
        <v>0.233430251619938</v>
      </c>
    </row>
    <row r="329" spans="1:11" ht="20.100000000000001" customHeight="1">
      <c r="A329" s="1">
        <v>18.916666666666668</v>
      </c>
      <c r="B329" s="1">
        <f t="shared" si="11"/>
        <v>3.9224428175473536</v>
      </c>
      <c r="C329" s="1">
        <f t="shared" si="9"/>
        <v>3.477976747999997</v>
      </c>
      <c r="D329" s="1">
        <f t="shared" si="10"/>
        <v>3.8315580000000091</v>
      </c>
      <c r="E329" s="1" t="str">
        <f>""</f>
        <v/>
      </c>
      <c r="F329" s="1" t="str">
        <f>""</f>
        <v/>
      </c>
      <c r="G329" s="1">
        <f>$B$9+$B$10*EXP(-$B$11*A329)</f>
        <v>3.853406940851773</v>
      </c>
      <c r="H329" s="1">
        <f>$C$9+$C$10*EXP(-$C$11*A329)</f>
        <v>3.4775938292636877</v>
      </c>
      <c r="I329" s="1">
        <f>$D$9+$D$10*EXP(-$D$11*A329)</f>
        <v>3.8113843225361759</v>
      </c>
      <c r="J329" s="1">
        <f>AVERAGE(B329:D329)</f>
        <v>3.7439925218491203</v>
      </c>
      <c r="K329" s="1">
        <f>_xlfn.STDEV.S(B329:D329)</f>
        <v>0.23481547322858495</v>
      </c>
    </row>
    <row r="330" spans="1:11" ht="20.100000000000001" customHeight="1">
      <c r="A330" s="1">
        <v>19</v>
      </c>
      <c r="B330" s="1">
        <f t="shared" si="11"/>
        <v>3.9258547743229788</v>
      </c>
      <c r="C330" s="1">
        <f t="shared" si="9"/>
        <v>3.4807215208667786</v>
      </c>
      <c r="D330" s="1">
        <f t="shared" si="10"/>
        <v>3.8196097552166903</v>
      </c>
      <c r="E330" s="1" t="str">
        <f>""</f>
        <v/>
      </c>
      <c r="F330" s="1" t="str">
        <f>""</f>
        <v/>
      </c>
      <c r="G330" s="1">
        <f>$B$9+$B$10*EXP(-$B$11*A330)</f>
        <v>3.8505982273235642</v>
      </c>
      <c r="H330" s="1">
        <f>$C$9+$C$10*EXP(-$C$11*A330)</f>
        <v>3.4770073922452882</v>
      </c>
      <c r="I330" s="1">
        <f>$D$9+$D$10*EXP(-$D$11*A330)</f>
        <v>3.8102338297616778</v>
      </c>
      <c r="J330" s="1">
        <f>AVERAGE(B330:D330)</f>
        <v>3.7420620168021492</v>
      </c>
      <c r="K330" s="1">
        <f>_xlfn.STDEV.S(B330:D330)</f>
        <v>0.23247826163543339</v>
      </c>
    </row>
    <row r="331" spans="1:11" ht="20.100000000000001" customHeight="1">
      <c r="A331" s="1">
        <v>19.083333333333332</v>
      </c>
      <c r="B331" s="1">
        <f t="shared" si="11"/>
        <v>3.9100341440000048</v>
      </c>
      <c r="C331" s="1">
        <f t="shared" si="9"/>
        <v>3.47384</v>
      </c>
      <c r="D331" s="1">
        <f t="shared" si="10"/>
        <v>3.8247019497607657</v>
      </c>
      <c r="E331" s="1" t="str">
        <f>""</f>
        <v/>
      </c>
      <c r="F331" s="1" t="str">
        <f>""</f>
        <v/>
      </c>
      <c r="G331" s="1">
        <f>$B$9+$B$10*EXP(-$B$11*A331)</f>
        <v>3.8478255054441819</v>
      </c>
      <c r="H331" s="1">
        <f>$C$9+$C$10*EXP(-$C$11*A331)</f>
        <v>3.4764339513227704</v>
      </c>
      <c r="I331" s="1">
        <f>$D$9+$D$10*EXP(-$D$11*A331)</f>
        <v>3.8091036452555298</v>
      </c>
      <c r="J331" s="1">
        <f>AVERAGE(B331:D331)</f>
        <v>3.7361920312535903</v>
      </c>
      <c r="K331" s="1">
        <f>_xlfn.STDEV.S(B331:D331)</f>
        <v>0.23117490579771924</v>
      </c>
    </row>
    <row r="332" spans="1:11" ht="20.100000000000001" customHeight="1">
      <c r="A332" s="1">
        <v>19.166666666666668</v>
      </c>
      <c r="B332" s="1">
        <f t="shared" si="11"/>
        <v>3.9066696399999881</v>
      </c>
      <c r="C332" s="1">
        <f t="shared" si="9"/>
        <v>3.473499803370788</v>
      </c>
      <c r="D332" s="1">
        <f t="shared" si="10"/>
        <v>3.8256800000000002</v>
      </c>
      <c r="E332" s="1" t="str">
        <f>""</f>
        <v/>
      </c>
      <c r="F332" s="1" t="str">
        <f>""</f>
        <v/>
      </c>
      <c r="G332" s="1">
        <f>$B$9+$B$10*EXP(-$B$11*A332)</f>
        <v>3.8450883140064676</v>
      </c>
      <c r="H332" s="1">
        <f>$C$9+$C$10*EXP(-$C$11*A332)</f>
        <v>3.4758732184882111</v>
      </c>
      <c r="I332" s="1">
        <f>$D$9+$D$10*EXP(-$D$11*A332)</f>
        <v>3.8079934105402407</v>
      </c>
      <c r="J332" s="1">
        <f>AVERAGE(B332:D332)</f>
        <v>3.7352831477902591</v>
      </c>
      <c r="K332" s="1">
        <f>_xlfn.STDEV.S(B332:D332)</f>
        <v>0.23029919671682389</v>
      </c>
    </row>
    <row r="333" spans="1:11" ht="20.100000000000001" customHeight="1">
      <c r="A333" s="1">
        <v>19.25</v>
      </c>
      <c r="B333" s="1">
        <f t="shared" si="11"/>
        <v>3.9207532520000035</v>
      </c>
      <c r="C333" s="1">
        <f t="shared" si="9"/>
        <v>3.4720489999999997</v>
      </c>
      <c r="D333" s="1">
        <f t="shared" si="10"/>
        <v>3.8249885000000003</v>
      </c>
      <c r="E333" s="1" t="str">
        <f>""</f>
        <v/>
      </c>
      <c r="F333" s="1" t="str">
        <f>""</f>
        <v/>
      </c>
      <c r="G333" s="1">
        <f>$B$9+$B$10*EXP(-$B$11*A333)</f>
        <v>3.8423861977133016</v>
      </c>
      <c r="H333" s="1">
        <f>$C$9+$C$10*EXP(-$C$11*A333)</f>
        <v>3.4753249121162617</v>
      </c>
      <c r="I333" s="1">
        <f>$D$9+$D$10*EXP(-$D$11*A333)</f>
        <v>3.8069027734660921</v>
      </c>
      <c r="J333" s="1">
        <f>AVERAGE(B333:D333)</f>
        <v>3.739263584000001</v>
      </c>
      <c r="K333" s="1">
        <f>_xlfn.STDEV.S(B333:D333)</f>
        <v>0.23631641364519287</v>
      </c>
    </row>
    <row r="334" spans="1:11" ht="20.100000000000001" customHeight="1">
      <c r="A334" s="1">
        <v>19.333333333333332</v>
      </c>
      <c r="B334" s="1">
        <f t="shared" si="11"/>
        <v>3.9146109309791419</v>
      </c>
      <c r="C334" s="1">
        <f t="shared" si="9"/>
        <v>3.4742970000000004</v>
      </c>
      <c r="D334" s="1">
        <f t="shared" si="10"/>
        <v>3.8203747752809001</v>
      </c>
      <c r="E334" s="1" t="str">
        <f>""</f>
        <v/>
      </c>
      <c r="F334" s="1" t="str">
        <f>""</f>
        <v/>
      </c>
      <c r="G334" s="1">
        <f>$B$9+$B$10*EXP(-$B$11*A334)</f>
        <v>3.8397187071018704</v>
      </c>
      <c r="H334" s="1">
        <f>$C$9+$C$10*EXP(-$C$11*A334)</f>
        <v>3.4747887568227043</v>
      </c>
      <c r="I334" s="1">
        <f>$D$9+$D$10*EXP(-$D$11*A334)</f>
        <v>3.8058313880994423</v>
      </c>
      <c r="J334" s="1">
        <f>AVERAGE(B334:D334)</f>
        <v>3.7364275687533475</v>
      </c>
      <c r="K334" s="1">
        <f>_xlfn.STDEV.S(B334:D334)</f>
        <v>0.23185003680485095</v>
      </c>
    </row>
    <row r="335" spans="1:11" ht="20.100000000000001" customHeight="1">
      <c r="A335" s="1">
        <v>19.416666666666668</v>
      </c>
      <c r="B335" s="1">
        <f t="shared" si="11"/>
        <v>3.9023373444976075</v>
      </c>
      <c r="C335" s="1">
        <f t="shared" si="9"/>
        <v>3.4707165</v>
      </c>
      <c r="D335" s="1">
        <f t="shared" si="10"/>
        <v>3.8155703827751237</v>
      </c>
      <c r="E335" s="1" t="str">
        <f>""</f>
        <v/>
      </c>
      <c r="F335" s="1" t="str">
        <f>""</f>
        <v/>
      </c>
      <c r="G335" s="1">
        <f>$B$9+$B$10*EXP(-$B$11*A335)</f>
        <v>3.8370853984689037</v>
      </c>
      <c r="H335" s="1">
        <f>$C$9+$C$10*EXP(-$C$11*A335)</f>
        <v>3.4742644833261416</v>
      </c>
      <c r="I335" s="1">
        <f>$D$9+$D$10*EXP(-$D$11*A335)</f>
        <v>3.8047789146130011</v>
      </c>
      <c r="J335" s="1">
        <f>AVERAGE(B335:D335)</f>
        <v>3.7295414090909103</v>
      </c>
      <c r="K335" s="1">
        <f>_xlfn.STDEV.S(B335:D335)</f>
        <v>0.22830873085818745</v>
      </c>
    </row>
    <row r="336" spans="1:11" ht="20.100000000000001" customHeight="1">
      <c r="A336" s="1">
        <v>19.5</v>
      </c>
      <c r="B336" s="1">
        <f t="shared" si="11"/>
        <v>3.9064699518459021</v>
      </c>
      <c r="C336" s="1">
        <f t="shared" si="9"/>
        <v>3.4712910553772085</v>
      </c>
      <c r="D336" s="1">
        <f t="shared" si="10"/>
        <v>3.8108630537720707</v>
      </c>
      <c r="E336" s="1" t="str">
        <f>""</f>
        <v/>
      </c>
      <c r="F336" s="1" t="str">
        <f>""</f>
        <v/>
      </c>
      <c r="G336" s="1">
        <f>$B$9+$B$10*EXP(-$B$11*A336)</f>
        <v>3.8344858337968706</v>
      </c>
      <c r="H336" s="1">
        <f>$C$9+$C$10*EXP(-$C$11*A336)</f>
        <v>3.4737518283127513</v>
      </c>
      <c r="I336" s="1">
        <f>$D$9+$D$10*EXP(-$D$11*A336)</f>
        <v>3.8037450191780415</v>
      </c>
      <c r="J336" s="1">
        <f>AVERAGE(B336:D336)</f>
        <v>3.7295413536650606</v>
      </c>
      <c r="K336" s="1">
        <f>_xlfn.STDEV.S(B336:D336)</f>
        <v>0.22870304362677021</v>
      </c>
    </row>
    <row r="337" spans="1:19" ht="20.100000000000001" customHeight="1">
      <c r="A337" s="1">
        <v>19.583333333333332</v>
      </c>
      <c r="B337" s="1">
        <f t="shared" si="11"/>
        <v>3.9114503892455863</v>
      </c>
      <c r="C337" s="1">
        <f t="shared" si="9"/>
        <v>3.4634499999999999</v>
      </c>
      <c r="D337" s="1">
        <f t="shared" si="10"/>
        <v>3.8114861080000022</v>
      </c>
      <c r="E337" s="1" t="str">
        <f>""</f>
        <v/>
      </c>
      <c r="F337" s="1" t="str">
        <f>""</f>
        <v/>
      </c>
      <c r="G337" s="1">
        <f>$B$9+$B$10*EXP(-$B$11*A337)</f>
        <v>3.8319195806811206</v>
      </c>
      <c r="H337" s="1">
        <f>$C$9+$C$10*EXP(-$C$11*A337)</f>
        <v>3.4732505343040372</v>
      </c>
      <c r="I337" s="1">
        <f>$D$9+$D$10*EXP(-$D$11*A337)</f>
        <v>3.8027293738585146</v>
      </c>
      <c r="J337" s="1">
        <f>AVERAGE(B337:D337)</f>
        <v>3.7287954990818633</v>
      </c>
      <c r="K337" s="1">
        <f>_xlfn.STDEV.S(B337:D337)</f>
        <v>0.23516885379124663</v>
      </c>
    </row>
    <row r="338" spans="1:19" ht="20.100000000000001" customHeight="1">
      <c r="A338" s="1">
        <v>19.666666666666668</v>
      </c>
      <c r="B338" s="1">
        <f t="shared" si="11"/>
        <v>3.9019023803827704</v>
      </c>
      <c r="C338" s="1">
        <f t="shared" si="9"/>
        <v>3.4618880016051379</v>
      </c>
      <c r="D338" s="1">
        <f t="shared" si="10"/>
        <v>3.8084698560000061</v>
      </c>
      <c r="E338" s="1" t="str">
        <f>""</f>
        <v/>
      </c>
      <c r="F338" s="1" t="str">
        <f>""</f>
        <v/>
      </c>
      <c r="G338" s="1">
        <f>$B$9+$B$10*EXP(-$B$11*A338)</f>
        <v>3.8293862122579583</v>
      </c>
      <c r="H338" s="1">
        <f>$C$9+$C$10*EXP(-$C$11*A338)</f>
        <v>3.4727603495275132</v>
      </c>
      <c r="I338" s="1">
        <f>$D$9+$D$10*EXP(-$D$11*A338)</f>
        <v>3.8017316565070325</v>
      </c>
      <c r="J338" s="1">
        <f>AVERAGE(B338:D338)</f>
        <v>3.724086745995971</v>
      </c>
      <c r="K338" s="1">
        <f>_xlfn.STDEV.S(B338:D338)</f>
        <v>0.23182654145552709</v>
      </c>
    </row>
    <row r="339" spans="1:19" ht="20.100000000000001" customHeight="1">
      <c r="A339" s="1">
        <v>19.75</v>
      </c>
      <c r="B339" s="1">
        <f t="shared" si="11"/>
        <v>3.9075256139646872</v>
      </c>
      <c r="C339" s="1">
        <f t="shared" si="9"/>
        <v>3.4550141079999892</v>
      </c>
      <c r="D339" s="1">
        <f t="shared" si="10"/>
        <v>3.801903748000004</v>
      </c>
      <c r="E339" s="1" t="str">
        <f>""</f>
        <v/>
      </c>
      <c r="F339" s="1" t="str">
        <f>""</f>
        <v/>
      </c>
      <c r="G339" s="1">
        <f>$B$9+$B$10*EXP(-$B$11*A339)</f>
        <v>3.8268853071336402</v>
      </c>
      <c r="H339" s="1">
        <f>$C$9+$C$10*EXP(-$C$11*A339)</f>
        <v>3.4722810277902516</v>
      </c>
      <c r="I339" s="1">
        <f>$D$9+$D$10*EXP(-$D$11*A339)</f>
        <v>3.8007515506626897</v>
      </c>
      <c r="J339" s="1">
        <f>AVERAGE(B339:D339)</f>
        <v>3.7214811566548938</v>
      </c>
      <c r="K339" s="1">
        <f>_xlfn.STDEV.S(B339:D339)</f>
        <v>0.23673299444016399</v>
      </c>
    </row>
    <row r="340" spans="1:19" ht="20.100000000000001" customHeight="1">
      <c r="A340" s="1">
        <v>19.833333333333332</v>
      </c>
      <c r="B340" s="1">
        <f t="shared" si="11"/>
        <v>3.9006699999999999</v>
      </c>
      <c r="C340" s="1">
        <f t="shared" si="9"/>
        <v>3.4652283329990001</v>
      </c>
      <c r="D340" s="1">
        <f t="shared" si="10"/>
        <v>3.7976450431293904</v>
      </c>
      <c r="E340" s="1" t="str">
        <f>""</f>
        <v/>
      </c>
      <c r="F340" s="1" t="str">
        <f>""</f>
        <v/>
      </c>
      <c r="G340" s="1">
        <f>$B$9+$B$10*EXP(-$B$11*A340)</f>
        <v>3.8244164493142816</v>
      </c>
      <c r="H340" s="1">
        <f>$C$9+$C$10*EXP(-$C$11*A340)</f>
        <v>3.4718123283552331</v>
      </c>
      <c r="I340" s="1">
        <f>$D$9+$D$10*EXP(-$D$11*A340)</f>
        <v>3.7997887454506842</v>
      </c>
      <c r="J340" s="1">
        <f>AVERAGE(B340:D340)</f>
        <v>3.7211811253761304</v>
      </c>
      <c r="K340" s="1">
        <f>_xlfn.STDEV.S(B340:D340)</f>
        <v>0.22756847184701445</v>
      </c>
    </row>
    <row r="341" spans="1:19" ht="20.100000000000001" customHeight="1">
      <c r="A341" s="1">
        <v>19.916666666666668</v>
      </c>
      <c r="B341" s="1">
        <f t="shared" si="11"/>
        <v>3.8997860360000041</v>
      </c>
      <c r="C341" s="1">
        <f t="shared" si="9"/>
        <v>3.4599640079760845</v>
      </c>
      <c r="D341" s="1">
        <f t="shared" si="10"/>
        <v>3.7958690927218335</v>
      </c>
      <c r="E341" s="1" t="str">
        <f>""</f>
        <v/>
      </c>
      <c r="F341" s="1" t="str">
        <f>""</f>
        <v/>
      </c>
      <c r="G341" s="1">
        <f>$B$9+$B$10*EXP(-$B$11*A341)</f>
        <v>3.8219792281366614</v>
      </c>
      <c r="H341" s="1">
        <f>$C$9+$C$10*EXP(-$C$11*A341)</f>
        <v>3.4713540158204377</v>
      </c>
      <c r="I341" s="1">
        <f>$D$9+$D$10*EXP(-$D$11*A341)</f>
        <v>3.7988429354837137</v>
      </c>
      <c r="J341" s="1">
        <f>AVERAGE(B341:D341)</f>
        <v>3.7185397122326407</v>
      </c>
      <c r="K341" s="1">
        <f>_xlfn.STDEV.S(B341:D341)</f>
        <v>0.22988198907026217</v>
      </c>
    </row>
    <row r="342" spans="1:19" ht="20.100000000000001" customHeight="1">
      <c r="A342" s="1">
        <v>20</v>
      </c>
      <c r="B342" s="1">
        <f t="shared" si="11"/>
        <v>3.8941922160000031</v>
      </c>
      <c r="C342" s="1">
        <f t="shared" si="9"/>
        <v>3.4492499578736098</v>
      </c>
      <c r="D342" s="1">
        <f t="shared" si="10"/>
        <v>3.7957766659979999</v>
      </c>
      <c r="E342" s="1" t="str">
        <f>""</f>
        <v/>
      </c>
      <c r="F342" s="1" t="str">
        <f>""</f>
        <v/>
      </c>
      <c r="G342" s="1">
        <f>$B$9+$B$10*EXP(-$B$11*A342)</f>
        <v>3.8195732381999123</v>
      </c>
      <c r="H342" s="1">
        <f>$C$9+$C$10*EXP(-$C$11*A342)</f>
        <v>3.4709058600006162</v>
      </c>
      <c r="I342" s="1">
        <f>$D$9+$D$10*EXP(-$D$11*A342)</f>
        <v>3.7979138207651131</v>
      </c>
      <c r="J342" s="1">
        <f>AVERAGE(B342:D342)</f>
        <v>3.7130729466238712</v>
      </c>
      <c r="K342" s="1">
        <f>_xlfn.STDEV.S(B342:D342)</f>
        <v>0.23371634980332359</v>
      </c>
    </row>
    <row r="343" spans="1:19" ht="20.100000000000001" customHeight="1"/>
    <row r="344" spans="1:19" ht="20.100000000000001" customHeight="1"/>
    <row r="345" spans="1:19" ht="20.100000000000001" customHeight="1">
      <c r="A345" s="2" t="s">
        <v>44</v>
      </c>
    </row>
    <row r="346" spans="1:19" ht="48" customHeight="1">
      <c r="A346" s="3" t="s">
        <v>35</v>
      </c>
      <c r="B346" s="3" t="s">
        <v>45</v>
      </c>
      <c r="C346" s="3" t="s">
        <v>38</v>
      </c>
      <c r="D346" s="3" t="s">
        <v>46</v>
      </c>
      <c r="E346" s="3" t="s">
        <v>47</v>
      </c>
      <c r="F346" s="3" t="s">
        <v>48</v>
      </c>
      <c r="G346" s="3" t="s">
        <v>49</v>
      </c>
      <c r="H346" s="3" t="s">
        <v>50</v>
      </c>
      <c r="I346" s="3" t="s">
        <v>51</v>
      </c>
      <c r="J346" s="3" t="s">
        <v>52</v>
      </c>
      <c r="K346" s="3" t="s">
        <v>53</v>
      </c>
      <c r="L346" s="3" t="s">
        <v>54</v>
      </c>
      <c r="M346" s="3" t="s">
        <v>55</v>
      </c>
      <c r="N346" s="3" t="s">
        <v>56</v>
      </c>
      <c r="O346" s="3" t="s">
        <v>57</v>
      </c>
      <c r="P346" s="3" t="s">
        <v>58</v>
      </c>
      <c r="Q346" s="3" t="s">
        <v>59</v>
      </c>
      <c r="R346" s="3" t="s">
        <v>60</v>
      </c>
      <c r="S346" s="3" t="s">
        <v>61</v>
      </c>
    </row>
    <row r="347" spans="1:19" ht="20.100000000000001" customHeight="1">
      <c r="A347" t="s">
        <v>2</v>
      </c>
      <c r="B347">
        <v>2</v>
      </c>
      <c r="C347" s="5">
        <f>('Raw Data'!C2-'Raw Data'!$C$2)/60</f>
        <v>0</v>
      </c>
      <c r="D347" s="5">
        <f>'Raw Data'!J2</f>
        <v>7.4064500000000004</v>
      </c>
      <c r="E347" s="5">
        <f>$D$347-D347</f>
        <v>0</v>
      </c>
      <c r="F347" s="8">
        <f>10^(-D347)</f>
        <v>3.9223830183657435E-8</v>
      </c>
      <c r="G347" s="5"/>
      <c r="H347" s="5">
        <f>$B$9+$B$10*EXP(-$B$11*C347)</f>
        <v>7.729383495161775</v>
      </c>
      <c r="I347" s="5">
        <f>D347-H347</f>
        <v>-0.32293349516177461</v>
      </c>
      <c r="J347" s="5">
        <f t="shared" ref="J347:J410" si="12">I347^2</f>
        <v>0.10428604229739991</v>
      </c>
      <c r="K347" s="5">
        <f>$B$17+$B$16*C347</f>
        <v>6.5880645059262344</v>
      </c>
      <c r="L347" s="5">
        <f>(D347-K347)^2</f>
        <v>0.66975481691036221</v>
      </c>
      <c r="M347" s="5">
        <f>$B$40+$B$41*EXP(-$B$42*C347)</f>
        <v>0</v>
      </c>
      <c r="N347" s="5">
        <f>(D347-M347)^2</f>
        <v>54.855501602500006</v>
      </c>
      <c r="O347" s="5"/>
      <c r="P347" s="5"/>
      <c r="Q347" s="5"/>
      <c r="R347" s="5"/>
      <c r="S347" s="5"/>
    </row>
    <row r="348" spans="1:19" ht="20.100000000000001" customHeight="1">
      <c r="A348" t="s">
        <v>2</v>
      </c>
      <c r="B348">
        <v>3</v>
      </c>
      <c r="C348" s="5">
        <f>('Raw Data'!C3-'Raw Data'!$C$2)/60</f>
        <v>8.3333333333333329E-2</v>
      </c>
      <c r="D348" s="5">
        <f>'Raw Data'!J3</f>
        <v>7.4249099999999997</v>
      </c>
      <c r="E348" s="5">
        <f>$D$347-D348</f>
        <v>-1.8459999999999255E-2</v>
      </c>
      <c r="F348" s="8">
        <f>10^(-D348)</f>
        <v>3.7591529814364576E-8</v>
      </c>
      <c r="G348" s="5">
        <f>(D348-D347)/(C348-C347)</f>
        <v>0.22151999999999106</v>
      </c>
      <c r="H348" s="5">
        <f>$B$9+$B$10*EXP(-$B$11*C348)</f>
        <v>7.6769069228073405</v>
      </c>
      <c r="I348" s="5">
        <f>D348-H348</f>
        <v>-0.25199692280734087</v>
      </c>
      <c r="J348" s="5">
        <f t="shared" si="12"/>
        <v>6.3502449104368919E-2</v>
      </c>
      <c r="K348" s="5">
        <f>$B$17+$B$16*C348</f>
        <v>6.5740236825886278</v>
      </c>
      <c r="L348" s="5">
        <f>(D348-K348)^2</f>
        <v>0.72400752515788591</v>
      </c>
      <c r="M348" s="5">
        <f>$B$40+$B$41*EXP(-$B$42*C348)</f>
        <v>0</v>
      </c>
      <c r="N348" s="5">
        <f>(D348-M348)^2</f>
        <v>55.129288508099997</v>
      </c>
      <c r="O348" s="5">
        <f>(C348+C347)/2</f>
        <v>4.1666666666666664E-2</v>
      </c>
      <c r="P348" s="5" t="str">
        <f>IF(AND(D347&gt;6,D348&lt;=6),C347+(6-D347)*(C348-C347)/(D348-D347),"")</f>
        <v/>
      </c>
      <c r="Q348" s="5" t="str">
        <f>IF(AND(D347&gt;5,D348&lt;=5),C347+(5-D347)*(C348-C347)/(D348-D347),"")</f>
        <v/>
      </c>
      <c r="R348" s="5" t="str">
        <f>IF(AND(D347&gt;4,D348&lt;=4),C347+(4-D347)*(C348-C347)/(D348-D347),"")</f>
        <v/>
      </c>
      <c r="S348" s="5" t="str">
        <f>IF(AND(D347&gt;3,D348&lt;=3),C347+(3-D347)*(C348-C347)/(D348-D347),"")</f>
        <v/>
      </c>
    </row>
    <row r="349" spans="1:19" ht="20.100000000000001" customHeight="1">
      <c r="A349" t="s">
        <v>2</v>
      </c>
      <c r="B349">
        <v>4</v>
      </c>
      <c r="C349" s="5">
        <f>('Raw Data'!C4-'Raw Data'!$C$2)/60</f>
        <v>0.16640000000006697</v>
      </c>
      <c r="D349" s="5">
        <f>'Raw Data'!J4</f>
        <v>7.40876</v>
      </c>
      <c r="E349" s="5">
        <f>$D$347-D349</f>
        <v>-2.3099999999995902E-3</v>
      </c>
      <c r="F349" s="8">
        <f>10^(-D349)</f>
        <v>3.9015753613493001E-8</v>
      </c>
      <c r="G349" s="5">
        <f>(D349-D348)/(C349-C348)</f>
        <v>-0.19442215088266426</v>
      </c>
      <c r="H349" s="5">
        <f>$B$9+$B$10*EXP(-$B$11*C349)</f>
        <v>7.6252675099728231</v>
      </c>
      <c r="I349" s="5">
        <f>D349-H349</f>
        <v>-0.21650750997282309</v>
      </c>
      <c r="J349" s="5">
        <f t="shared" si="12"/>
        <v>4.6875501874632089E-2</v>
      </c>
      <c r="K349" s="5">
        <f>$B$17+$B$16*C349</f>
        <v>6.56002778988569</v>
      </c>
      <c r="L349" s="5">
        <f>(D349-K349)^2</f>
        <v>0.72034636448552125</v>
      </c>
      <c r="M349" s="5">
        <f>$B$40+$B$41*EXP(-$B$42*C349)</f>
        <v>0</v>
      </c>
      <c r="N349" s="5">
        <f>(D349-M349)^2</f>
        <v>54.889724737599998</v>
      </c>
      <c r="O349" s="5">
        <f>(C349+C348)/2</f>
        <v>0.12486666666670015</v>
      </c>
      <c r="P349" s="5" t="str">
        <f>IF(AND(D348&gt;6,D349&lt;=6),C348+(6-D348)*(C349-C348)/(D349-D348),"")</f>
        <v/>
      </c>
      <c r="Q349" s="5" t="str">
        <f>IF(AND(D348&gt;5,D349&lt;=5),C348+(5-D348)*(C349-C348)/(D349-D348),"")</f>
        <v/>
      </c>
      <c r="R349" s="5" t="str">
        <f>IF(AND(D348&gt;4,D349&lt;=4),C348+(4-D348)*(C349-C348)/(D349-D348),"")</f>
        <v/>
      </c>
      <c r="S349" s="5" t="str">
        <f>IF(AND(D348&gt;3,D349&lt;=3),C348+(3-D348)*(C349-C348)/(D349-D348),"")</f>
        <v/>
      </c>
    </row>
    <row r="350" spans="1:19" ht="20.100000000000001" customHeight="1">
      <c r="A350" t="s">
        <v>2</v>
      </c>
      <c r="B350">
        <v>5</v>
      </c>
      <c r="C350" s="5">
        <f>('Raw Data'!C5-'Raw Data'!$C$2)/60</f>
        <v>0.24999999999999997</v>
      </c>
      <c r="D350" s="5">
        <f>'Raw Data'!J5</f>
        <v>7.3960699999999999</v>
      </c>
      <c r="E350" s="5">
        <f>$D$347-D350</f>
        <v>1.03800000000005E-2</v>
      </c>
      <c r="F350" s="8">
        <f>10^(-D350)</f>
        <v>4.0172605504057146E-8</v>
      </c>
      <c r="G350" s="5">
        <f>(D350-D349)/(C350-C349)</f>
        <v>-0.15179425837332847</v>
      </c>
      <c r="H350" s="5">
        <f>$B$9+$B$10*EXP(-$B$11*C350)</f>
        <v>7.5739625100193013</v>
      </c>
      <c r="I350" s="5">
        <f>D350-H350</f>
        <v>-0.1778925100193014</v>
      </c>
      <c r="J350" s="5">
        <f t="shared" si="12"/>
        <v>3.1645745120967246E-2</v>
      </c>
      <c r="K350" s="5">
        <f>$B$17+$B$16*C350</f>
        <v>6.5459420359134137</v>
      </c>
      <c r="L350" s="5">
        <f>(D350-K350)^2</f>
        <v>0.72271755532200399</v>
      </c>
      <c r="M350" s="5">
        <f>$B$40+$B$41*EXP(-$B$42*C350)</f>
        <v>0</v>
      </c>
      <c r="N350" s="5">
        <f>(D350-M350)^2</f>
        <v>54.701851444900001</v>
      </c>
      <c r="O350" s="5">
        <f>(C350+C349)/2</f>
        <v>0.20820000000003347</v>
      </c>
      <c r="P350" s="5" t="str">
        <f>IF(AND(D349&gt;6,D350&lt;=6),C349+(6-D349)*(C350-C349)/(D350-D349),"")</f>
        <v/>
      </c>
      <c r="Q350" s="5" t="str">
        <f>IF(AND(D349&gt;5,D350&lt;=5),C349+(5-D349)*(C350-C349)/(D350-D349),"")</f>
        <v/>
      </c>
      <c r="R350" s="5" t="str">
        <f>IF(AND(D349&gt;4,D350&lt;=4),C349+(4-D349)*(C350-C349)/(D350-D349),"")</f>
        <v/>
      </c>
      <c r="S350" s="5" t="str">
        <f>IF(AND(D349&gt;3,D350&lt;=3),C349+(3-D349)*(C350-C349)/(D350-D349),"")</f>
        <v/>
      </c>
    </row>
    <row r="351" spans="1:19" ht="20.100000000000001" customHeight="1">
      <c r="A351" t="s">
        <v>2</v>
      </c>
      <c r="B351">
        <v>6</v>
      </c>
      <c r="C351" s="5">
        <f>('Raw Data'!C6-'Raw Data'!$C$2)/60</f>
        <v>0.33306666666673368</v>
      </c>
      <c r="D351" s="5">
        <f>'Raw Data'!J6</f>
        <v>7.3764599999999998</v>
      </c>
      <c r="E351" s="5">
        <f>$D$347-D351</f>
        <v>2.9990000000000627E-2</v>
      </c>
      <c r="F351" s="8">
        <f>10^(-D351)</f>
        <v>4.202812352270202E-8</v>
      </c>
      <c r="G351" s="5">
        <f>(D351-D350)/(C351-C350)</f>
        <v>-0.23607544141233106</v>
      </c>
      <c r="H351" s="5">
        <f>$B$9+$B$10*EXP(-$B$11*C351)</f>
        <v>7.5236380617480032</v>
      </c>
      <c r="I351" s="5">
        <f>D351-H351</f>
        <v>-0.14717806174800341</v>
      </c>
      <c r="J351" s="5">
        <f t="shared" si="12"/>
        <v>2.1661381859899104E-2</v>
      </c>
      <c r="K351" s="5">
        <f>$B$17+$B$16*C351</f>
        <v>6.5319461432104768</v>
      </c>
      <c r="L351" s="5">
        <f>(D351-K351)^2</f>
        <v>0.71320365430951493</v>
      </c>
      <c r="M351" s="5">
        <f>$B$40+$B$41*EXP(-$B$42*C351)</f>
        <v>0</v>
      </c>
      <c r="N351" s="5">
        <f>(D351-M351)^2</f>
        <v>54.412162131599999</v>
      </c>
      <c r="O351" s="5">
        <f>(C351+C350)/2</f>
        <v>0.29153333333336684</v>
      </c>
      <c r="P351" s="5" t="str">
        <f>IF(AND(D350&gt;6,D351&lt;=6),C350+(6-D350)*(C351-C350)/(D351-D350),"")</f>
        <v/>
      </c>
      <c r="Q351" s="5" t="str">
        <f>IF(AND(D350&gt;5,D351&lt;=5),C350+(5-D350)*(C351-C350)/(D351-D350),"")</f>
        <v/>
      </c>
      <c r="R351" s="5" t="str">
        <f>IF(AND(D350&gt;4,D351&lt;=4),C350+(4-D350)*(C351-C350)/(D351-D350),"")</f>
        <v/>
      </c>
      <c r="S351" s="5" t="str">
        <f>IF(AND(D350&gt;3,D351&lt;=3),C350+(3-D350)*(C351-C350)/(D351-D350),"")</f>
        <v/>
      </c>
    </row>
    <row r="352" spans="1:19" ht="20.100000000000001" customHeight="1">
      <c r="A352" t="s">
        <v>2</v>
      </c>
      <c r="B352">
        <v>7</v>
      </c>
      <c r="C352" s="5">
        <f>('Raw Data'!C7-'Raw Data'!$C$2)/60</f>
        <v>0.41640000000006699</v>
      </c>
      <c r="D352" s="5">
        <f>'Raw Data'!J7</f>
        <v>7.3406900000000004</v>
      </c>
      <c r="E352" s="5">
        <f>$D$347-D352</f>
        <v>6.5760000000000041E-2</v>
      </c>
      <c r="F352" s="8">
        <f>10^(-D352)</f>
        <v>4.5636255193657822E-8</v>
      </c>
      <c r="G352" s="5">
        <f>(D352-D351)/(C352-C351)</f>
        <v>-0.42923999999999307</v>
      </c>
      <c r="H352" s="5">
        <f>$B$9+$B$10*EXP(-$B$11*C352)</f>
        <v>7.4737979695161254</v>
      </c>
      <c r="I352" s="5">
        <f>D352-H352</f>
        <v>-0.13310796951612502</v>
      </c>
      <c r="J352" s="5">
        <f t="shared" si="12"/>
        <v>1.7717731548705668E-2</v>
      </c>
      <c r="K352" s="5">
        <f>$B$17+$B$16*C352</f>
        <v>6.5179053198728694</v>
      </c>
      <c r="L352" s="5">
        <f>(D352-K352)^2</f>
        <v>0.67697462985190526</v>
      </c>
      <c r="M352" s="5">
        <f>$B$40+$B$41*EXP(-$B$42*C352)</f>
        <v>0</v>
      </c>
      <c r="N352" s="5">
        <f>(D352-M352)^2</f>
        <v>53.885729676100006</v>
      </c>
      <c r="O352" s="5">
        <f>(C352+C351)/2</f>
        <v>0.37473333333340031</v>
      </c>
      <c r="P352" s="5" t="str">
        <f>IF(AND(D351&gt;6,D352&lt;=6),C351+(6-D351)*(C352-C351)/(D352-D351),"")</f>
        <v/>
      </c>
      <c r="Q352" s="5" t="str">
        <f>IF(AND(D351&gt;5,D352&lt;=5),C351+(5-D351)*(C352-C351)/(D352-D351),"")</f>
        <v/>
      </c>
      <c r="R352" s="5" t="str">
        <f>IF(AND(D351&gt;4,D352&lt;=4),C351+(4-D351)*(C352-C351)/(D352-D351),"")</f>
        <v/>
      </c>
      <c r="S352" s="5" t="str">
        <f>IF(AND(D351&gt;3,D352&lt;=3),C351+(3-D351)*(C352-C351)/(D352-D351),"")</f>
        <v/>
      </c>
    </row>
    <row r="353" spans="1:19" ht="20.100000000000001" customHeight="1">
      <c r="A353" t="s">
        <v>2</v>
      </c>
      <c r="B353">
        <v>8</v>
      </c>
      <c r="C353" s="5">
        <f>('Raw Data'!C8-'Raw Data'!$C$2)/60</f>
        <v>0.49973333333340031</v>
      </c>
      <c r="D353" s="5">
        <f>'Raw Data'!J8</f>
        <v>7.3164699999999998</v>
      </c>
      <c r="E353" s="5">
        <f>$D$347-D353</f>
        <v>8.9980000000000615E-2</v>
      </c>
      <c r="F353" s="8">
        <f>10^(-D353)</f>
        <v>4.8253631133599471E-8</v>
      </c>
      <c r="G353" s="5">
        <f>(D353-D352)/(C353-C352)</f>
        <v>-0.29064000000000695</v>
      </c>
      <c r="H353" s="5">
        <f>$B$9+$B$10*EXP(-$B$11*C353)</f>
        <v>7.4245965423097395</v>
      </c>
      <c r="I353" s="5">
        <f>D353-H353</f>
        <v>-0.10812654230973973</v>
      </c>
      <c r="J353" s="5">
        <f t="shared" si="12"/>
        <v>1.1691349151859935E-2</v>
      </c>
      <c r="K353" s="5">
        <f>$B$17+$B$16*C353</f>
        <v>6.5038644965352628</v>
      </c>
      <c r="L353" s="5">
        <f>(D353-K353)^2</f>
        <v>0.66032770426117871</v>
      </c>
      <c r="M353" s="5">
        <f>$B$40+$B$41*EXP(-$B$42*C353)</f>
        <v>0</v>
      </c>
      <c r="N353" s="5">
        <f>(D353-M353)^2</f>
        <v>53.5307332609</v>
      </c>
      <c r="O353" s="5">
        <f>(C353+C352)/2</f>
        <v>0.45806666666673368</v>
      </c>
      <c r="P353" s="5" t="str">
        <f>IF(AND(D352&gt;6,D353&lt;=6),C352+(6-D352)*(C353-C352)/(D353-D352),"")</f>
        <v/>
      </c>
      <c r="Q353" s="5" t="str">
        <f>IF(AND(D352&gt;5,D353&lt;=5),C352+(5-D352)*(C353-C352)/(D353-D352),"")</f>
        <v/>
      </c>
      <c r="R353" s="5" t="str">
        <f>IF(AND(D352&gt;4,D353&lt;=4),C352+(4-D352)*(C353-C352)/(D353-D352),"")</f>
        <v/>
      </c>
      <c r="S353" s="5" t="str">
        <f>IF(AND(D352&gt;3,D353&lt;=3),C352+(3-D352)*(C353-C352)/(D353-D352),"")</f>
        <v/>
      </c>
    </row>
    <row r="354" spans="1:19" ht="20.100000000000001" customHeight="1">
      <c r="A354" t="s">
        <v>2</v>
      </c>
      <c r="B354">
        <v>9</v>
      </c>
      <c r="C354" s="5">
        <f>('Raw Data'!C9-'Raw Data'!$C$2)/60</f>
        <v>0.58306666666673357</v>
      </c>
      <c r="D354" s="5">
        <f>'Raw Data'!J9</f>
        <v>7.2934000000000001</v>
      </c>
      <c r="E354" s="5">
        <f>$D$347-D354</f>
        <v>0.11305000000000032</v>
      </c>
      <c r="F354" s="8">
        <f>10^(-D354)</f>
        <v>5.0886197595607717E-8</v>
      </c>
      <c r="G354" s="5">
        <f>(D354-D353)/(C354-C353)</f>
        <v>-0.27683999999999664</v>
      </c>
      <c r="H354" s="5">
        <f>$B$9+$B$10*EXP(-$B$11*C354)</f>
        <v>7.3760255960947347</v>
      </c>
      <c r="I354" s="5">
        <f>D354-H354</f>
        <v>-8.2625596094734632E-2</v>
      </c>
      <c r="J354" s="5">
        <f t="shared" si="12"/>
        <v>6.8269891300102269E-3</v>
      </c>
      <c r="K354" s="5">
        <f>$B$17+$B$16*C354</f>
        <v>6.4898236731976562</v>
      </c>
      <c r="L354" s="5">
        <f>(D354-K354)^2</f>
        <v>0.64573491299714747</v>
      </c>
      <c r="M354" s="5">
        <f>$B$40+$B$41*EXP(-$B$42*C354)</f>
        <v>0</v>
      </c>
      <c r="N354" s="5">
        <f>(D354-M354)^2</f>
        <v>53.193683560000004</v>
      </c>
      <c r="O354" s="5">
        <f>(C354+C353)/2</f>
        <v>0.54140000000006694</v>
      </c>
      <c r="P354" s="5" t="str">
        <f>IF(AND(D353&gt;6,D354&lt;=6),C353+(6-D353)*(C354-C353)/(D354-D353),"")</f>
        <v/>
      </c>
      <c r="Q354" s="5" t="str">
        <f>IF(AND(D353&gt;5,D354&lt;=5),C353+(5-D353)*(C354-C353)/(D354-D353),"")</f>
        <v/>
      </c>
      <c r="R354" s="5" t="str">
        <f>IF(AND(D353&gt;4,D354&lt;=4),C353+(4-D353)*(C354-C353)/(D354-D353),"")</f>
        <v/>
      </c>
      <c r="S354" s="5" t="str">
        <f>IF(AND(D353&gt;3,D354&lt;=3),C353+(3-D353)*(C354-C353)/(D354-D353),"")</f>
        <v/>
      </c>
    </row>
    <row r="355" spans="1:19" ht="20.100000000000001" customHeight="1">
      <c r="A355" t="s">
        <v>2</v>
      </c>
      <c r="B355">
        <v>10</v>
      </c>
      <c r="C355" s="5">
        <f>('Raw Data'!C10-'Raw Data'!$C$2)/60</f>
        <v>0.66615000000007663</v>
      </c>
      <c r="D355" s="5">
        <f>'Raw Data'!J10</f>
        <v>7.2530200000000002</v>
      </c>
      <c r="E355" s="5">
        <f>$D$347-D355</f>
        <v>0.15343000000000018</v>
      </c>
      <c r="F355" s="8">
        <f>10^(-D355)</f>
        <v>5.5844447682610532E-8</v>
      </c>
      <c r="G355" s="5">
        <f>(D355-D354)/(C355-C354)</f>
        <v>-0.48601805416242888</v>
      </c>
      <c r="H355" s="5">
        <f>$B$9+$B$10*EXP(-$B$11*C355)</f>
        <v>7.3282199745061662</v>
      </c>
      <c r="I355" s="5">
        <f>D355-H355</f>
        <v>-7.5199974506166001E-2</v>
      </c>
      <c r="J355" s="5">
        <f t="shared" si="12"/>
        <v>5.6550361657280168E-3</v>
      </c>
      <c r="K355" s="5">
        <f>$B$17+$B$16*C355</f>
        <v>6.4758249723300603</v>
      </c>
      <c r="L355" s="5">
        <f>(D355-K355)^2</f>
        <v>0.60403211103487875</v>
      </c>
      <c r="M355" s="5">
        <f>$B$40+$B$41*EXP(-$B$42*C355)</f>
        <v>0</v>
      </c>
      <c r="N355" s="5">
        <f>(D355-M355)^2</f>
        <v>52.606299120400003</v>
      </c>
      <c r="O355" s="5">
        <f>(C355+C354)/2</f>
        <v>0.62460833333340515</v>
      </c>
      <c r="P355" s="5" t="str">
        <f>IF(AND(D354&gt;6,D355&lt;=6),C354+(6-D354)*(C355-C354)/(D355-D354),"")</f>
        <v/>
      </c>
      <c r="Q355" s="5" t="str">
        <f>IF(AND(D354&gt;5,D355&lt;=5),C354+(5-D354)*(C355-C354)/(D355-D354),"")</f>
        <v/>
      </c>
      <c r="R355" s="5" t="str">
        <f>IF(AND(D354&gt;4,D355&lt;=4),C354+(4-D354)*(C355-C354)/(D355-D354),"")</f>
        <v/>
      </c>
      <c r="S355" s="5" t="str">
        <f>IF(AND(D354&gt;3,D355&lt;=3),C354+(3-D354)*(C355-C354)/(D355-D354),"")</f>
        <v/>
      </c>
    </row>
    <row r="356" spans="1:19" ht="20.100000000000001" customHeight="1">
      <c r="A356" t="s">
        <v>2</v>
      </c>
      <c r="B356">
        <v>11</v>
      </c>
      <c r="C356" s="5">
        <f>('Raw Data'!C11-'Raw Data'!$C$2)/60</f>
        <v>0.74973333333340031</v>
      </c>
      <c r="D356" s="5">
        <f>'Raw Data'!J11</f>
        <v>7.21495</v>
      </c>
      <c r="E356" s="5">
        <f>$D$347-D356</f>
        <v>0.19150000000000045</v>
      </c>
      <c r="F356" s="8">
        <f>10^(-D356)</f>
        <v>6.0960707680861132E-8</v>
      </c>
      <c r="G356" s="5">
        <f>(D356-D355)/(C356-C355)</f>
        <v>-0.45547357926226917</v>
      </c>
      <c r="H356" s="5">
        <f>$B$9+$B$10*EXP(-$B$11*C356)</f>
        <v>7.2807429335212017</v>
      </c>
      <c r="I356" s="5">
        <f>D356-H356</f>
        <v>-6.5792933521201746E-2</v>
      </c>
      <c r="J356" s="5">
        <f t="shared" si="12"/>
        <v>4.3287101013252723E-3</v>
      </c>
      <c r="K356" s="5">
        <f>$B$17+$B$16*C356</f>
        <v>6.461742026522443</v>
      </c>
      <c r="L356" s="5">
        <f>(D356-K356)^2</f>
        <v>0.56732225131016811</v>
      </c>
      <c r="M356" s="5">
        <f>$B$40+$B$41*EXP(-$B$42*C356)</f>
        <v>0</v>
      </c>
      <c r="N356" s="5">
        <f>(D356-M356)^2</f>
        <v>52.055503502500002</v>
      </c>
      <c r="O356" s="5">
        <f>(C356+C355)/2</f>
        <v>0.70794166666673841</v>
      </c>
      <c r="P356" s="5" t="str">
        <f>IF(AND(D355&gt;6,D356&lt;=6),C355+(6-D355)*(C356-C355)/(D356-D355),"")</f>
        <v/>
      </c>
      <c r="Q356" s="5" t="str">
        <f>IF(AND(D355&gt;5,D356&lt;=5),C355+(5-D355)*(C356-C355)/(D356-D355),"")</f>
        <v/>
      </c>
      <c r="R356" s="5" t="str">
        <f>IF(AND(D355&gt;4,D356&lt;=4),C355+(4-D355)*(C356-C355)/(D356-D355),"")</f>
        <v/>
      </c>
      <c r="S356" s="5" t="str">
        <f>IF(AND(D355&gt;3,D356&lt;=3),C355+(3-D355)*(C356-C355)/(D356-D355),"")</f>
        <v/>
      </c>
    </row>
    <row r="357" spans="1:19" ht="20.100000000000001" customHeight="1">
      <c r="A357" t="s">
        <v>2</v>
      </c>
      <c r="B357">
        <v>12</v>
      </c>
      <c r="C357" s="5">
        <f>('Raw Data'!C12-'Raw Data'!$C$2)/60</f>
        <v>0.83281666666674325</v>
      </c>
      <c r="D357" s="5">
        <f>'Raw Data'!J12</f>
        <v>7.1838100000000003</v>
      </c>
      <c r="E357" s="5">
        <f>$D$347-D357</f>
        <v>0.22264000000000017</v>
      </c>
      <c r="F357" s="8">
        <f>10^(-D357)</f>
        <v>6.5492263426880058E-8</v>
      </c>
      <c r="G357" s="5">
        <f>(D357-D356)/(C357-C356)</f>
        <v>-0.37480441323967245</v>
      </c>
      <c r="H357" s="5">
        <f>$B$9+$B$10*EXP(-$B$11*C357)</f>
        <v>7.2341546514580291</v>
      </c>
      <c r="I357" s="5">
        <f>D357-H357</f>
        <v>-5.03446514580288E-2</v>
      </c>
      <c r="J357" s="5">
        <f t="shared" si="12"/>
        <v>2.5345839304304015E-3</v>
      </c>
      <c r="K357" s="5">
        <f>$B$17+$B$16*C357</f>
        <v>6.4477433256548471</v>
      </c>
      <c r="L357" s="5">
        <f>(D357-K357)^2</f>
        <v>0.54179414908153378</v>
      </c>
      <c r="M357" s="5">
        <f>$B$40+$B$41*EXP(-$B$42*C357)</f>
        <v>0</v>
      </c>
      <c r="N357" s="5">
        <f>(D357-M357)^2</f>
        <v>51.607126116100005</v>
      </c>
      <c r="O357" s="5">
        <f>(C357+C356)/2</f>
        <v>0.79127500000007178</v>
      </c>
      <c r="P357" s="5" t="str">
        <f>IF(AND(D356&gt;6,D357&lt;=6),C356+(6-D356)*(C357-C356)/(D357-D356),"")</f>
        <v/>
      </c>
      <c r="Q357" s="5" t="str">
        <f>IF(AND(D356&gt;5,D357&lt;=5),C356+(5-D356)*(C357-C356)/(D357-D356),"")</f>
        <v/>
      </c>
      <c r="R357" s="5" t="str">
        <f>IF(AND(D356&gt;4,D357&lt;=4),C356+(4-D356)*(C357-C356)/(D357-D356),"")</f>
        <v/>
      </c>
      <c r="S357" s="5" t="str">
        <f>IF(AND(D356&gt;3,D357&lt;=3),C356+(3-D356)*(C357-C356)/(D357-D356),"")</f>
        <v/>
      </c>
    </row>
    <row r="358" spans="1:19" ht="20.100000000000001" customHeight="1">
      <c r="A358" t="s">
        <v>2</v>
      </c>
      <c r="B358">
        <v>13</v>
      </c>
      <c r="C358" s="5">
        <f>('Raw Data'!C13-'Raw Data'!$C$2)/60</f>
        <v>0.91615000000007663</v>
      </c>
      <c r="D358" s="5">
        <f>'Raw Data'!J13</f>
        <v>7.1388100000000003</v>
      </c>
      <c r="E358" s="5">
        <f>$D$347-D358</f>
        <v>0.2676400000000001</v>
      </c>
      <c r="F358" s="8">
        <f>10^(-D358)</f>
        <v>7.2642369187626147E-8</v>
      </c>
      <c r="G358" s="5">
        <f>(D358-D357)/(C358-C357)</f>
        <v>-0.53999999999999893</v>
      </c>
      <c r="H358" s="5">
        <f>$B$9+$B$10*EXP(-$B$11*C358)</f>
        <v>7.1880240814467733</v>
      </c>
      <c r="I358" s="5">
        <f>D358-H358</f>
        <v>-4.9214081446772973E-2</v>
      </c>
      <c r="J358" s="5">
        <f t="shared" si="12"/>
        <v>2.4220258126496038E-3</v>
      </c>
      <c r="K358" s="5">
        <f>$B$17+$B$16*C358</f>
        <v>6.4337025023172405</v>
      </c>
      <c r="L358" s="5">
        <f>(D358-K358)^2</f>
        <v>0.49717658328844316</v>
      </c>
      <c r="M358" s="5">
        <f>$B$40+$B$41*EXP(-$B$42*C358)</f>
        <v>0</v>
      </c>
      <c r="N358" s="5">
        <f>(D358-M358)^2</f>
        <v>50.962608216100001</v>
      </c>
      <c r="O358" s="5">
        <f>(C358+C357)/2</f>
        <v>0.87448333333340988</v>
      </c>
      <c r="P358" s="5" t="str">
        <f>IF(AND(D357&gt;6,D358&lt;=6),C357+(6-D357)*(C358-C357)/(D358-D357),"")</f>
        <v/>
      </c>
      <c r="Q358" s="5" t="str">
        <f>IF(AND(D357&gt;5,D358&lt;=5),C357+(5-D357)*(C358-C357)/(D358-D357),"")</f>
        <v/>
      </c>
      <c r="R358" s="5" t="str">
        <f>IF(AND(D357&gt;4,D358&lt;=4),C357+(4-D357)*(C358-C357)/(D358-D357),"")</f>
        <v/>
      </c>
      <c r="S358" s="5" t="str">
        <f>IF(AND(D357&gt;3,D358&lt;=3),C357+(3-D357)*(C358-C357)/(D358-D357),"")</f>
        <v/>
      </c>
    </row>
    <row r="359" spans="1:19" ht="20.100000000000001" customHeight="1">
      <c r="A359" t="s">
        <v>2</v>
      </c>
      <c r="B359">
        <v>14</v>
      </c>
      <c r="C359" s="5">
        <f>('Raw Data'!C14-'Raw Data'!$C$2)/60</f>
        <v>0.99948333333341</v>
      </c>
      <c r="D359" s="5">
        <f>'Raw Data'!J14</f>
        <v>7.09382</v>
      </c>
      <c r="E359" s="5">
        <f>$D$347-D359</f>
        <v>0.31263000000000041</v>
      </c>
      <c r="F359" s="8">
        <f>10^(-D359)</f>
        <v>8.05712311813908E-8</v>
      </c>
      <c r="G359" s="5">
        <f>(D359-D358)/(C359-C358)</f>
        <v>-0.53988000000000347</v>
      </c>
      <c r="H359" s="5">
        <f>$B$9+$B$10*EXP(-$B$11*C359)</f>
        <v>7.1424846415950487</v>
      </c>
      <c r="I359" s="5">
        <f>D359-H359</f>
        <v>-4.8664641595048685E-2</v>
      </c>
      <c r="J359" s="5">
        <f t="shared" si="12"/>
        <v>2.3682473415745425E-3</v>
      </c>
      <c r="K359" s="5">
        <f>$B$17+$B$16*C359</f>
        <v>6.4196616789796339</v>
      </c>
      <c r="L359" s="5">
        <f>(D359-K359)^2</f>
        <v>0.45448944180099898</v>
      </c>
      <c r="M359" s="5">
        <f>$B$40+$B$41*EXP(-$B$42*C359)</f>
        <v>0</v>
      </c>
      <c r="N359" s="5">
        <f>(D359-M359)^2</f>
        <v>50.322282192400003</v>
      </c>
      <c r="O359" s="5">
        <f>(C359+C358)/2</f>
        <v>0.95781666666674337</v>
      </c>
      <c r="P359" s="5" t="str">
        <f>IF(AND(D358&gt;6,D359&lt;=6),C358+(6-D358)*(C359-C358)/(D359-D358),"")</f>
        <v/>
      </c>
      <c r="Q359" s="5" t="str">
        <f>IF(AND(D358&gt;5,D359&lt;=5),C358+(5-D358)*(C359-C358)/(D359-D358),"")</f>
        <v/>
      </c>
      <c r="R359" s="5" t="str">
        <f>IF(AND(D358&gt;4,D359&lt;=4),C358+(4-D358)*(C359-C358)/(D359-D358),"")</f>
        <v/>
      </c>
      <c r="S359" s="5" t="str">
        <f>IF(AND(D358&gt;3,D359&lt;=3),C358+(3-D358)*(C359-C358)/(D359-D358),"")</f>
        <v/>
      </c>
    </row>
    <row r="360" spans="1:19" ht="20.100000000000001" customHeight="1">
      <c r="A360" t="s">
        <v>2</v>
      </c>
      <c r="B360">
        <v>15</v>
      </c>
      <c r="C360" s="5">
        <f>('Raw Data'!C15-'Raw Data'!$C$2)/60</f>
        <v>1.0828166666667434</v>
      </c>
      <c r="D360" s="5">
        <f>'Raw Data'!J15</f>
        <v>7.0603699999999998</v>
      </c>
      <c r="E360" s="5">
        <f>$D$347-D360</f>
        <v>0.34608000000000061</v>
      </c>
      <c r="F360" s="8">
        <f>10^(-D360)</f>
        <v>8.7022188287387682E-8</v>
      </c>
      <c r="G360" s="5">
        <f>(D360-D359)/(C360-C359)</f>
        <v>-0.40140000000000225</v>
      </c>
      <c r="H360" s="5">
        <f>$B$9+$B$10*EXP(-$B$11*C360)</f>
        <v>7.0975287569939525</v>
      </c>
      <c r="I360" s="5">
        <f>D360-H360</f>
        <v>-3.7158756993952657E-2</v>
      </c>
      <c r="J360" s="5">
        <f t="shared" si="12"/>
        <v>1.3807732213356255E-3</v>
      </c>
      <c r="K360" s="5">
        <f>$B$17+$B$16*C360</f>
        <v>6.4056208556420264</v>
      </c>
      <c r="L360" s="5">
        <f>(D360-K360)^2</f>
        <v>0.42869644203749824</v>
      </c>
      <c r="M360" s="5">
        <f>$B$40+$B$41*EXP(-$B$42*C360)</f>
        <v>0</v>
      </c>
      <c r="N360" s="5">
        <f>(D360-M360)^2</f>
        <v>49.848824536899997</v>
      </c>
      <c r="O360" s="5">
        <f>(C360+C359)/2</f>
        <v>1.0411500000000766</v>
      </c>
      <c r="P360" s="5" t="str">
        <f>IF(AND(D359&gt;6,D360&lt;=6),C359+(6-D359)*(C360-C359)/(D360-D359),"")</f>
        <v/>
      </c>
      <c r="Q360" s="5" t="str">
        <f>IF(AND(D359&gt;5,D360&lt;=5),C359+(5-D359)*(C360-C359)/(D360-D359),"")</f>
        <v/>
      </c>
      <c r="R360" s="5" t="str">
        <f>IF(AND(D359&gt;4,D360&lt;=4),C359+(4-D359)*(C360-C359)/(D360-D359),"")</f>
        <v/>
      </c>
      <c r="S360" s="5" t="str">
        <f>IF(AND(D359&gt;3,D360&lt;=3),C359+(3-D359)*(C360-C359)/(D360-D359),"")</f>
        <v/>
      </c>
    </row>
    <row r="361" spans="1:19" ht="20.100000000000001" customHeight="1">
      <c r="A361" t="s">
        <v>2</v>
      </c>
      <c r="B361">
        <v>16</v>
      </c>
      <c r="C361" s="5">
        <f>('Raw Data'!C16-'Raw Data'!$C$2)/60</f>
        <v>1.1658833333333556</v>
      </c>
      <c r="D361" s="5">
        <f>'Raw Data'!J16</f>
        <v>7.01999</v>
      </c>
      <c r="E361" s="5">
        <f>$D$347-D361</f>
        <v>0.38646000000000047</v>
      </c>
      <c r="F361" s="8">
        <f>10^(-D361)</f>
        <v>9.5501457579152537E-8</v>
      </c>
      <c r="G361" s="5">
        <f>(D361-D360)/(C361-C360)</f>
        <v>-0.48611556982375193</v>
      </c>
      <c r="H361" s="5">
        <f>$B$9+$B$10*EXP(-$B$11*C361)</f>
        <v>7.0532900542720238</v>
      </c>
      <c r="I361" s="5">
        <f>D361-H361</f>
        <v>-3.3300054272023871E-2</v>
      </c>
      <c r="J361" s="5">
        <f t="shared" si="12"/>
        <v>1.1088936145197353E-3</v>
      </c>
      <c r="K361" s="5">
        <f>$B$17+$B$16*C361</f>
        <v>6.39162496293911</v>
      </c>
      <c r="L361" s="5">
        <f>(D361-K361)^2</f>
        <v>0.39484261980053365</v>
      </c>
      <c r="M361" s="5">
        <f>$B$40+$B$41*EXP(-$B$42*C361)</f>
        <v>0</v>
      </c>
      <c r="N361" s="5">
        <f>(D361-M361)^2</f>
        <v>49.280259600100003</v>
      </c>
      <c r="O361" s="5">
        <f>(C361+C360)/2</f>
        <v>1.1243500000000495</v>
      </c>
      <c r="P361" s="5" t="str">
        <f>IF(AND(D360&gt;6,D361&lt;=6),C360+(6-D360)*(C361-C360)/(D361-D360),"")</f>
        <v/>
      </c>
      <c r="Q361" s="5" t="str">
        <f>IF(AND(D360&gt;5,D361&lt;=5),C360+(5-D360)*(C361-C360)/(D361-D360),"")</f>
        <v/>
      </c>
      <c r="R361" s="5" t="str">
        <f>IF(AND(D360&gt;4,D361&lt;=4),C360+(4-D360)*(C361-C360)/(D361-D360),"")</f>
        <v/>
      </c>
      <c r="S361" s="5" t="str">
        <f>IF(AND(D360&gt;3,D361&lt;=3),C360+(3-D360)*(C361-C360)/(D361-D360),"")</f>
        <v/>
      </c>
    </row>
    <row r="362" spans="1:19" ht="20.100000000000001" customHeight="1">
      <c r="A362" t="s">
        <v>2</v>
      </c>
      <c r="B362">
        <v>17</v>
      </c>
      <c r="C362" s="5">
        <f>('Raw Data'!C17-'Raw Data'!$C$2)/60</f>
        <v>1.2492166666666891</v>
      </c>
      <c r="D362" s="5">
        <f>'Raw Data'!J17</f>
        <v>6.9784600000000001</v>
      </c>
      <c r="E362" s="5">
        <f>$D$347-D362</f>
        <v>0.42799000000000031</v>
      </c>
      <c r="F362" s="8">
        <f>10^(-D362)</f>
        <v>1.0508482371079251E-7</v>
      </c>
      <c r="G362" s="5">
        <f>(D362-D361)/(C362-C361)</f>
        <v>-0.49835999999999725</v>
      </c>
      <c r="H362" s="5">
        <f>$B$9+$B$10*EXP(-$B$11*C362)</f>
        <v>7.0094771343171658</v>
      </c>
      <c r="I362" s="5">
        <f>D362-H362</f>
        <v>-3.1017134317165684E-2</v>
      </c>
      <c r="J362" s="5">
        <f t="shared" si="12"/>
        <v>9.6206262124909716E-4</v>
      </c>
      <c r="K362" s="5">
        <f>$B$17+$B$16*C362</f>
        <v>6.3775841396015025</v>
      </c>
      <c r="L362" s="5">
        <f>(D362-K362)^2</f>
        <v>0.36105179960963479</v>
      </c>
      <c r="M362" s="5">
        <f>$B$40+$B$41*EXP(-$B$42*C362)</f>
        <v>0</v>
      </c>
      <c r="N362" s="5">
        <f>(D362-M362)^2</f>
        <v>48.698903971600004</v>
      </c>
      <c r="O362" s="5">
        <f>(C362+C361)/2</f>
        <v>1.2075500000000223</v>
      </c>
      <c r="P362" s="5" t="str">
        <f>IF(AND(D361&gt;6,D362&lt;=6),C361+(6-D361)*(C362-C361)/(D362-D361),"")</f>
        <v/>
      </c>
      <c r="Q362" s="5" t="str">
        <f>IF(AND(D361&gt;5,D362&lt;=5),C361+(5-D361)*(C362-C361)/(D362-D361),"")</f>
        <v/>
      </c>
      <c r="R362" s="5" t="str">
        <f>IF(AND(D361&gt;4,D362&lt;=4),C361+(4-D361)*(C362-C361)/(D362-D361),"")</f>
        <v/>
      </c>
      <c r="S362" s="5" t="str">
        <f>IF(AND(D361&gt;3,D362&lt;=3),C361+(3-D361)*(C362-C361)/(D362-D361),"")</f>
        <v/>
      </c>
    </row>
    <row r="363" spans="1:19" ht="20.100000000000001" customHeight="1">
      <c r="A363" t="s">
        <v>2</v>
      </c>
      <c r="B363">
        <v>18</v>
      </c>
      <c r="C363" s="5">
        <f>('Raw Data'!C18-'Raw Data'!$C$2)/60</f>
        <v>1.3325500000000223</v>
      </c>
      <c r="D363" s="5">
        <f>'Raw Data'!J18</f>
        <v>6.9473200000000004</v>
      </c>
      <c r="E363" s="5">
        <f>$D$347-D363</f>
        <v>0.45913000000000004</v>
      </c>
      <c r="F363" s="8">
        <f>10^(-D363)</f>
        <v>1.1289637568946987E-7</v>
      </c>
      <c r="G363" s="5">
        <f>(D363-D362)/(C363-C362)</f>
        <v>-0.37367999999999701</v>
      </c>
      <c r="H363" s="5">
        <f>$B$9+$B$10*EXP(-$B$11*C363)</f>
        <v>6.9662256454991045</v>
      </c>
      <c r="I363" s="5">
        <f>D363-H363</f>
        <v>-1.8905645499104118E-2</v>
      </c>
      <c r="J363" s="5">
        <f t="shared" si="12"/>
        <v>3.5742343173779579E-4</v>
      </c>
      <c r="K363" s="5">
        <f>$B$17+$B$16*C363</f>
        <v>6.3635433162638959</v>
      </c>
      <c r="L363" s="5">
        <f>(D363-K363)^2</f>
        <v>0.34079521647392375</v>
      </c>
      <c r="M363" s="5">
        <f>$B$40+$B$41*EXP(-$B$42*C363)</f>
        <v>0</v>
      </c>
      <c r="N363" s="5">
        <f>(D363-M363)^2</f>
        <v>48.265255182400004</v>
      </c>
      <c r="O363" s="5">
        <f>(C363+C362)/2</f>
        <v>1.2908833333333556</v>
      </c>
      <c r="P363" s="5" t="str">
        <f>IF(AND(D362&gt;6,D363&lt;=6),C362+(6-D362)*(C363-C362)/(D363-D362),"")</f>
        <v/>
      </c>
      <c r="Q363" s="5" t="str">
        <f>IF(AND(D362&gt;5,D363&lt;=5),C362+(5-D362)*(C363-C362)/(D363-D362),"")</f>
        <v/>
      </c>
      <c r="R363" s="5" t="str">
        <f>IF(AND(D362&gt;4,D363&lt;=4),C362+(4-D362)*(C363-C362)/(D363-D362),"")</f>
        <v/>
      </c>
      <c r="S363" s="5" t="str">
        <f>IF(AND(D362&gt;3,D363&lt;=3),C362+(3-D362)*(C363-C362)/(D363-D362),"")</f>
        <v/>
      </c>
    </row>
    <row r="364" spans="1:19" ht="20.100000000000001" customHeight="1">
      <c r="A364" t="s">
        <v>2</v>
      </c>
      <c r="B364">
        <v>19</v>
      </c>
      <c r="C364" s="5">
        <f>('Raw Data'!C19-'Raw Data'!$C$2)/60</f>
        <v>1.4158833333333556</v>
      </c>
      <c r="D364" s="5">
        <f>'Raw Data'!J19</f>
        <v>6.89771</v>
      </c>
      <c r="E364" s="5">
        <f>$D$347-D364</f>
        <v>0.50874000000000041</v>
      </c>
      <c r="F364" s="8">
        <f>10^(-D364)</f>
        <v>1.2655811567878074E-7</v>
      </c>
      <c r="G364" s="5">
        <f>(D364-D363)/(C364-C363)</f>
        <v>-0.59532000000000507</v>
      </c>
      <c r="H364" s="5">
        <f>$B$9+$B$10*EXP(-$B$11*C364)</f>
        <v>6.9235283934806056</v>
      </c>
      <c r="I364" s="5">
        <f>D364-H364</f>
        <v>-2.581839348060555E-2</v>
      </c>
      <c r="J364" s="5">
        <f t="shared" si="12"/>
        <v>6.6658944191937521E-4</v>
      </c>
      <c r="K364" s="5">
        <f>$B$17+$B$16*C364</f>
        <v>6.3495024929262893</v>
      </c>
      <c r="L364" s="5">
        <f>(D364-K364)^2</f>
        <v>0.30053147081197257</v>
      </c>
      <c r="M364" s="5">
        <f>$B$40+$B$41*EXP(-$B$42*C364)</f>
        <v>0</v>
      </c>
      <c r="N364" s="5">
        <f>(D364-M364)^2</f>
        <v>47.578403244100002</v>
      </c>
      <c r="O364" s="5">
        <f>(C364+C363)/2</f>
        <v>1.3742166666666891</v>
      </c>
      <c r="P364" s="5" t="str">
        <f>IF(AND(D363&gt;6,D364&lt;=6),C363+(6-D363)*(C364-C363)/(D364-D363),"")</f>
        <v/>
      </c>
      <c r="Q364" s="5" t="str">
        <f>IF(AND(D363&gt;5,D364&lt;=5),C363+(5-D363)*(C364-C363)/(D364-D363),"")</f>
        <v/>
      </c>
      <c r="R364" s="5" t="str">
        <f>IF(AND(D363&gt;4,D364&lt;=4),C363+(4-D363)*(C364-C363)/(D364-D363),"")</f>
        <v/>
      </c>
      <c r="S364" s="5" t="str">
        <f>IF(AND(D363&gt;3,D364&lt;=3),C363+(3-D363)*(C364-C363)/(D364-D363),"")</f>
        <v/>
      </c>
    </row>
    <row r="365" spans="1:19" ht="20.100000000000001" customHeight="1">
      <c r="A365" t="s">
        <v>2</v>
      </c>
      <c r="B365">
        <v>20</v>
      </c>
      <c r="C365" s="5">
        <f>('Raw Data'!C20-'Raw Data'!$C$2)/60</f>
        <v>1.4989666666666988</v>
      </c>
      <c r="D365" s="5">
        <f>'Raw Data'!J20</f>
        <v>6.8746400000000003</v>
      </c>
      <c r="E365" s="5">
        <f>$D$347-D365</f>
        <v>0.53181000000000012</v>
      </c>
      <c r="F365" s="8">
        <f>10^(-D365)</f>
        <v>1.3346272872040793E-7</v>
      </c>
      <c r="G365" s="5">
        <f>(D365-D364)/(C365-C364)</f>
        <v>-0.27767301905713504</v>
      </c>
      <c r="H365" s="5">
        <f>$B$9+$B$10*EXP(-$B$11*C365)</f>
        <v>6.8815039152290876</v>
      </c>
      <c r="I365" s="5">
        <f>D365-H365</f>
        <v>-6.8639152290872474E-3</v>
      </c>
      <c r="J365" s="5">
        <f t="shared" si="12"/>
        <v>4.7113332272095839E-5</v>
      </c>
      <c r="K365" s="5">
        <f>$B$17+$B$16*C365</f>
        <v>6.3355037920586934</v>
      </c>
      <c r="L365" s="5">
        <f>(D365-K365)^2</f>
        <v>0.29066785071333212</v>
      </c>
      <c r="M365" s="5">
        <f>$B$40+$B$41*EXP(-$B$42*C365)</f>
        <v>0</v>
      </c>
      <c r="N365" s="5">
        <f>(D365-M365)^2</f>
        <v>47.260675129600003</v>
      </c>
      <c r="O365" s="5">
        <f>(C365+C364)/2</f>
        <v>1.4574250000000273</v>
      </c>
      <c r="P365" s="5" t="str">
        <f>IF(AND(D364&gt;6,D365&lt;=6),C364+(6-D364)*(C365-C364)/(D365-D364),"")</f>
        <v/>
      </c>
      <c r="Q365" s="5" t="str">
        <f>IF(AND(D364&gt;5,D365&lt;=5),C364+(5-D364)*(C365-C364)/(D365-D364),"")</f>
        <v/>
      </c>
      <c r="R365" s="5" t="str">
        <f>IF(AND(D364&gt;4,D365&lt;=4),C364+(4-D364)*(C365-C364)/(D365-D364),"")</f>
        <v/>
      </c>
      <c r="S365" s="5" t="str">
        <f>IF(AND(D364&gt;3,D365&lt;=3),C364+(3-D364)*(C365-C364)/(D365-D364),"")</f>
        <v/>
      </c>
    </row>
    <row r="366" spans="1:19" ht="20.100000000000001" customHeight="1">
      <c r="A366" t="s">
        <v>2</v>
      </c>
      <c r="B366">
        <v>21</v>
      </c>
      <c r="C366" s="5">
        <f>('Raw Data'!C21-'Raw Data'!$C$2)/60</f>
        <v>1.582300000000032</v>
      </c>
      <c r="D366" s="5">
        <f>'Raw Data'!J21</f>
        <v>6.8285</v>
      </c>
      <c r="E366" s="5">
        <f>$D$347-D366</f>
        <v>0.57795000000000041</v>
      </c>
      <c r="F366" s="8">
        <f>10^(-D366)</f>
        <v>1.4842258800645714E-7</v>
      </c>
      <c r="G366" s="5">
        <f>(D366-D365)/(C366-C365)</f>
        <v>-0.55368000000000395</v>
      </c>
      <c r="H366" s="5">
        <f>$B$9+$B$10*EXP(-$B$11*C366)</f>
        <v>6.8398923114026253</v>
      </c>
      <c r="I366" s="5">
        <f>D366-H366</f>
        <v>-1.139231140262531E-2</v>
      </c>
      <c r="J366" s="5">
        <f t="shared" si="12"/>
        <v>1.2978475909438666E-4</v>
      </c>
      <c r="K366" s="5">
        <f>$B$17+$B$16*C366</f>
        <v>6.3214629687210868</v>
      </c>
      <c r="L366" s="5">
        <f>(D366-K366)^2</f>
        <v>0.25708655108813361</v>
      </c>
      <c r="M366" s="5">
        <f>$B$40+$B$41*EXP(-$B$42*C366)</f>
        <v>0</v>
      </c>
      <c r="N366" s="5">
        <f>(D366-M366)^2</f>
        <v>46.628412249999997</v>
      </c>
      <c r="O366" s="5">
        <f>(C366+C365)/2</f>
        <v>1.5406333333333655</v>
      </c>
      <c r="P366" s="5" t="str">
        <f>IF(AND(D365&gt;6,D366&lt;=6),C365+(6-D365)*(C366-C365)/(D366-D365),"")</f>
        <v/>
      </c>
      <c r="Q366" s="5" t="str">
        <f>IF(AND(D365&gt;5,D366&lt;=5),C365+(5-D365)*(C366-C365)/(D366-D365),"")</f>
        <v/>
      </c>
      <c r="R366" s="5" t="str">
        <f>IF(AND(D365&gt;4,D366&lt;=4),C365+(4-D365)*(C366-C365)/(D366-D365),"")</f>
        <v/>
      </c>
      <c r="S366" s="5" t="str">
        <f>IF(AND(D365&gt;3,D366&lt;=3),C365+(3-D365)*(C366-C365)/(D366-D365),"")</f>
        <v/>
      </c>
    </row>
    <row r="367" spans="1:19" ht="20.100000000000001" customHeight="1">
      <c r="A367" t="s">
        <v>2</v>
      </c>
      <c r="B367">
        <v>22</v>
      </c>
      <c r="C367" s="5">
        <f>('Raw Data'!C22-'Raw Data'!$C$2)/60</f>
        <v>1.6656333333333648</v>
      </c>
      <c r="D367" s="5">
        <f>'Raw Data'!J22</f>
        <v>6.7881200000000002</v>
      </c>
      <c r="E367" s="5">
        <f>$D$347-D367</f>
        <v>0.61833000000000027</v>
      </c>
      <c r="F367" s="8">
        <f>10^(-D367)</f>
        <v>1.6288459036993755E-7</v>
      </c>
      <c r="G367" s="5">
        <f>(D367-D366)/(C367-C366)</f>
        <v>-0.48456000000000132</v>
      </c>
      <c r="H367" s="5">
        <f>$B$9+$B$10*EXP(-$B$11*C367)</f>
        <v>6.79881393042605</v>
      </c>
      <c r="I367" s="5">
        <f>D367-H367</f>
        <v>-1.0693930426049825E-2</v>
      </c>
      <c r="J367" s="5">
        <f t="shared" si="12"/>
        <v>1.1436014795719418E-4</v>
      </c>
      <c r="K367" s="5">
        <f>$B$17+$B$16*C367</f>
        <v>6.3074221453834802</v>
      </c>
      <c r="L367" s="5">
        <f>(D367-K367)^2</f>
        <v>0.23107042743292494</v>
      </c>
      <c r="M367" s="5">
        <f>$B$40+$B$41*EXP(-$B$42*C367)</f>
        <v>0</v>
      </c>
      <c r="N367" s="5">
        <f>(D367-M367)^2</f>
        <v>46.078573134400003</v>
      </c>
      <c r="O367" s="5">
        <f>(C367+C366)/2</f>
        <v>1.6239666666666985</v>
      </c>
      <c r="P367" s="5" t="str">
        <f>IF(AND(D366&gt;6,D367&lt;=6),C366+(6-D366)*(C367-C366)/(D367-D366),"")</f>
        <v/>
      </c>
      <c r="Q367" s="5" t="str">
        <f>IF(AND(D366&gt;5,D367&lt;=5),C366+(5-D366)*(C367-C366)/(D367-D366),"")</f>
        <v/>
      </c>
      <c r="R367" s="5" t="str">
        <f>IF(AND(D366&gt;4,D367&lt;=4),C366+(4-D366)*(C367-C366)/(D367-D366),"")</f>
        <v/>
      </c>
      <c r="S367" s="5" t="str">
        <f>IF(AND(D366&gt;3,D367&lt;=3),C366+(3-D366)*(C367-C366)/(D367-D366),"")</f>
        <v/>
      </c>
    </row>
    <row r="368" spans="1:19" ht="20.100000000000001" customHeight="1">
      <c r="A368" t="s">
        <v>2</v>
      </c>
      <c r="B368">
        <v>23</v>
      </c>
      <c r="C368" s="5">
        <f>('Raw Data'!C23-'Raw Data'!$C$2)/60</f>
        <v>1.7486999999999784</v>
      </c>
      <c r="D368" s="5">
        <f>'Raw Data'!J23</f>
        <v>6.7650499999999996</v>
      </c>
      <c r="E368" s="5">
        <f>$D$347-D368</f>
        <v>0.64140000000000086</v>
      </c>
      <c r="F368" s="8">
        <f>10^(-D368)</f>
        <v>1.7177106170301998E-7</v>
      </c>
      <c r="G368" s="5">
        <f>(D368-D367)/(C368-C367)</f>
        <v>-0.27772873194239978</v>
      </c>
      <c r="H368" s="5">
        <f>$B$9+$B$10*EXP(-$B$11*C368)</f>
        <v>6.7583908734570732</v>
      </c>
      <c r="I368" s="5">
        <f>D368-H368</f>
        <v>6.6591265429263302E-3</v>
      </c>
      <c r="J368" s="5">
        <f t="shared" si="12"/>
        <v>4.4343966314705979E-5</v>
      </c>
      <c r="K368" s="5">
        <f>$B$17+$B$16*C368</f>
        <v>6.2934262526805629</v>
      </c>
      <c r="L368" s="5">
        <f>(D368-K368)^2</f>
        <v>0.22242895903562787</v>
      </c>
      <c r="M368" s="5">
        <f>$B$40+$B$41*EXP(-$B$42*C368)</f>
        <v>0</v>
      </c>
      <c r="N368" s="5">
        <f>(D368-M368)^2</f>
        <v>45.765901502499993</v>
      </c>
      <c r="O368" s="5">
        <f>(C368+C367)/2</f>
        <v>1.7071666666666716</v>
      </c>
      <c r="P368" s="5" t="str">
        <f>IF(AND(D367&gt;6,D368&lt;=6),C367+(6-D367)*(C368-C367)/(D368-D367),"")</f>
        <v/>
      </c>
      <c r="Q368" s="5" t="str">
        <f>IF(AND(D367&gt;5,D368&lt;=5),C367+(5-D367)*(C368-C367)/(D368-D367),"")</f>
        <v/>
      </c>
      <c r="R368" s="5" t="str">
        <f>IF(AND(D367&gt;4,D368&lt;=4),C367+(4-D367)*(C368-C367)/(D368-D367),"")</f>
        <v/>
      </c>
      <c r="S368" s="5" t="str">
        <f>IF(AND(D367&gt;3,D368&lt;=3),C367+(3-D367)*(C368-C367)/(D368-D367),"")</f>
        <v/>
      </c>
    </row>
    <row r="369" spans="1:19" ht="20.100000000000001" customHeight="1">
      <c r="A369" t="s">
        <v>2</v>
      </c>
      <c r="B369">
        <v>24</v>
      </c>
      <c r="C369" s="5">
        <f>('Raw Data'!C24-'Raw Data'!$C$2)/60</f>
        <v>1.8323000000000316</v>
      </c>
      <c r="D369" s="5">
        <f>'Raw Data'!J24</f>
        <v>6.7339000000000002</v>
      </c>
      <c r="E369" s="5">
        <f>$D$347-D369</f>
        <v>0.6725500000000002</v>
      </c>
      <c r="F369" s="8">
        <f>10^(-D369)</f>
        <v>1.8454402985936968E-7</v>
      </c>
      <c r="G369" s="5">
        <f>(D369-D368)/(C369-C368)</f>
        <v>-0.37260765550214747</v>
      </c>
      <c r="H369" s="5">
        <f>$B$9+$B$10*EXP(-$B$11*C369)</f>
        <v>6.7182295931077682</v>
      </c>
      <c r="I369" s="5">
        <f>D369-H369</f>
        <v>1.5670406892231981E-2</v>
      </c>
      <c r="J369" s="5">
        <f t="shared" si="12"/>
        <v>2.4556165216811155E-4</v>
      </c>
      <c r="K369" s="5">
        <f>$B$17+$B$16*C369</f>
        <v>6.279340498708267</v>
      </c>
      <c r="L369" s="5">
        <f>(D369-K369)^2</f>
        <v>0.20662434021458917</v>
      </c>
      <c r="M369" s="5">
        <f>$B$40+$B$41*EXP(-$B$42*C369)</f>
        <v>0</v>
      </c>
      <c r="N369" s="5">
        <f>(D369-M369)^2</f>
        <v>45.34540921</v>
      </c>
      <c r="O369" s="5">
        <f>(C369+C368)/2</f>
        <v>1.7905000000000051</v>
      </c>
      <c r="P369" s="5" t="str">
        <f>IF(AND(D368&gt;6,D369&lt;=6),C368+(6-D368)*(C369-C368)/(D369-D368),"")</f>
        <v/>
      </c>
      <c r="Q369" s="5" t="str">
        <f>IF(AND(D368&gt;5,D369&lt;=5),C368+(5-D368)*(C369-C368)/(D369-D368),"")</f>
        <v/>
      </c>
      <c r="R369" s="5" t="str">
        <f>IF(AND(D368&gt;4,D369&lt;=4),C368+(4-D368)*(C369-C368)/(D369-D368),"")</f>
        <v/>
      </c>
      <c r="S369" s="5" t="str">
        <f>IF(AND(D368&gt;3,D369&lt;=3),C368+(3-D368)*(C369-C368)/(D369-D368),"")</f>
        <v/>
      </c>
    </row>
    <row r="370" spans="1:19" ht="20.100000000000001" customHeight="1">
      <c r="A370" t="s">
        <v>2</v>
      </c>
      <c r="B370">
        <v>25</v>
      </c>
      <c r="C370" s="5">
        <f>('Raw Data'!C25-'Raw Data'!$C$2)/60</f>
        <v>1.9153666666666451</v>
      </c>
      <c r="D370" s="5">
        <f>'Raw Data'!J25</f>
        <v>6.6992900000000004</v>
      </c>
      <c r="E370" s="5">
        <f>$D$347-D370</f>
        <v>0.70716000000000001</v>
      </c>
      <c r="F370" s="8">
        <f>10^(-D370)</f>
        <v>1.9985269082749229E-7</v>
      </c>
      <c r="G370" s="5">
        <f>(D370-D369)/(C370-C369)</f>
        <v>-0.41665329052995914</v>
      </c>
      <c r="H370" s="5">
        <f>$B$9+$B$10*EXP(-$B$11*C370)</f>
        <v>6.6788358833860508</v>
      </c>
      <c r="I370" s="5">
        <f>D370-H370</f>
        <v>2.045411661394958E-2</v>
      </c>
      <c r="J370" s="5">
        <f t="shared" si="12"/>
        <v>4.1837088645704822E-4</v>
      </c>
      <c r="K370" s="5">
        <f>$B$17+$B$16*C370</f>
        <v>6.2653446060053497</v>
      </c>
      <c r="L370" s="5">
        <f>(D370-K370)^2</f>
        <v>0.18830860496917262</v>
      </c>
      <c r="M370" s="5">
        <f>$B$40+$B$41*EXP(-$B$42*C370)</f>
        <v>0</v>
      </c>
      <c r="N370" s="5">
        <f>(D370-M370)^2</f>
        <v>44.880486504100006</v>
      </c>
      <c r="O370" s="5">
        <f>(C370+C369)/2</f>
        <v>1.8738333333333383</v>
      </c>
      <c r="P370" s="5" t="str">
        <f>IF(AND(D369&gt;6,D370&lt;=6),C369+(6-D369)*(C370-C369)/(D370-D369),"")</f>
        <v/>
      </c>
      <c r="Q370" s="5" t="str">
        <f>IF(AND(D369&gt;5,D370&lt;=5),C369+(5-D369)*(C370-C369)/(D370-D369),"")</f>
        <v/>
      </c>
      <c r="R370" s="5" t="str">
        <f>IF(AND(D369&gt;4,D370&lt;=4),C369+(4-D369)*(C370-C369)/(D370-D369),"")</f>
        <v/>
      </c>
      <c r="S370" s="5" t="str">
        <f>IF(AND(D369&gt;3,D370&lt;=3),C369+(3-D369)*(C370-C369)/(D370-D369),"")</f>
        <v/>
      </c>
    </row>
    <row r="371" spans="1:19" ht="20.100000000000001" customHeight="1">
      <c r="A371" t="s">
        <v>2</v>
      </c>
      <c r="B371">
        <v>26</v>
      </c>
      <c r="C371" s="5">
        <f>('Raw Data'!C26-'Raw Data'!$C$2)/60</f>
        <v>1.9986999999999784</v>
      </c>
      <c r="D371" s="5">
        <f>'Raw Data'!J26</f>
        <v>6.6750699999999998</v>
      </c>
      <c r="E371" s="5">
        <f>$D$347-D371</f>
        <v>0.73138000000000059</v>
      </c>
      <c r="F371" s="8">
        <f>10^(-D371)</f>
        <v>2.1131484131036395E-7</v>
      </c>
      <c r="G371" s="5">
        <f>(D371-D370)/(C371-C370)</f>
        <v>-0.29064000000000717</v>
      </c>
      <c r="H371" s="5">
        <f>$B$9+$B$10*EXP(-$B$11*C371)</f>
        <v>6.6398213249888176</v>
      </c>
      <c r="I371" s="5">
        <f>D371-H371</f>
        <v>3.5248675011182229E-2</v>
      </c>
      <c r="J371" s="5">
        <f t="shared" si="12"/>
        <v>1.2424690900439425E-3</v>
      </c>
      <c r="K371" s="5">
        <f>$B$17+$B$16*C371</f>
        <v>6.2513037826677422</v>
      </c>
      <c r="L371" s="5">
        <f>(D371-K371)^2</f>
        <v>0.17957780695209019</v>
      </c>
      <c r="M371" s="5">
        <f>$B$40+$B$41*EXP(-$B$42*C371)</f>
        <v>0</v>
      </c>
      <c r="N371" s="5">
        <f>(D371-M371)^2</f>
        <v>44.556559504900001</v>
      </c>
      <c r="O371" s="5">
        <f>(C371+C370)/2</f>
        <v>1.9570333333333116</v>
      </c>
      <c r="P371" s="5" t="str">
        <f>IF(AND(D370&gt;6,D371&lt;=6),C370+(6-D370)*(C371-C370)/(D371-D370),"")</f>
        <v/>
      </c>
      <c r="Q371" s="5" t="str">
        <f>IF(AND(D370&gt;5,D371&lt;=5),C370+(5-D370)*(C371-C370)/(D371-D370),"")</f>
        <v/>
      </c>
      <c r="R371" s="5" t="str">
        <f>IF(AND(D370&gt;4,D371&lt;=4),C370+(4-D370)*(C371-C370)/(D371-D370),"")</f>
        <v/>
      </c>
      <c r="S371" s="5" t="str">
        <f>IF(AND(D370&gt;3,D371&lt;=3),C370+(3-D370)*(C371-C370)/(D371-D370),"")</f>
        <v/>
      </c>
    </row>
    <row r="372" spans="1:19" ht="20.100000000000001" customHeight="1">
      <c r="A372" t="s">
        <v>2</v>
      </c>
      <c r="B372">
        <v>27</v>
      </c>
      <c r="C372" s="5">
        <f>('Raw Data'!C27-'Raw Data'!$C$2)/60</f>
        <v>2.0820333333333116</v>
      </c>
      <c r="D372" s="5">
        <f>'Raw Data'!J27</f>
        <v>6.63354</v>
      </c>
      <c r="E372" s="5">
        <f>$D$347-D372</f>
        <v>0.77291000000000043</v>
      </c>
      <c r="F372" s="8">
        <f>10^(-D372)</f>
        <v>2.325198317331352E-7</v>
      </c>
      <c r="G372" s="5">
        <f>(D372-D371)/(C372-C371)</f>
        <v>-0.49835999999999858</v>
      </c>
      <c r="H372" s="5">
        <f>$B$9+$B$10*EXP(-$B$11*C372)</f>
        <v>6.6013067101674778</v>
      </c>
      <c r="I372" s="5">
        <f>D372-H372</f>
        <v>3.2233289832522161E-2</v>
      </c>
      <c r="J372" s="5">
        <f t="shared" si="12"/>
        <v>1.0389849734273764E-3</v>
      </c>
      <c r="K372" s="5">
        <f>$B$17+$B$16*C372</f>
        <v>6.2372629593301356</v>
      </c>
      <c r="L372" s="5">
        <f>(D372-K372)^2</f>
        <v>0.15703549296206532</v>
      </c>
      <c r="M372" s="5">
        <f>$B$40+$B$41*EXP(-$B$42*C372)</f>
        <v>0</v>
      </c>
      <c r="N372" s="5">
        <f>(D372-M372)^2</f>
        <v>44.003852931600001</v>
      </c>
      <c r="O372" s="5">
        <f>(C372+C371)/2</f>
        <v>2.0403666666666451</v>
      </c>
      <c r="P372" s="5" t="str">
        <f>IF(AND(D371&gt;6,D372&lt;=6),C371+(6-D371)*(C372-C371)/(D372-D371),"")</f>
        <v/>
      </c>
      <c r="Q372" s="5" t="str">
        <f>IF(AND(D371&gt;5,D372&lt;=5),C371+(5-D371)*(C372-C371)/(D372-D371),"")</f>
        <v/>
      </c>
      <c r="R372" s="5" t="str">
        <f>IF(AND(D371&gt;4,D372&lt;=4),C371+(4-D371)*(C372-C371)/(D372-D371),"")</f>
        <v/>
      </c>
      <c r="S372" s="5" t="str">
        <f>IF(AND(D371&gt;3,D372&lt;=3),C371+(3-D371)*(C372-C371)/(D372-D371),"")</f>
        <v/>
      </c>
    </row>
    <row r="373" spans="1:19" ht="20.100000000000001" customHeight="1">
      <c r="A373" t="s">
        <v>2</v>
      </c>
      <c r="B373">
        <v>28</v>
      </c>
      <c r="C373" s="5">
        <f>('Raw Data'!C28-'Raw Data'!$C$2)/60</f>
        <v>2.1653666666666447</v>
      </c>
      <c r="D373" s="5">
        <f>'Raw Data'!J28</f>
        <v>6.6012399999999998</v>
      </c>
      <c r="E373" s="5">
        <f>$D$347-D373</f>
        <v>0.80521000000000065</v>
      </c>
      <c r="F373" s="8">
        <f>10^(-D373)</f>
        <v>2.5047247084773562E-7</v>
      </c>
      <c r="G373" s="5">
        <f>(D373-D372)/(C373-C372)</f>
        <v>-0.387600000000004</v>
      </c>
      <c r="H373" s="5">
        <f>$B$9+$B$10*EXP(-$B$11*C373)</f>
        <v>6.5632856325037778</v>
      </c>
      <c r="I373" s="5">
        <f>D373-H373</f>
        <v>3.7954367496221941E-2</v>
      </c>
      <c r="J373" s="5">
        <f t="shared" si="12"/>
        <v>1.4405340120382686E-3</v>
      </c>
      <c r="K373" s="5">
        <f>$B$17+$B$16*C373</f>
        <v>6.223222135992529</v>
      </c>
      <c r="L373" s="5">
        <f>(D373-K373)^2</f>
        <v>0.14289750550877064</v>
      </c>
      <c r="M373" s="5">
        <f>$B$40+$B$41*EXP(-$B$42*C373)</f>
        <v>0</v>
      </c>
      <c r="N373" s="5">
        <f>(D373-M373)^2</f>
        <v>43.576369537599994</v>
      </c>
      <c r="O373" s="5">
        <f>(C373+C372)/2</f>
        <v>2.1236999999999782</v>
      </c>
      <c r="P373" s="5" t="str">
        <f>IF(AND(D372&gt;6,D373&lt;=6),C372+(6-D372)*(C373-C372)/(D373-D372),"")</f>
        <v/>
      </c>
      <c r="Q373" s="5" t="str">
        <f>IF(AND(D372&gt;5,D373&lt;=5),C372+(5-D372)*(C373-C372)/(D373-D372),"")</f>
        <v/>
      </c>
      <c r="R373" s="5" t="str">
        <f>IF(AND(D372&gt;4,D373&lt;=4),C372+(4-D372)*(C373-C372)/(D373-D372),"")</f>
        <v/>
      </c>
      <c r="S373" s="5" t="str">
        <f>IF(AND(D372&gt;3,D373&lt;=3),C372+(3-D372)*(C373-C372)/(D373-D372),"")</f>
        <v/>
      </c>
    </row>
    <row r="374" spans="1:19" ht="20.100000000000001" customHeight="1">
      <c r="A374" t="s">
        <v>2</v>
      </c>
      <c r="B374">
        <v>29</v>
      </c>
      <c r="C374" s="5">
        <f>('Raw Data'!C29-'Raw Data'!$C$2)/60</f>
        <v>2.2484333333333786</v>
      </c>
      <c r="D374" s="5">
        <f>'Raw Data'!J29</f>
        <v>6.5747099999999996</v>
      </c>
      <c r="E374" s="5">
        <f>$D$347-D374</f>
        <v>0.83174000000000081</v>
      </c>
      <c r="F374" s="8">
        <f>10^(-D374)</f>
        <v>2.6625023514249063E-7</v>
      </c>
      <c r="G374" s="5">
        <f>(D374-D373)/(C374-C373)</f>
        <v>-0.31938202247165359</v>
      </c>
      <c r="H374" s="5">
        <f>$B$9+$B$10*EXP(-$B$11*C374)</f>
        <v>6.5258711056435228</v>
      </c>
      <c r="I374" s="5">
        <f>D374-H374</f>
        <v>4.8838894356476814E-2</v>
      </c>
      <c r="J374" s="5">
        <f t="shared" si="12"/>
        <v>2.3852376019631027E-3</v>
      </c>
      <c r="K374" s="5">
        <f>$B$17+$B$16*C374</f>
        <v>6.2092262432895913</v>
      </c>
      <c r="L374" s="5">
        <f>(D374-K374)^2</f>
        <v>0.13357837641915296</v>
      </c>
      <c r="M374" s="5">
        <f>$B$40+$B$41*EXP(-$B$42*C374)</f>
        <v>0</v>
      </c>
      <c r="N374" s="5">
        <f>(D374-M374)^2</f>
        <v>43.226811584099998</v>
      </c>
      <c r="O374" s="5">
        <f>(C374+C373)/2</f>
        <v>2.2069000000000116</v>
      </c>
      <c r="P374" s="5" t="str">
        <f>IF(AND(D373&gt;6,D374&lt;=6),C373+(6-D373)*(C374-C373)/(D374-D373),"")</f>
        <v/>
      </c>
      <c r="Q374" s="5" t="str">
        <f>IF(AND(D373&gt;5,D374&lt;=5),C373+(5-D373)*(C374-C373)/(D374-D373),"")</f>
        <v/>
      </c>
      <c r="R374" s="5" t="str">
        <f>IF(AND(D373&gt;4,D374&lt;=4),C373+(4-D373)*(C374-C373)/(D374-D373),"")</f>
        <v/>
      </c>
      <c r="S374" s="5" t="str">
        <f>IF(AND(D373&gt;3,D374&lt;=3),C373+(3-D373)*(C374-C373)/(D374-D373),"")</f>
        <v/>
      </c>
    </row>
    <row r="375" spans="1:19" ht="20.100000000000001" customHeight="1">
      <c r="A375" t="s">
        <v>2</v>
      </c>
      <c r="B375">
        <v>30</v>
      </c>
      <c r="C375" s="5">
        <f>('Raw Data'!C30-'Raw Data'!$C$2)/60</f>
        <v>2.3320333333333116</v>
      </c>
      <c r="D375" s="5">
        <f>'Raw Data'!J30</f>
        <v>6.5504800000000003</v>
      </c>
      <c r="E375" s="5">
        <f>$D$347-D375</f>
        <v>0.85597000000000012</v>
      </c>
      <c r="F375" s="8">
        <f>10^(-D375)</f>
        <v>2.8152696601071286E-7</v>
      </c>
      <c r="G375" s="5">
        <f>(D375-D374)/(C375-C374)</f>
        <v>-0.28983253588539126</v>
      </c>
      <c r="H375" s="5">
        <f>$B$9+$B$10*EXP(-$B$11*C375)</f>
        <v>6.4886988723925807</v>
      </c>
      <c r="I375" s="5">
        <f>D375-H375</f>
        <v>6.1781127607419606E-2</v>
      </c>
      <c r="J375" s="5">
        <f t="shared" si="12"/>
        <v>3.816907728444265E-3</v>
      </c>
      <c r="K375" s="5">
        <f>$B$17+$B$16*C375</f>
        <v>6.1951404893173159</v>
      </c>
      <c r="L375" s="5">
        <f>(D375-K375)^2</f>
        <v>0.12626616785220959</v>
      </c>
      <c r="M375" s="5">
        <f>$B$40+$B$41*EXP(-$B$42*C375)</f>
        <v>0</v>
      </c>
      <c r="N375" s="5">
        <f>(D375-M375)^2</f>
        <v>42.908788230400006</v>
      </c>
      <c r="O375" s="5">
        <f>(C375+C374)/2</f>
        <v>2.2902333333333451</v>
      </c>
      <c r="P375" s="5" t="str">
        <f>IF(AND(D374&gt;6,D375&lt;=6),C374+(6-D374)*(C375-C374)/(D375-D374),"")</f>
        <v/>
      </c>
      <c r="Q375" s="5" t="str">
        <f>IF(AND(D374&gt;5,D375&lt;=5),C374+(5-D374)*(C375-C374)/(D375-D374),"")</f>
        <v/>
      </c>
      <c r="R375" s="5" t="str">
        <f>IF(AND(D374&gt;4,D375&lt;=4),C374+(4-D374)*(C375-C374)/(D375-D374),"")</f>
        <v/>
      </c>
      <c r="S375" s="5" t="str">
        <f>IF(AND(D374&gt;3,D375&lt;=3),C374+(3-D374)*(C375-C374)/(D375-D374),"")</f>
        <v/>
      </c>
    </row>
    <row r="376" spans="1:19" ht="20.100000000000001" customHeight="1">
      <c r="A376" t="s">
        <v>2</v>
      </c>
      <c r="B376">
        <v>31</v>
      </c>
      <c r="C376" s="5">
        <f>('Raw Data'!C31-'Raw Data'!$C$2)/60</f>
        <v>2.4151000000000451</v>
      </c>
      <c r="D376" s="5">
        <f>'Raw Data'!J31</f>
        <v>6.5239500000000001</v>
      </c>
      <c r="E376" s="5">
        <f>$D$347-D376</f>
        <v>0.88250000000000028</v>
      </c>
      <c r="F376" s="8">
        <f>10^(-D376)</f>
        <v>2.9926091536371254E-7</v>
      </c>
      <c r="G376" s="5">
        <f>(D376-D375)/(C376-C375)</f>
        <v>-0.31938202247165531</v>
      </c>
      <c r="H376" s="5">
        <f>$B$9+$B$10*EXP(-$B$11*C376)</f>
        <v>6.452237082487887</v>
      </c>
      <c r="I376" s="5">
        <f>D376-H376</f>
        <v>7.1712917512113172E-2</v>
      </c>
      <c r="J376" s="5">
        <f t="shared" si="12"/>
        <v>5.1427425380991482E-3</v>
      </c>
      <c r="K376" s="5">
        <f>$B$17+$B$16*C376</f>
        <v>6.1811445966143781</v>
      </c>
      <c r="L376" s="5">
        <f>(D376-K376)^2</f>
        <v>0.11751554459037905</v>
      </c>
      <c r="M376" s="5">
        <f>$B$40+$B$41*EXP(-$B$42*C376)</f>
        <v>0</v>
      </c>
      <c r="N376" s="5">
        <f>(D376-M376)^2</f>
        <v>42.561923602500002</v>
      </c>
      <c r="O376" s="5">
        <f>(C376+C375)/2</f>
        <v>2.3735666666666786</v>
      </c>
      <c r="P376" s="5" t="str">
        <f>IF(AND(D375&gt;6,D376&lt;=6),C375+(6-D375)*(C376-C375)/(D376-D375),"")</f>
        <v/>
      </c>
      <c r="Q376" s="5" t="str">
        <f>IF(AND(D375&gt;5,D376&lt;=5),C375+(5-D375)*(C376-C375)/(D376-D375),"")</f>
        <v/>
      </c>
      <c r="R376" s="5" t="str">
        <f>IF(AND(D375&gt;4,D376&lt;=4),C375+(4-D375)*(C376-C375)/(D376-D375),"")</f>
        <v/>
      </c>
      <c r="S376" s="5" t="str">
        <f>IF(AND(D375&gt;3,D376&lt;=3),C375+(3-D375)*(C376-C375)/(D376-D375),"")</f>
        <v/>
      </c>
    </row>
    <row r="377" spans="1:19" ht="20.100000000000001" customHeight="1">
      <c r="A377" t="s">
        <v>2</v>
      </c>
      <c r="B377">
        <v>32</v>
      </c>
      <c r="C377" s="5">
        <f>('Raw Data'!C32-'Raw Data'!$C$2)/60</f>
        <v>2.4984333333333786</v>
      </c>
      <c r="D377" s="5">
        <f>'Raw Data'!J32</f>
        <v>6.4951100000000004</v>
      </c>
      <c r="E377" s="5">
        <f>$D$347-D377</f>
        <v>0.91134000000000004</v>
      </c>
      <c r="F377" s="8">
        <f>10^(-D377)</f>
        <v>3.1980849821907338E-7</v>
      </c>
      <c r="G377" s="5">
        <f>(D377-D376)/(C377-C376)</f>
        <v>-0.34607999999999645</v>
      </c>
      <c r="H377" s="5">
        <f>$B$9+$B$10*EXP(-$B$11*C377)</f>
        <v>6.4161262251568241</v>
      </c>
      <c r="I377" s="5">
        <f>D377-H377</f>
        <v>7.8983774843176313E-2</v>
      </c>
      <c r="J377" s="5">
        <f t="shared" si="12"/>
        <v>6.2384366884775718E-3</v>
      </c>
      <c r="K377" s="5">
        <f>$B$17+$B$16*C377</f>
        <v>6.1671037732767715</v>
      </c>
      <c r="L377" s="5">
        <f>(D377-K377)^2</f>
        <v>0.10758808476921022</v>
      </c>
      <c r="M377" s="5">
        <f>$B$40+$B$41*EXP(-$B$42*C377)</f>
        <v>0</v>
      </c>
      <c r="N377" s="5">
        <f>(D377-M377)^2</f>
        <v>42.186453912100006</v>
      </c>
      <c r="O377" s="5">
        <f>(C377+C376)/2</f>
        <v>2.4567666666667121</v>
      </c>
      <c r="P377" s="5" t="str">
        <f>IF(AND(D376&gt;6,D377&lt;=6),C376+(6-D376)*(C377-C376)/(D377-D376),"")</f>
        <v/>
      </c>
      <c r="Q377" s="5" t="str">
        <f>IF(AND(D376&gt;5,D377&lt;=5),C376+(5-D376)*(C377-C376)/(D377-D376),"")</f>
        <v/>
      </c>
      <c r="R377" s="5" t="str">
        <f>IF(AND(D376&gt;4,D377&lt;=4),C376+(4-D376)*(C377-C376)/(D377-D376),"")</f>
        <v/>
      </c>
      <c r="S377" s="5" t="str">
        <f>IF(AND(D376&gt;3,D377&lt;=3),C376+(3-D376)*(C377-C376)/(D377-D376),"")</f>
        <v/>
      </c>
    </row>
    <row r="378" spans="1:19" ht="20.100000000000001" customHeight="1">
      <c r="A378" t="s">
        <v>2</v>
      </c>
      <c r="B378">
        <v>33</v>
      </c>
      <c r="C378" s="5">
        <f>('Raw Data'!C33-'Raw Data'!$C$2)/60</f>
        <v>2.5817666666667116</v>
      </c>
      <c r="D378" s="5">
        <f>'Raw Data'!J33</f>
        <v>6.4778000000000002</v>
      </c>
      <c r="E378" s="5">
        <f>$D$347-D378</f>
        <v>0.9286500000000002</v>
      </c>
      <c r="F378" s="8">
        <f>10^(-D378)</f>
        <v>3.3281278395965171E-7</v>
      </c>
      <c r="G378" s="5">
        <f>(D378-D377)/(C378-C377)</f>
        <v>-0.20772000000000265</v>
      </c>
      <c r="H378" s="5">
        <f>$B$9+$B$10*EXP(-$B$11*C378)</f>
        <v>6.380478102555676</v>
      </c>
      <c r="I378" s="5">
        <f>D378-H378</f>
        <v>9.7321897444324179E-2</v>
      </c>
      <c r="J378" s="5">
        <f t="shared" si="12"/>
        <v>9.4715517221635528E-3</v>
      </c>
      <c r="K378" s="5">
        <f>$B$17+$B$16*C378</f>
        <v>6.153062949939164</v>
      </c>
      <c r="L378" s="5">
        <f>(D378-K378)^2</f>
        <v>0.10545415168221403</v>
      </c>
      <c r="M378" s="5">
        <f>$B$40+$B$41*EXP(-$B$42*C378)</f>
        <v>0</v>
      </c>
      <c r="N378" s="5">
        <f>(D378-M378)^2</f>
        <v>41.961892840000004</v>
      </c>
      <c r="O378" s="5">
        <f>(C378+C377)/2</f>
        <v>2.5401000000000451</v>
      </c>
      <c r="P378" s="5" t="str">
        <f>IF(AND(D377&gt;6,D378&lt;=6),C377+(6-D377)*(C378-C377)/(D378-D377),"")</f>
        <v/>
      </c>
      <c r="Q378" s="5" t="str">
        <f>IF(AND(D377&gt;5,D378&lt;=5),C377+(5-D377)*(C378-C377)/(D378-D377),"")</f>
        <v/>
      </c>
      <c r="R378" s="5" t="str">
        <f>IF(AND(D377&gt;4,D378&lt;=4),C377+(4-D377)*(C378-C377)/(D378-D377),"")</f>
        <v/>
      </c>
      <c r="S378" s="5" t="str">
        <f>IF(AND(D377&gt;3,D378&lt;=3),C377+(3-D377)*(C378-C377)/(D378-D377),"")</f>
        <v/>
      </c>
    </row>
    <row r="379" spans="1:19" ht="20.100000000000001" customHeight="1">
      <c r="A379" t="s">
        <v>2</v>
      </c>
      <c r="B379">
        <v>34</v>
      </c>
      <c r="C379" s="5">
        <f>('Raw Data'!C34-'Raw Data'!$C$2)/60</f>
        <v>2.6651000000000451</v>
      </c>
      <c r="D379" s="5">
        <f>'Raw Data'!J34</f>
        <v>6.43743</v>
      </c>
      <c r="E379" s="5">
        <f>$D$347-D379</f>
        <v>0.96902000000000044</v>
      </c>
      <c r="F379" s="8">
        <f>10^(-D379)</f>
        <v>3.6523299111369971E-7</v>
      </c>
      <c r="G379" s="5">
        <f>(D379-D378)/(C379-C378)</f>
        <v>-0.48444000000000198</v>
      </c>
      <c r="H379" s="5">
        <f>$B$9+$B$10*EXP(-$B$11*C379)</f>
        <v>6.3452867850708543</v>
      </c>
      <c r="I379" s="5">
        <f>D379-H379</f>
        <v>9.2143214929145678E-2</v>
      </c>
      <c r="J379" s="5">
        <f t="shared" si="12"/>
        <v>8.4903720574787348E-3</v>
      </c>
      <c r="K379" s="5">
        <f>$B$17+$B$16*C379</f>
        <v>6.1390221266015574</v>
      </c>
      <c r="L379" s="5">
        <f>(D379-K379)^2</f>
        <v>8.9047258906180912E-2</v>
      </c>
      <c r="M379" s="5">
        <f>$B$40+$B$41*EXP(-$B$42*C379)</f>
        <v>0</v>
      </c>
      <c r="N379" s="5">
        <f>(D379-M379)^2</f>
        <v>41.440505004899997</v>
      </c>
      <c r="O379" s="5">
        <f>(C379+C378)/2</f>
        <v>2.6234333333333781</v>
      </c>
      <c r="P379" s="5" t="str">
        <f>IF(AND(D378&gt;6,D379&lt;=6),C378+(6-D378)*(C379-C378)/(D379-D378),"")</f>
        <v/>
      </c>
      <c r="Q379" s="5" t="str">
        <f>IF(AND(D378&gt;5,D379&lt;=5),C378+(5-D378)*(C379-C378)/(D379-D378),"")</f>
        <v/>
      </c>
      <c r="R379" s="5" t="str">
        <f>IF(AND(D378&gt;4,D379&lt;=4),C378+(4-D378)*(C379-C378)/(D379-D378),"")</f>
        <v/>
      </c>
      <c r="S379" s="5" t="str">
        <f>IF(AND(D378&gt;3,D379&lt;=3),C378+(3-D378)*(C379-C378)/(D379-D378),"")</f>
        <v/>
      </c>
    </row>
    <row r="380" spans="1:19" ht="20.100000000000001" customHeight="1">
      <c r="A380" t="s">
        <v>2</v>
      </c>
      <c r="B380">
        <v>35</v>
      </c>
      <c r="C380" s="5">
        <f>('Raw Data'!C35-'Raw Data'!$C$2)/60</f>
        <v>2.748183333333388</v>
      </c>
      <c r="D380" s="5">
        <f>'Raw Data'!J35</f>
        <v>6.4143600000000003</v>
      </c>
      <c r="E380" s="5">
        <f>$D$347-D380</f>
        <v>0.99209000000000014</v>
      </c>
      <c r="F380" s="8">
        <f>10^(-D380)</f>
        <v>3.851589552460733E-7</v>
      </c>
      <c r="G380" s="5">
        <f>(D380-D379)/(C380-C379)</f>
        <v>-0.27767301905713582</v>
      </c>
      <c r="H380" s="5">
        <f>$B$9+$B$10*EXP(-$B$11*C380)</f>
        <v>6.3106499715437829</v>
      </c>
      <c r="I380" s="5">
        <f>D380-H380</f>
        <v>0.10371002845621735</v>
      </c>
      <c r="J380" s="5">
        <f t="shared" si="12"/>
        <v>1.0755770002389413E-2</v>
      </c>
      <c r="K380" s="5">
        <f>$B$17+$B$16*C380</f>
        <v>6.1250234257339624</v>
      </c>
      <c r="L380" s="5">
        <f>(D380-K380)^2</f>
        <v>8.3715653208006446E-2</v>
      </c>
      <c r="M380" s="5">
        <f>$B$40+$B$41*EXP(-$B$42*C380)</f>
        <v>0</v>
      </c>
      <c r="N380" s="5">
        <f>(D380-M380)^2</f>
        <v>41.144014209600002</v>
      </c>
      <c r="O380" s="5">
        <f>(C380+C379)/2</f>
        <v>2.7066416666667168</v>
      </c>
      <c r="P380" s="5" t="str">
        <f>IF(AND(D379&gt;6,D380&lt;=6),C379+(6-D379)*(C380-C379)/(D380-D379),"")</f>
        <v/>
      </c>
      <c r="Q380" s="5" t="str">
        <f>IF(AND(D379&gt;5,D380&lt;=5),C379+(5-D379)*(C380-C379)/(D380-D379),"")</f>
        <v/>
      </c>
      <c r="R380" s="5" t="str">
        <f>IF(AND(D379&gt;4,D380&lt;=4),C379+(4-D379)*(C380-C379)/(D380-D379),"")</f>
        <v/>
      </c>
      <c r="S380" s="5" t="str">
        <f>IF(AND(D379&gt;3,D380&lt;=3),C379+(3-D379)*(C380-C379)/(D380-D379),"")</f>
        <v/>
      </c>
    </row>
    <row r="381" spans="1:19" ht="20.100000000000001" customHeight="1">
      <c r="A381" t="s">
        <v>2</v>
      </c>
      <c r="B381">
        <v>36</v>
      </c>
      <c r="C381" s="5">
        <f>('Raw Data'!C36-'Raw Data'!$C$2)/60</f>
        <v>2.8317666666667116</v>
      </c>
      <c r="D381" s="5">
        <f>'Raw Data'!J36</f>
        <v>6.3947399999999996</v>
      </c>
      <c r="E381" s="5">
        <f>$D$347-D381</f>
        <v>1.0117100000000008</v>
      </c>
      <c r="F381" s="8">
        <f>10^(-D381)</f>
        <v>4.0295820197081145E-7</v>
      </c>
      <c r="G381" s="5">
        <f>(D381-D380)/(C381-C380)</f>
        <v>-0.23473579262216862</v>
      </c>
      <c r="H381" s="5">
        <f>$B$9+$B$10*EXP(-$B$11*C381)</f>
        <v>6.2762512259408902</v>
      </c>
      <c r="I381" s="5">
        <f>D381-H381</f>
        <v>0.1184887740591094</v>
      </c>
      <c r="J381" s="5">
        <f t="shared" si="12"/>
        <v>1.4039589578030677E-2</v>
      </c>
      <c r="K381" s="5">
        <f>$B$17+$B$16*C381</f>
        <v>6.1109404799263443</v>
      </c>
      <c r="L381" s="5">
        <f>(D381-K381)^2</f>
        <v>8.0542167594037123E-2</v>
      </c>
      <c r="M381" s="5">
        <f>$B$40+$B$41*EXP(-$B$42*C381)</f>
        <v>0</v>
      </c>
      <c r="N381" s="5">
        <f>(D381-M381)^2</f>
        <v>40.892699667599999</v>
      </c>
      <c r="O381" s="5">
        <f>(C381+C380)/2</f>
        <v>2.7899750000000498</v>
      </c>
      <c r="P381" s="5" t="str">
        <f>IF(AND(D380&gt;6,D381&lt;=6),C380+(6-D380)*(C381-C380)/(D381-D380),"")</f>
        <v/>
      </c>
      <c r="Q381" s="5" t="str">
        <f>IF(AND(D380&gt;5,D381&lt;=5),C380+(5-D380)*(C381-C380)/(D381-D380),"")</f>
        <v/>
      </c>
      <c r="R381" s="5" t="str">
        <f>IF(AND(D380&gt;4,D381&lt;=4),C380+(4-D380)*(C381-C380)/(D381-D380),"")</f>
        <v/>
      </c>
      <c r="S381" s="5" t="str">
        <f>IF(AND(D380&gt;3,D381&lt;=3),C380+(3-D380)*(C381-C380)/(D381-D380),"")</f>
        <v/>
      </c>
    </row>
    <row r="382" spans="1:19" ht="20.100000000000001" customHeight="1">
      <c r="A382" t="s">
        <v>2</v>
      </c>
      <c r="B382">
        <v>37</v>
      </c>
      <c r="C382" s="5">
        <f>('Raw Data'!C37-'Raw Data'!$C$2)/60</f>
        <v>2.914850000000055</v>
      </c>
      <c r="D382" s="5">
        <f>'Raw Data'!J37</f>
        <v>6.3601400000000003</v>
      </c>
      <c r="E382" s="5">
        <f>$D$347-D382</f>
        <v>1.0463100000000001</v>
      </c>
      <c r="F382" s="8">
        <f>10^(-D382)</f>
        <v>4.3637513883973638E-7</v>
      </c>
      <c r="G382" s="5">
        <f>(D382-D381)/(C382-C381)</f>
        <v>-0.41644934804407352</v>
      </c>
      <c r="H382" s="5">
        <f>$B$9+$B$10*EXP(-$B$11*C382)</f>
        <v>6.2424964166789891</v>
      </c>
      <c r="I382" s="5">
        <f>D382-H382</f>
        <v>0.11764358332101121</v>
      </c>
      <c r="J382" s="5">
        <f t="shared" si="12"/>
        <v>1.3840012696607708E-2</v>
      </c>
      <c r="K382" s="5">
        <f>$B$17+$B$16*C382</f>
        <v>6.0969417790587483</v>
      </c>
      <c r="L382" s="5">
        <f>(D382-K382)^2</f>
        <v>6.9273303506640099E-2</v>
      </c>
      <c r="M382" s="5">
        <f>$B$40+$B$41*EXP(-$B$42*C382)</f>
        <v>0</v>
      </c>
      <c r="N382" s="5">
        <f>(D382-M382)^2</f>
        <v>40.451380819600004</v>
      </c>
      <c r="O382" s="5">
        <f>(C382+C381)/2</f>
        <v>2.8733083333333833</v>
      </c>
      <c r="P382" s="5" t="str">
        <f>IF(AND(D381&gt;6,D382&lt;=6),C381+(6-D381)*(C382-C381)/(D382-D381),"")</f>
        <v/>
      </c>
      <c r="Q382" s="5" t="str">
        <f>IF(AND(D381&gt;5,D382&lt;=5),C381+(5-D381)*(C382-C381)/(D382-D381),"")</f>
        <v/>
      </c>
      <c r="R382" s="5" t="str">
        <f>IF(AND(D381&gt;4,D382&lt;=4),C381+(4-D381)*(C382-C381)/(D382-D381),"")</f>
        <v/>
      </c>
      <c r="S382" s="5" t="str">
        <f>IF(AND(D381&gt;3,D382&lt;=3),C381+(3-D381)*(C382-C381)/(D382-D381),"")</f>
        <v/>
      </c>
    </row>
    <row r="383" spans="1:19" ht="20.100000000000001" customHeight="1">
      <c r="A383" t="s">
        <v>2</v>
      </c>
      <c r="B383">
        <v>38</v>
      </c>
      <c r="C383" s="5">
        <f>('Raw Data'!C38-'Raw Data'!$C$2)/60</f>
        <v>2.998183333333388</v>
      </c>
      <c r="D383" s="5">
        <f>'Raw Data'!J38</f>
        <v>6.3359100000000002</v>
      </c>
      <c r="E383" s="5">
        <f>$D$347-D383</f>
        <v>1.0705400000000003</v>
      </c>
      <c r="F383" s="8">
        <f>10^(-D383)</f>
        <v>4.6141318453411977E-7</v>
      </c>
      <c r="G383" s="5">
        <f>(D383-D382)/(C383-C382)</f>
        <v>-0.2907600000000034</v>
      </c>
      <c r="H383" s="5">
        <f>$B$9+$B$10*EXP(-$B$11*C383)</f>
        <v>6.2090732355073532</v>
      </c>
      <c r="I383" s="5">
        <f>D383-H383</f>
        <v>0.12683676449264691</v>
      </c>
      <c r="J383" s="5">
        <f t="shared" si="12"/>
        <v>1.6087564826963177E-2</v>
      </c>
      <c r="K383" s="5">
        <f>$B$17+$B$16*C383</f>
        <v>6.0829009557211418</v>
      </c>
      <c r="L383" s="5">
        <f>(D383-K383)^2</f>
        <v>6.4013576486901327E-2</v>
      </c>
      <c r="M383" s="5">
        <f>$B$40+$B$41*EXP(-$B$42*C383)</f>
        <v>0</v>
      </c>
      <c r="N383" s="5">
        <f>(D383-M383)^2</f>
        <v>40.143755528100002</v>
      </c>
      <c r="O383" s="5">
        <f>(C383+C382)/2</f>
        <v>2.9565166666667215</v>
      </c>
      <c r="P383" s="5" t="str">
        <f>IF(AND(D382&gt;6,D383&lt;=6),C382+(6-D382)*(C383-C382)/(D383-D382),"")</f>
        <v/>
      </c>
      <c r="Q383" s="5" t="str">
        <f>IF(AND(D382&gt;5,D383&lt;=5),C382+(5-D382)*(C383-C382)/(D383-D382),"")</f>
        <v/>
      </c>
      <c r="R383" s="5" t="str">
        <f>IF(AND(D382&gt;4,D383&lt;=4),C382+(4-D382)*(C383-C382)/(D383-D382),"")</f>
        <v/>
      </c>
      <c r="S383" s="5" t="str">
        <f>IF(AND(D382&gt;3,D383&lt;=3),C382+(3-D382)*(C383-C382)/(D383-D382),"")</f>
        <v/>
      </c>
    </row>
    <row r="384" spans="1:19" ht="20.100000000000001" customHeight="1">
      <c r="A384" t="s">
        <v>2</v>
      </c>
      <c r="B384">
        <v>39</v>
      </c>
      <c r="C384" s="5">
        <f>('Raw Data'!C39-'Raw Data'!$C$2)/60</f>
        <v>3.0815166666667215</v>
      </c>
      <c r="D384" s="5">
        <f>'Raw Data'!J39</f>
        <v>6.3197599999999996</v>
      </c>
      <c r="E384" s="5">
        <f>$D$347-D384</f>
        <v>1.0866900000000008</v>
      </c>
      <c r="F384" s="8">
        <f>10^(-D384)</f>
        <v>4.788946661841185E-7</v>
      </c>
      <c r="G384" s="5">
        <f>(D384-D383)/(C384-C383)</f>
        <v>-0.1938000000000063</v>
      </c>
      <c r="H384" s="5">
        <f>$B$9+$B$10*EXP(-$B$11*C384)</f>
        <v>6.1760783484238511</v>
      </c>
      <c r="I384" s="5">
        <f>D384-H384</f>
        <v>0.14368165157614854</v>
      </c>
      <c r="J384" s="5">
        <f t="shared" si="12"/>
        <v>2.0644416999649747E-2</v>
      </c>
      <c r="K384" s="5">
        <f>$B$17+$B$16*C384</f>
        <v>6.0688601323835352</v>
      </c>
      <c r="L384" s="5">
        <f>(D384-K384)^2</f>
        <v>6.2950743569959375E-2</v>
      </c>
      <c r="M384" s="5">
        <f>$B$40+$B$41*EXP(-$B$42*C384)</f>
        <v>0</v>
      </c>
      <c r="N384" s="5">
        <f>(D384-M384)^2</f>
        <v>39.939366457599995</v>
      </c>
      <c r="O384" s="5">
        <f>(C384+C383)/2</f>
        <v>3.0398500000000546</v>
      </c>
      <c r="P384" s="5" t="str">
        <f>IF(AND(D383&gt;6,D384&lt;=6),C383+(6-D383)*(C384-C383)/(D384-D383),"")</f>
        <v/>
      </c>
      <c r="Q384" s="5" t="str">
        <f>IF(AND(D383&gt;5,D384&lt;=5),C383+(5-D383)*(C384-C383)/(D384-D383),"")</f>
        <v/>
      </c>
      <c r="R384" s="5" t="str">
        <f>IF(AND(D383&gt;4,D384&lt;=4),C383+(4-D383)*(C384-C383)/(D384-D383),"")</f>
        <v/>
      </c>
      <c r="S384" s="5" t="str">
        <f>IF(AND(D383&gt;3,D384&lt;=3),C383+(3-D383)*(C384-C383)/(D384-D383),"")</f>
        <v/>
      </c>
    </row>
    <row r="385" spans="1:19" ht="20.100000000000001" customHeight="1">
      <c r="A385" t="s">
        <v>2</v>
      </c>
      <c r="B385">
        <v>40</v>
      </c>
      <c r="C385" s="5">
        <f>('Raw Data'!C40-'Raw Data'!$C$2)/60</f>
        <v>3.164850000000055</v>
      </c>
      <c r="D385" s="5">
        <f>'Raw Data'!J40</f>
        <v>6.2828499999999998</v>
      </c>
      <c r="E385" s="5">
        <f>$D$347-D385</f>
        <v>1.1236000000000006</v>
      </c>
      <c r="F385" s="8">
        <f>10^(-D385)</f>
        <v>5.2137475647187381E-7</v>
      </c>
      <c r="G385" s="5">
        <f>(D385-D384)/(C385-C384)</f>
        <v>-0.44291999999999654</v>
      </c>
      <c r="H385" s="5">
        <f>$B$9+$B$10*EXP(-$B$11*C385)</f>
        <v>6.1435062671470106</v>
      </c>
      <c r="I385" s="5">
        <f>D385-H385</f>
        <v>0.13934373285298918</v>
      </c>
      <c r="J385" s="5">
        <f t="shared" si="12"/>
        <v>1.9416675885405216E-2</v>
      </c>
      <c r="K385" s="5">
        <f>$B$17+$B$16*C385</f>
        <v>6.0548193090459286</v>
      </c>
      <c r="L385" s="5">
        <f>(D385-K385)^2</f>
        <v>5.1997996016991149E-2</v>
      </c>
      <c r="M385" s="5">
        <f>$B$40+$B$41*EXP(-$B$42*C385)</f>
        <v>0</v>
      </c>
      <c r="N385" s="5">
        <f>(D385-M385)^2</f>
        <v>39.474204122499998</v>
      </c>
      <c r="O385" s="5">
        <f>(C385+C384)/2</f>
        <v>3.1231833333333885</v>
      </c>
      <c r="P385" s="5" t="str">
        <f>IF(AND(D384&gt;6,D385&lt;=6),C384+(6-D384)*(C385-C384)/(D385-D384),"")</f>
        <v/>
      </c>
      <c r="Q385" s="5" t="str">
        <f>IF(AND(D384&gt;5,D385&lt;=5),C384+(5-D384)*(C385-C384)/(D385-D384),"")</f>
        <v/>
      </c>
      <c r="R385" s="5" t="str">
        <f>IF(AND(D384&gt;4,D385&lt;=4),C384+(4-D384)*(C385-C384)/(D385-D384),"")</f>
        <v/>
      </c>
      <c r="S385" s="5" t="str">
        <f>IF(AND(D384&gt;3,D385&lt;=3),C384+(3-D384)*(C385-C384)/(D385-D384),"")</f>
        <v/>
      </c>
    </row>
    <row r="386" spans="1:19" ht="20.100000000000001" customHeight="1">
      <c r="A386" t="s">
        <v>2</v>
      </c>
      <c r="B386">
        <v>41</v>
      </c>
      <c r="C386" s="5">
        <f>('Raw Data'!C41-'Raw Data'!$C$2)/60</f>
        <v>3.2479166666666668</v>
      </c>
      <c r="D386" s="5">
        <f>'Raw Data'!J41</f>
        <v>6.25631</v>
      </c>
      <c r="E386" s="5">
        <f>$D$347-D386</f>
        <v>1.1501400000000004</v>
      </c>
      <c r="F386" s="8">
        <f>10^(-D386)</f>
        <v>5.5422996161999611E-7</v>
      </c>
      <c r="G386" s="5">
        <f>(D386-D385)/(C386-C385)</f>
        <v>-0.31950240770486343</v>
      </c>
      <c r="H386" s="5">
        <f>$B$9+$B$10*EXP(-$B$11*C386)</f>
        <v>6.1114538087552681</v>
      </c>
      <c r="I386" s="5">
        <f>D386-H386</f>
        <v>0.14485619124473192</v>
      </c>
      <c r="J386" s="5">
        <f t="shared" si="12"/>
        <v>2.0983316141930351E-2</v>
      </c>
      <c r="K386" s="5">
        <f>$B$17+$B$16*C386</f>
        <v>6.0408234163430112</v>
      </c>
      <c r="L386" s="5">
        <f>(D386-K386)^2</f>
        <v>4.6434467736160438E-2</v>
      </c>
      <c r="M386" s="5">
        <f>$B$40+$B$41*EXP(-$B$42*C386)</f>
        <v>0</v>
      </c>
      <c r="N386" s="5">
        <f>(D386-M386)^2</f>
        <v>39.141414816100003</v>
      </c>
      <c r="O386" s="5">
        <f>(C386+C385)/2</f>
        <v>3.2063833333333607</v>
      </c>
      <c r="P386" s="5" t="str">
        <f>IF(AND(D385&gt;6,D386&lt;=6),C385+(6-D385)*(C386-C385)/(D386-D385),"")</f>
        <v/>
      </c>
      <c r="Q386" s="5" t="str">
        <f>IF(AND(D385&gt;5,D386&lt;=5),C385+(5-D385)*(C386-C385)/(D386-D385),"")</f>
        <v/>
      </c>
      <c r="R386" s="5" t="str">
        <f>IF(AND(D385&gt;4,D386&lt;=4),C385+(4-D385)*(C386-C385)/(D386-D385),"")</f>
        <v/>
      </c>
      <c r="S386" s="5" t="str">
        <f>IF(AND(D385&gt;3,D386&lt;=3),C385+(3-D385)*(C386-C385)/(D386-D385),"")</f>
        <v/>
      </c>
    </row>
    <row r="387" spans="1:19" ht="20.100000000000001" customHeight="1">
      <c r="A387" t="s">
        <v>2</v>
      </c>
      <c r="B387">
        <v>42</v>
      </c>
      <c r="C387" s="5">
        <f>('Raw Data'!C42-'Raw Data'!$C$2)/60</f>
        <v>3.3309833333333998</v>
      </c>
      <c r="D387" s="5">
        <f>'Raw Data'!J42</f>
        <v>6.2401600000000004</v>
      </c>
      <c r="E387" s="5">
        <f>$D$347-D387</f>
        <v>1.16629</v>
      </c>
      <c r="F387" s="8">
        <f>10^(-D387)</f>
        <v>5.7522797647672609E-7</v>
      </c>
      <c r="G387" s="5">
        <f>(D387-D386)/(C387-C386)</f>
        <v>-0.19442215088266571</v>
      </c>
      <c r="H387" s="5">
        <f>$B$9+$B$10*EXP(-$B$11*C387)</f>
        <v>6.0798107737193252</v>
      </c>
      <c r="I387" s="5">
        <f>D387-H387</f>
        <v>0.16034922628067516</v>
      </c>
      <c r="J387" s="5">
        <f t="shared" si="12"/>
        <v>2.5711874368811165E-2</v>
      </c>
      <c r="K387" s="5">
        <f>$B$17+$B$16*C387</f>
        <v>6.0268275236400735</v>
      </c>
      <c r="L387" s="5">
        <f>(D387-K387)^2</f>
        <v>4.5510745469858775E-2</v>
      </c>
      <c r="M387" s="5">
        <f>$B$40+$B$41*EXP(-$B$42*C387)</f>
        <v>0</v>
      </c>
      <c r="N387" s="5">
        <f>(D387-M387)^2</f>
        <v>38.939596825600006</v>
      </c>
      <c r="O387" s="5">
        <f>(C387+C386)/2</f>
        <v>3.2894500000000333</v>
      </c>
      <c r="P387" s="5" t="str">
        <f>IF(AND(D386&gt;6,D387&lt;=6),C386+(6-D386)*(C387-C386)/(D387-D386),"")</f>
        <v/>
      </c>
      <c r="Q387" s="5" t="str">
        <f>IF(AND(D386&gt;5,D387&lt;=5),C386+(5-D386)*(C387-C386)/(D387-D386),"")</f>
        <v/>
      </c>
      <c r="R387" s="5" t="str">
        <f>IF(AND(D386&gt;4,D387&lt;=4),C386+(4-D386)*(C387-C386)/(D387-D386),"")</f>
        <v/>
      </c>
      <c r="S387" s="5" t="str">
        <f>IF(AND(D386&gt;3,D387&lt;=3),C386+(3-D386)*(C387-C386)/(D387-D386),"")</f>
        <v/>
      </c>
    </row>
    <row r="388" spans="1:19" ht="20.100000000000001" customHeight="1">
      <c r="A388" t="s">
        <v>2</v>
      </c>
      <c r="B388">
        <v>43</v>
      </c>
      <c r="C388" s="5">
        <f>('Raw Data'!C43-'Raw Data'!$C$2)/60</f>
        <v>3.4145833333333333</v>
      </c>
      <c r="D388" s="5">
        <f>'Raw Data'!J43</f>
        <v>6.2009400000000001</v>
      </c>
      <c r="E388" s="5">
        <f>$D$347-D388</f>
        <v>1.2055100000000003</v>
      </c>
      <c r="F388" s="8">
        <f>10^(-D388)</f>
        <v>6.295931583582685E-7</v>
      </c>
      <c r="G388" s="5">
        <f>(D388-D387)/(C388-C387)</f>
        <v>-0.46913875598123744</v>
      </c>
      <c r="H388" s="5">
        <f>$B$9+$B$10*EXP(-$B$11*C388)</f>
        <v>6.0483726565538412</v>
      </c>
      <c r="I388" s="5">
        <f>D388-H388</f>
        <v>0.15256734344615897</v>
      </c>
      <c r="J388" s="5">
        <f t="shared" si="12"/>
        <v>2.3276794286218226E-2</v>
      </c>
      <c r="K388" s="5">
        <f>$B$17+$B$16*C388</f>
        <v>6.0127417696677981</v>
      </c>
      <c r="L388" s="5">
        <f>(D388-K388)^2</f>
        <v>3.5418573900172584E-2</v>
      </c>
      <c r="M388" s="5">
        <f>$B$40+$B$41*EXP(-$B$42*C388)</f>
        <v>0</v>
      </c>
      <c r="N388" s="5">
        <f>(D388-M388)^2</f>
        <v>38.451656883600002</v>
      </c>
      <c r="O388" s="5">
        <f>(C388+C387)/2</f>
        <v>3.3727833333333663</v>
      </c>
      <c r="P388" s="5" t="str">
        <f>IF(AND(D387&gt;6,D388&lt;=6),C387+(6-D387)*(C388-C387)/(D388-D387),"")</f>
        <v/>
      </c>
      <c r="Q388" s="5" t="str">
        <f>IF(AND(D387&gt;5,D388&lt;=5),C387+(5-D387)*(C388-C387)/(D388-D387),"")</f>
        <v/>
      </c>
      <c r="R388" s="5" t="str">
        <f>IF(AND(D387&gt;4,D388&lt;=4),C387+(4-D387)*(C388-C387)/(D388-D387),"")</f>
        <v/>
      </c>
      <c r="S388" s="5" t="str">
        <f>IF(AND(D387&gt;3,D388&lt;=3),C387+(3-D387)*(C388-C387)/(D388-D387),"")</f>
        <v/>
      </c>
    </row>
    <row r="389" spans="1:19" ht="20.100000000000001" customHeight="1">
      <c r="A389" t="s">
        <v>2</v>
      </c>
      <c r="B389">
        <v>44</v>
      </c>
      <c r="C389" s="5">
        <f>('Raw Data'!C44-'Raw Data'!$C$2)/60</f>
        <v>3.4976500000000663</v>
      </c>
      <c r="D389" s="5">
        <f>'Raw Data'!J44</f>
        <v>6.18018</v>
      </c>
      <c r="E389" s="5">
        <f>$D$347-D389</f>
        <v>1.2262700000000004</v>
      </c>
      <c r="F389" s="8">
        <f>10^(-D389)</f>
        <v>6.6041967022801539E-7</v>
      </c>
      <c r="G389" s="5">
        <f>(D389-D388)/(C389-C388)</f>
        <v>-0.24991974317797189</v>
      </c>
      <c r="H389" s="5">
        <f>$B$9+$B$10*EXP(-$B$11*C389)</f>
        <v>6.0175353911318616</v>
      </c>
      <c r="I389" s="5">
        <f>D389-H389</f>
        <v>0.16264460886813836</v>
      </c>
      <c r="J389" s="5">
        <f t="shared" si="12"/>
        <v>2.6453268793869712E-2</v>
      </c>
      <c r="K389" s="5">
        <f>$B$17+$B$16*C389</f>
        <v>5.9987458769648603</v>
      </c>
      <c r="L389" s="5">
        <f>(D389-K389)^2</f>
        <v>3.2918341001530217E-2</v>
      </c>
      <c r="M389" s="5">
        <f>$B$40+$B$41*EXP(-$B$42*C389)</f>
        <v>0</v>
      </c>
      <c r="N389" s="5">
        <f>(D389-M389)^2</f>
        <v>38.194624832400002</v>
      </c>
      <c r="O389" s="5">
        <f>(C389+C388)/2</f>
        <v>3.4561166666666998</v>
      </c>
      <c r="P389" s="5" t="str">
        <f>IF(AND(D388&gt;6,D389&lt;=6),C388+(6-D388)*(C389-C388)/(D389-D388),"")</f>
        <v/>
      </c>
      <c r="Q389" s="5" t="str">
        <f>IF(AND(D388&gt;5,D389&lt;=5),C388+(5-D388)*(C389-C388)/(D389-D388),"")</f>
        <v/>
      </c>
      <c r="R389" s="5" t="str">
        <f>IF(AND(D388&gt;4,D389&lt;=4),C388+(4-D388)*(C389-C388)/(D389-D388),"")</f>
        <v/>
      </c>
      <c r="S389" s="5" t="str">
        <f>IF(AND(D388&gt;3,D389&lt;=3),C388+(3-D388)*(C389-C388)/(D389-D388),"")</f>
        <v/>
      </c>
    </row>
    <row r="390" spans="1:19" ht="20.100000000000001" customHeight="1">
      <c r="A390" t="s">
        <v>2</v>
      </c>
      <c r="B390">
        <v>45</v>
      </c>
      <c r="C390" s="5">
        <f>('Raw Data'!C45-'Raw Data'!$C$2)/60</f>
        <v>3.5809833333333998</v>
      </c>
      <c r="D390" s="5">
        <f>'Raw Data'!J45</f>
        <v>6.1582600000000003</v>
      </c>
      <c r="E390" s="5">
        <f>$D$347-D390</f>
        <v>1.2481900000000001</v>
      </c>
      <c r="F390" s="8">
        <f>10^(-D390)</f>
        <v>6.9460835043062371E-7</v>
      </c>
      <c r="G390" s="5">
        <f>(D390-D389)/(C390-C389)</f>
        <v>-0.26303999999999617</v>
      </c>
      <c r="H390" s="5">
        <f>$B$9+$B$10*EXP(-$B$11*C390)</f>
        <v>5.9869949241102516</v>
      </c>
      <c r="I390" s="5">
        <f>D390-H390</f>
        <v>0.17126507588974871</v>
      </c>
      <c r="J390" s="5">
        <f t="shared" si="12"/>
        <v>2.9331726219521383E-2</v>
      </c>
      <c r="K390" s="5">
        <f>$B$17+$B$16*C390</f>
        <v>5.9847050536272537</v>
      </c>
      <c r="L390" s="5">
        <f>(D390-K390)^2</f>
        <v>3.0121319410446948E-2</v>
      </c>
      <c r="M390" s="5">
        <f>$B$40+$B$41*EXP(-$B$42*C390)</f>
        <v>0</v>
      </c>
      <c r="N390" s="5">
        <f>(D390-M390)^2</f>
        <v>37.924166227600004</v>
      </c>
      <c r="O390" s="5">
        <f>(C390+C389)/2</f>
        <v>3.5393166666667328</v>
      </c>
      <c r="P390" s="5" t="str">
        <f>IF(AND(D389&gt;6,D390&lt;=6),C389+(6-D389)*(C390-C389)/(D390-D389),"")</f>
        <v/>
      </c>
      <c r="Q390" s="5" t="str">
        <f>IF(AND(D389&gt;5,D390&lt;=5),C389+(5-D389)*(C390-C389)/(D390-D389),"")</f>
        <v/>
      </c>
      <c r="R390" s="5" t="str">
        <f>IF(AND(D389&gt;4,D390&lt;=4),C389+(4-D389)*(C390-C389)/(D390-D389),"")</f>
        <v/>
      </c>
      <c r="S390" s="5" t="str">
        <f>IF(AND(D389&gt;3,D390&lt;=3),C389+(3-D389)*(C390-C389)/(D390-D389),"")</f>
        <v/>
      </c>
    </row>
    <row r="391" spans="1:19" ht="20.100000000000001" customHeight="1">
      <c r="A391" t="s">
        <v>2</v>
      </c>
      <c r="B391">
        <v>46</v>
      </c>
      <c r="C391" s="5">
        <f>('Raw Data'!C46-'Raw Data'!$C$2)/60</f>
        <v>3.6643166666667333</v>
      </c>
      <c r="D391" s="5">
        <f>'Raw Data'!J46</f>
        <v>6.12826</v>
      </c>
      <c r="E391" s="5">
        <f>$D$347-D391</f>
        <v>1.2781900000000004</v>
      </c>
      <c r="F391" s="8">
        <f>10^(-D391)</f>
        <v>7.4428625706566287E-7</v>
      </c>
      <c r="G391" s="5">
        <f>(D391-D390)/(C391-C390)</f>
        <v>-0.36000000000000232</v>
      </c>
      <c r="H391" s="5">
        <f>$B$9+$B$10*EXP(-$B$11*C391)</f>
        <v>5.9568458112630696</v>
      </c>
      <c r="I391" s="5">
        <f>D391-H391</f>
        <v>0.17141418873693048</v>
      </c>
      <c r="J391" s="5">
        <f t="shared" si="12"/>
        <v>2.9382824100340026E-2</v>
      </c>
      <c r="K391" s="5">
        <f>$B$17+$B$16*C391</f>
        <v>5.9706642302896462</v>
      </c>
      <c r="L391" s="5">
        <f>(D391-K391)^2</f>
        <v>2.4836426630598877E-2</v>
      </c>
      <c r="M391" s="5">
        <f>$B$40+$B$41*EXP(-$B$42*C391)</f>
        <v>0</v>
      </c>
      <c r="N391" s="5">
        <f>(D391-M391)^2</f>
        <v>37.555570627599998</v>
      </c>
      <c r="O391" s="5">
        <f>(C391+C390)/2</f>
        <v>3.6226500000000668</v>
      </c>
      <c r="P391" s="5" t="str">
        <f>IF(AND(D390&gt;6,D391&lt;=6),C390+(6-D390)*(C391-C390)/(D391-D390),"")</f>
        <v/>
      </c>
      <c r="Q391" s="5" t="str">
        <f>IF(AND(D390&gt;5,D391&lt;=5),C390+(5-D390)*(C391-C390)/(D391-D390),"")</f>
        <v/>
      </c>
      <c r="R391" s="5" t="str">
        <f>IF(AND(D390&gt;4,D391&lt;=4),C390+(4-D390)*(C391-C390)/(D391-D390),"")</f>
        <v/>
      </c>
      <c r="S391" s="5" t="str">
        <f>IF(AND(D390&gt;3,D391&lt;=3),C390+(3-D390)*(C391-C390)/(D391-D390),"")</f>
        <v/>
      </c>
    </row>
    <row r="392" spans="1:19" ht="20.100000000000001" customHeight="1">
      <c r="A392" t="s">
        <v>2</v>
      </c>
      <c r="B392">
        <v>47</v>
      </c>
      <c r="C392" s="5">
        <f>('Raw Data'!C47-'Raw Data'!$C$2)/60</f>
        <v>3.7476500000000663</v>
      </c>
      <c r="D392" s="5">
        <f>'Raw Data'!J47</f>
        <v>6.0994200000000003</v>
      </c>
      <c r="E392" s="5">
        <f>$D$347-D392</f>
        <v>1.3070300000000001</v>
      </c>
      <c r="F392" s="8">
        <f>10^(-D392)</f>
        <v>7.9538976824946093E-7</v>
      </c>
      <c r="G392" s="5">
        <f>(D392-D391)/(C392-C391)</f>
        <v>-0.34607999999999828</v>
      </c>
      <c r="H392" s="5">
        <f>$B$9+$B$10*EXP(-$B$11*C392)</f>
        <v>5.9270830376673374</v>
      </c>
      <c r="I392" s="5">
        <f>D392-H392</f>
        <v>0.17233696233266294</v>
      </c>
      <c r="J392" s="5">
        <f t="shared" si="12"/>
        <v>2.9700028586049684E-2</v>
      </c>
      <c r="K392" s="5">
        <f>$B$17+$B$16*C392</f>
        <v>5.9566234069520396</v>
      </c>
      <c r="L392" s="5">
        <f>(D392-K392)^2</f>
        <v>2.0390866986104886E-2</v>
      </c>
      <c r="M392" s="5">
        <f>$B$40+$B$41*EXP(-$B$42*C392)</f>
        <v>0</v>
      </c>
      <c r="N392" s="5">
        <f>(D392-M392)^2</f>
        <v>37.202924336400002</v>
      </c>
      <c r="O392" s="5">
        <f>(C392+C391)/2</f>
        <v>3.7059833333333998</v>
      </c>
      <c r="P392" s="5" t="str">
        <f>IF(AND(D391&gt;6,D392&lt;=6),C391+(6-D391)*(C392-C391)/(D392-D391),"")</f>
        <v/>
      </c>
      <c r="Q392" s="5" t="str">
        <f>IF(AND(D391&gt;5,D392&lt;=5),C391+(5-D391)*(C392-C391)/(D392-D391),"")</f>
        <v/>
      </c>
      <c r="R392" s="5" t="str">
        <f>IF(AND(D391&gt;4,D392&lt;=4),C391+(4-D391)*(C392-C391)/(D392-D391),"")</f>
        <v/>
      </c>
      <c r="S392" s="5" t="str">
        <f>IF(AND(D391&gt;3,D392&lt;=3),C391+(3-D391)*(C392-C391)/(D392-D391),"")</f>
        <v/>
      </c>
    </row>
    <row r="393" spans="1:19" ht="20.100000000000001" customHeight="1">
      <c r="A393" t="s">
        <v>2</v>
      </c>
      <c r="B393">
        <v>48</v>
      </c>
      <c r="C393" s="5">
        <f>('Raw Data'!C48-'Raw Data'!$C$2)/60</f>
        <v>3.8307333333334102</v>
      </c>
      <c r="D393" s="5">
        <f>'Raw Data'!J48</f>
        <v>6.0821199999999997</v>
      </c>
      <c r="E393" s="5">
        <f>$D$347-D393</f>
        <v>1.3243300000000007</v>
      </c>
      <c r="F393" s="8">
        <f>10^(-D393)</f>
        <v>8.2771342644092822E-7</v>
      </c>
      <c r="G393" s="5">
        <f>(D393-D392)/(C393-C392)</f>
        <v>-0.20822467402204634</v>
      </c>
      <c r="H393" s="5">
        <f>$B$9+$B$10*EXP(-$B$11*C393)</f>
        <v>5.8977892313320535</v>
      </c>
      <c r="I393" s="5">
        <f>D393-H393</f>
        <v>0.18433076866794629</v>
      </c>
      <c r="J393" s="5">
        <f t="shared" si="12"/>
        <v>3.3977832277715926E-2</v>
      </c>
      <c r="K393" s="5">
        <f>$B$17+$B$16*C393</f>
        <v>5.9426247060844446</v>
      </c>
      <c r="L393" s="5">
        <f>(D393-K393)^2</f>
        <v>1.945893702458712E-2</v>
      </c>
      <c r="M393" s="5">
        <f>$B$40+$B$41*EXP(-$B$42*C393)</f>
        <v>0</v>
      </c>
      <c r="N393" s="5">
        <f>(D393-M393)^2</f>
        <v>36.992183694399998</v>
      </c>
      <c r="O393" s="5">
        <f>(C393+C392)/2</f>
        <v>3.7891916666667385</v>
      </c>
      <c r="P393" s="5" t="str">
        <f>IF(AND(D392&gt;6,D393&lt;=6),C392+(6-D392)*(C393-C392)/(D393-D392),"")</f>
        <v/>
      </c>
      <c r="Q393" s="5" t="str">
        <f>IF(AND(D392&gt;5,D393&lt;=5),C392+(5-D392)*(C393-C392)/(D393-D392),"")</f>
        <v/>
      </c>
      <c r="R393" s="5" t="str">
        <f>IF(AND(D392&gt;4,D393&lt;=4),C392+(4-D392)*(C393-C392)/(D393-D392),"")</f>
        <v/>
      </c>
      <c r="S393" s="5" t="str">
        <f>IF(AND(D392&gt;3,D393&lt;=3),C392+(3-D392)*(C393-C392)/(D393-D392),"")</f>
        <v/>
      </c>
    </row>
    <row r="394" spans="1:19" ht="20.100000000000001" customHeight="1">
      <c r="A394" t="s">
        <v>2</v>
      </c>
      <c r="B394">
        <v>49</v>
      </c>
      <c r="C394" s="5">
        <f>('Raw Data'!C49-'Raw Data'!$C$2)/60</f>
        <v>3.9143166666667333</v>
      </c>
      <c r="D394" s="5">
        <f>'Raw Data'!J49</f>
        <v>6.0452000000000004</v>
      </c>
      <c r="E394" s="5">
        <f>$D$347-D394</f>
        <v>1.3612500000000001</v>
      </c>
      <c r="F394" s="8">
        <f>10^(-D394)</f>
        <v>9.0115604433970198E-7</v>
      </c>
      <c r="G394" s="5">
        <f>(D394-D393)/(C394-C393)</f>
        <v>-0.44171485543374561</v>
      </c>
      <c r="H394" s="5">
        <f>$B$9+$B$10*EXP(-$B$11*C394)</f>
        <v>5.8686967690280305</v>
      </c>
      <c r="I394" s="5">
        <f>D394-H394</f>
        <v>0.17650323097196985</v>
      </c>
      <c r="J394" s="5">
        <f t="shared" si="12"/>
        <v>3.1153390543544535E-2</v>
      </c>
      <c r="K394" s="5">
        <f>$B$17+$B$16*C394</f>
        <v>5.9285417602768264</v>
      </c>
      <c r="L394" s="5">
        <f>(D394-K394)^2</f>
        <v>1.3609144895309511E-2</v>
      </c>
      <c r="M394" s="5">
        <f>$B$40+$B$41*EXP(-$B$42*C394)</f>
        <v>0</v>
      </c>
      <c r="N394" s="5">
        <f>(D394-M394)^2</f>
        <v>36.544443040000004</v>
      </c>
      <c r="O394" s="5">
        <f>(C394+C393)/2</f>
        <v>3.8725250000000715</v>
      </c>
      <c r="P394" s="5" t="str">
        <f>IF(AND(D393&gt;6,D394&lt;=6),C393+(6-D393)*(C394-C393)/(D394-D393),"")</f>
        <v/>
      </c>
      <c r="Q394" s="5" t="str">
        <f>IF(AND(D393&gt;5,D394&lt;=5),C393+(5-D393)*(C394-C393)/(D394-D393),"")</f>
        <v/>
      </c>
      <c r="R394" s="5" t="str">
        <f>IF(AND(D393&gt;4,D394&lt;=4),C393+(4-D393)*(C394-C393)/(D394-D393),"")</f>
        <v/>
      </c>
      <c r="S394" s="5" t="str">
        <f>IF(AND(D393&gt;3,D394&lt;=3),C393+(3-D393)*(C394-C393)/(D394-D393),"")</f>
        <v/>
      </c>
    </row>
    <row r="395" spans="1:19" ht="20.100000000000001" customHeight="1">
      <c r="A395" t="s">
        <v>2</v>
      </c>
      <c r="B395">
        <v>50</v>
      </c>
      <c r="C395" s="5">
        <f>('Raw Data'!C50-'Raw Data'!$C$2)/60</f>
        <v>3.9974000000000767</v>
      </c>
      <c r="D395" s="5">
        <f>'Raw Data'!J50</f>
        <v>6.0140599999999997</v>
      </c>
      <c r="E395" s="5">
        <f>$D$347-D395</f>
        <v>1.3923900000000007</v>
      </c>
      <c r="F395" s="8">
        <f>10^(-D395)</f>
        <v>9.6814409297203993E-7</v>
      </c>
      <c r="G395" s="5">
        <f>(D395-D394)/(C395-C394)</f>
        <v>-0.37480441323968117</v>
      </c>
      <c r="H395" s="5">
        <f>$B$9+$B$10*EXP(-$B$11*C395)</f>
        <v>5.8401489107029647</v>
      </c>
      <c r="I395" s="5">
        <f>D395-H395</f>
        <v>0.17391108929703503</v>
      </c>
      <c r="J395" s="5">
        <f t="shared" si="12"/>
        <v>3.0245066980481291E-2</v>
      </c>
      <c r="K395" s="5">
        <f>$B$17+$B$16*C395</f>
        <v>5.9145430594092305</v>
      </c>
      <c r="L395" s="5">
        <f>(D395-K395)^2</f>
        <v>9.9036214645466889E-3</v>
      </c>
      <c r="M395" s="5">
        <f>$B$40+$B$41*EXP(-$B$42*C395)</f>
        <v>0</v>
      </c>
      <c r="N395" s="5">
        <f>(D395-M395)^2</f>
        <v>36.1689176836</v>
      </c>
      <c r="O395" s="5">
        <f>(C395+C394)/2</f>
        <v>3.955858333333405</v>
      </c>
      <c r="P395" s="5" t="str">
        <f>IF(AND(D394&gt;6,D395&lt;=6),C394+(6-D394)*(C395-C394)/(D395-D394),"")</f>
        <v/>
      </c>
      <c r="Q395" s="5" t="str">
        <f>IF(AND(D394&gt;5,D395&lt;=5),C394+(5-D394)*(C395-C394)/(D395-D394),"")</f>
        <v/>
      </c>
      <c r="R395" s="5" t="str">
        <f>IF(AND(D394&gt;4,D395&lt;=4),C394+(4-D394)*(C395-C394)/(D395-D394),"")</f>
        <v/>
      </c>
      <c r="S395" s="5" t="str">
        <f>IF(AND(D394&gt;3,D395&lt;=3),C394+(3-D394)*(C395-C394)/(D395-D394),"")</f>
        <v/>
      </c>
    </row>
    <row r="396" spans="1:19" ht="20.100000000000001" customHeight="1">
      <c r="A396" t="s">
        <v>2</v>
      </c>
      <c r="B396">
        <v>51</v>
      </c>
      <c r="C396" s="5">
        <f>('Raw Data'!C51-'Raw Data'!$C$2)/60</f>
        <v>4.0807333333334102</v>
      </c>
      <c r="D396" s="5">
        <f>'Raw Data'!J51</f>
        <v>5.99099</v>
      </c>
      <c r="E396" s="5">
        <f>$D$347-D396</f>
        <v>1.4154600000000004</v>
      </c>
      <c r="F396" s="8">
        <f>10^(-D396)</f>
        <v>1.020962991978687E-6</v>
      </c>
      <c r="G396" s="5">
        <f>(D396-D395)/(C396-C395)</f>
        <v>-0.27683999999999592</v>
      </c>
      <c r="H396" s="5">
        <f>$B$9+$B$10*EXP(-$B$11*C396)</f>
        <v>5.811881524166794</v>
      </c>
      <c r="I396" s="5">
        <f>D396-H396</f>
        <v>0.17910847583320599</v>
      </c>
      <c r="J396" s="5">
        <f t="shared" si="12"/>
        <v>3.2079846115294137E-2</v>
      </c>
      <c r="K396" s="5">
        <f>$B$17+$B$16*C396</f>
        <v>5.9005022360716239</v>
      </c>
      <c r="L396" s="5">
        <f>(D396-K396)^2</f>
        <v>8.1880354207575223E-3</v>
      </c>
      <c r="M396" s="5">
        <f>$B$40+$B$41*EXP(-$B$42*C396)</f>
        <v>0</v>
      </c>
      <c r="N396" s="5">
        <f>(D396-M396)^2</f>
        <v>35.891961180099997</v>
      </c>
      <c r="O396" s="5">
        <f>(C396+C395)/2</f>
        <v>4.0390666666667432</v>
      </c>
      <c r="P396" s="5">
        <f>IF(AND(D395&gt;6,D396&lt;=6),C395+(6-D395)*(C396-C395)/(D396-D395),"")</f>
        <v>4.0481874584598367</v>
      </c>
      <c r="Q396" s="5" t="str">
        <f>IF(AND(D395&gt;5,D396&lt;=5),C395+(5-D395)*(C396-C395)/(D396-D395),"")</f>
        <v/>
      </c>
      <c r="R396" s="5" t="str">
        <f>IF(AND(D395&gt;4,D396&lt;=4),C395+(4-D395)*(C396-C395)/(D396-D395),"")</f>
        <v/>
      </c>
      <c r="S396" s="5" t="str">
        <f>IF(AND(D395&gt;3,D396&lt;=3),C395+(3-D395)*(C396-C395)/(D396-D395),"")</f>
        <v/>
      </c>
    </row>
    <row r="397" spans="1:19" ht="20.100000000000001" customHeight="1">
      <c r="A397" t="s">
        <v>2</v>
      </c>
      <c r="B397">
        <v>52</v>
      </c>
      <c r="C397" s="5">
        <f>('Raw Data'!C52-'Raw Data'!$C$2)/60</f>
        <v>4.1640666666667432</v>
      </c>
      <c r="D397" s="5">
        <f>'Raw Data'!J52</f>
        <v>5.9586800000000002</v>
      </c>
      <c r="E397" s="5">
        <f>$D$347-D397</f>
        <v>1.4477700000000002</v>
      </c>
      <c r="F397" s="8">
        <f>10^(-D397)</f>
        <v>1.0998159152669916E-6</v>
      </c>
      <c r="G397" s="5">
        <f>(D397-D396)/(C397-C396)</f>
        <v>-0.38771999999999945</v>
      </c>
      <c r="H397" s="5">
        <f>$B$9+$B$10*EXP(-$B$11*C397)</f>
        <v>5.7839763639093924</v>
      </c>
      <c r="I397" s="5">
        <f>D397-H397</f>
        <v>0.17470363609060779</v>
      </c>
      <c r="J397" s="5">
        <f t="shared" si="12"/>
        <v>3.052136046327952E-2</v>
      </c>
      <c r="K397" s="5">
        <f>$B$17+$B$16*C397</f>
        <v>5.8864614127340174</v>
      </c>
      <c r="L397" s="5">
        <f>(D397-K397)^2</f>
        <v>5.2155243466943798E-3</v>
      </c>
      <c r="M397" s="5">
        <f>$B$40+$B$41*EXP(-$B$42*C397)</f>
        <v>0</v>
      </c>
      <c r="N397" s="5">
        <f>(D397-M397)^2</f>
        <v>35.505867342400002</v>
      </c>
      <c r="O397" s="5">
        <f>(C397+C396)/2</f>
        <v>4.1224000000000771</v>
      </c>
      <c r="P397" s="5" t="str">
        <f>IF(AND(D396&gt;6,D397&lt;=6),C396+(6-D396)*(C397-C396)/(D397-D396),"")</f>
        <v/>
      </c>
      <c r="Q397" s="5" t="str">
        <f>IF(AND(D396&gt;5,D397&lt;=5),C396+(5-D396)*(C397-C396)/(D397-D396),"")</f>
        <v/>
      </c>
      <c r="R397" s="5" t="str">
        <f>IF(AND(D396&gt;4,D397&lt;=4),C396+(4-D396)*(C397-C396)/(D397-D396),"")</f>
        <v/>
      </c>
      <c r="S397" s="5" t="str">
        <f>IF(AND(D396&gt;3,D397&lt;=3),C396+(3-D396)*(C397-C396)/(D397-D396),"")</f>
        <v/>
      </c>
    </row>
    <row r="398" spans="1:19" ht="20.100000000000001" customHeight="1">
      <c r="A398" t="s">
        <v>2</v>
      </c>
      <c r="B398">
        <v>53</v>
      </c>
      <c r="C398" s="5">
        <f>('Raw Data'!C53-'Raw Data'!$C$2)/60</f>
        <v>4.2474000000000762</v>
      </c>
      <c r="D398" s="5">
        <f>'Raw Data'!J53</f>
        <v>5.92523</v>
      </c>
      <c r="E398" s="5">
        <f>$D$347-D398</f>
        <v>1.4812200000000004</v>
      </c>
      <c r="F398" s="8">
        <f>10^(-D398)</f>
        <v>1.1878729697497179E-6</v>
      </c>
      <c r="G398" s="5">
        <f>(D398-D397)/(C398-C397)</f>
        <v>-0.40140000000000386</v>
      </c>
      <c r="H398" s="5">
        <f>$B$9+$B$10*EXP(-$B$11*C398)</f>
        <v>5.7564287882608678</v>
      </c>
      <c r="I398" s="5">
        <f>D398-H398</f>
        <v>0.16880121173913221</v>
      </c>
      <c r="J398" s="5">
        <f t="shared" si="12"/>
        <v>2.8493849084599343E-2</v>
      </c>
      <c r="K398" s="5">
        <f>$B$17+$B$16*C398</f>
        <v>5.8724205893964108</v>
      </c>
      <c r="L398" s="5">
        <f>(D398-K398)^2</f>
        <v>2.7888338482984832E-3</v>
      </c>
      <c r="M398" s="5">
        <f>$B$40+$B$41*EXP(-$B$42*C398)</f>
        <v>0</v>
      </c>
      <c r="N398" s="5">
        <f>(D398-M398)^2</f>
        <v>35.108350552899999</v>
      </c>
      <c r="O398" s="5">
        <f>(C398+C397)/2</f>
        <v>4.2057333333334093</v>
      </c>
      <c r="P398" s="5" t="str">
        <f>IF(AND(D397&gt;6,D398&lt;=6),C397+(6-D397)*(C398-C397)/(D398-D397),"")</f>
        <v/>
      </c>
      <c r="Q398" s="5" t="str">
        <f>IF(AND(D397&gt;5,D398&lt;=5),C397+(5-D397)*(C398-C397)/(D398-D397),"")</f>
        <v/>
      </c>
      <c r="R398" s="5" t="str">
        <f>IF(AND(D397&gt;4,D398&lt;=4),C397+(4-D397)*(C398-C397)/(D398-D397),"")</f>
        <v/>
      </c>
      <c r="S398" s="5" t="str">
        <f>IF(AND(D397&gt;3,D398&lt;=3),C397+(3-D397)*(C398-C397)/(D398-D397),"")</f>
        <v/>
      </c>
    </row>
    <row r="399" spans="1:19" ht="20.100000000000001" customHeight="1">
      <c r="A399" t="s">
        <v>2</v>
      </c>
      <c r="B399">
        <v>54</v>
      </c>
      <c r="C399" s="5">
        <f>('Raw Data'!C54-'Raw Data'!$C$2)/60</f>
        <v>4.3304666666666884</v>
      </c>
      <c r="D399" s="5">
        <f>'Raw Data'!J54</f>
        <v>5.8986999999999998</v>
      </c>
      <c r="E399" s="5">
        <f>$D$347-D399</f>
        <v>1.5077500000000006</v>
      </c>
      <c r="F399" s="8">
        <f>10^(-D399)</f>
        <v>1.2626994752949704E-6</v>
      </c>
      <c r="G399" s="5">
        <f>(D399-D398)/(C399-C398)</f>
        <v>-0.31938202247212144</v>
      </c>
      <c r="H399" s="5">
        <f>$B$9+$B$10*EXP(-$B$11*C399)</f>
        <v>5.7293206794862659</v>
      </c>
      <c r="I399" s="5">
        <f>D399-H399</f>
        <v>0.16937932051373394</v>
      </c>
      <c r="J399" s="5">
        <f t="shared" si="12"/>
        <v>2.8689354217694214E-2</v>
      </c>
      <c r="K399" s="5">
        <f>$B$17+$B$16*C399</f>
        <v>5.8584246966934934</v>
      </c>
      <c r="L399" s="5">
        <f>(D399-K399)^2</f>
        <v>1.6221000564310866E-3</v>
      </c>
      <c r="M399" s="5">
        <f>$B$40+$B$41*EXP(-$B$42*C399)</f>
        <v>0</v>
      </c>
      <c r="N399" s="5">
        <f>(D399-M399)^2</f>
        <v>34.794661689999998</v>
      </c>
      <c r="O399" s="5">
        <f>(C399+C398)/2</f>
        <v>4.2889333333333823</v>
      </c>
      <c r="P399" s="5" t="str">
        <f>IF(AND(D398&gt;6,D399&lt;=6),C398+(6-D398)*(C399-C398)/(D399-D398),"")</f>
        <v/>
      </c>
      <c r="Q399" s="5" t="str">
        <f>IF(AND(D398&gt;5,D399&lt;=5),C398+(5-D398)*(C399-C398)/(D399-D398),"")</f>
        <v/>
      </c>
      <c r="R399" s="5" t="str">
        <f>IF(AND(D398&gt;4,D399&lt;=4),C398+(4-D398)*(C399-C398)/(D399-D398),"")</f>
        <v/>
      </c>
      <c r="S399" s="5" t="str">
        <f>IF(AND(D398&gt;3,D399&lt;=3),C398+(3-D398)*(C399-C398)/(D399-D398),"")</f>
        <v/>
      </c>
    </row>
    <row r="400" spans="1:19" ht="20.100000000000001" customHeight="1">
      <c r="A400" t="s">
        <v>2</v>
      </c>
      <c r="B400">
        <v>55</v>
      </c>
      <c r="C400" s="5">
        <f>('Raw Data'!C55-'Raw Data'!$C$2)/60</f>
        <v>4.4140666666667432</v>
      </c>
      <c r="D400" s="5">
        <f>'Raw Data'!J55</f>
        <v>5.8733199999999997</v>
      </c>
      <c r="E400" s="5">
        <f>$D$347-D400</f>
        <v>1.5331300000000008</v>
      </c>
      <c r="F400" s="8">
        <f>10^(-D400)</f>
        <v>1.338689940739123E-6</v>
      </c>
      <c r="G400" s="5">
        <f>(D400-D399)/(C400-C399)</f>
        <v>-0.30358851674621484</v>
      </c>
      <c r="H400" s="5">
        <f>$B$9+$B$10*EXP(-$B$11*C400)</f>
        <v>5.7023881207470346</v>
      </c>
      <c r="I400" s="5">
        <f>D400-H400</f>
        <v>0.17093187925296505</v>
      </c>
      <c r="J400" s="5">
        <f t="shared" si="12"/>
        <v>2.9217707344950224E-2</v>
      </c>
      <c r="K400" s="5">
        <f>$B$17+$B$16*C400</f>
        <v>5.8443389427211967</v>
      </c>
      <c r="L400" s="5">
        <f>(D400-K400)^2</f>
        <v>8.3990168099725793E-4</v>
      </c>
      <c r="M400" s="5">
        <f>$B$40+$B$41*EXP(-$B$42*C400)</f>
        <v>0</v>
      </c>
      <c r="N400" s="5">
        <f>(D400-M400)^2</f>
        <v>34.495887822399993</v>
      </c>
      <c r="O400" s="5">
        <f>(C400+C399)/2</f>
        <v>4.3722666666667163</v>
      </c>
      <c r="P400" s="5" t="str">
        <f>IF(AND(D399&gt;6,D400&lt;=6),C399+(6-D399)*(C400-C399)/(D400-D399),"")</f>
        <v/>
      </c>
      <c r="Q400" s="5" t="str">
        <f>IF(AND(D399&gt;5,D400&lt;=5),C399+(5-D399)*(C400-C399)/(D400-D399),"")</f>
        <v/>
      </c>
      <c r="R400" s="5" t="str">
        <f>IF(AND(D399&gt;4,D400&lt;=4),C399+(4-D399)*(C400-C399)/(D400-D399),"")</f>
        <v/>
      </c>
      <c r="S400" s="5" t="str">
        <f>IF(AND(D399&gt;3,D400&lt;=3),C399+(3-D399)*(C400-C399)/(D400-D399),"")</f>
        <v/>
      </c>
    </row>
    <row r="401" spans="1:19" ht="20.100000000000001" customHeight="1">
      <c r="A401" t="s">
        <v>2</v>
      </c>
      <c r="B401">
        <v>56</v>
      </c>
      <c r="C401" s="5">
        <f>('Raw Data'!C56-'Raw Data'!$C$2)/60</f>
        <v>4.4971333333333545</v>
      </c>
      <c r="D401" s="5">
        <f>'Raw Data'!J56</f>
        <v>5.8306300000000002</v>
      </c>
      <c r="E401" s="5">
        <f>$D$347-D401</f>
        <v>1.5758200000000002</v>
      </c>
      <c r="F401" s="8">
        <f>10^(-D401)</f>
        <v>1.4769643067340476E-6</v>
      </c>
      <c r="G401" s="5">
        <f>(D401-D400)/(C401-C400)</f>
        <v>-0.51392455858781572</v>
      </c>
      <c r="H401" s="5">
        <f>$B$9+$B$10*EXP(-$B$11*C401)</f>
        <v>5.6759703025946138</v>
      </c>
      <c r="I401" s="5">
        <f>D401-H401</f>
        <v>0.15465969740538643</v>
      </c>
      <c r="J401" s="5">
        <f t="shared" si="12"/>
        <v>2.3919622001525694E-2</v>
      </c>
      <c r="K401" s="5">
        <f>$B$17+$B$16*C401</f>
        <v>5.8303430500182802</v>
      </c>
      <c r="L401" s="5">
        <f>(D401-K401)^2</f>
        <v>8.2340292009087613E-8</v>
      </c>
      <c r="M401" s="5">
        <f>$B$40+$B$41*EXP(-$B$42*C401)</f>
        <v>0</v>
      </c>
      <c r="N401" s="5">
        <f>(D401-M401)^2</f>
        <v>33.996246196900003</v>
      </c>
      <c r="O401" s="5">
        <f>(C401+C400)/2</f>
        <v>4.4556000000000484</v>
      </c>
      <c r="P401" s="5" t="str">
        <f>IF(AND(D400&gt;6,D401&lt;=6),C400+(6-D400)*(C401-C400)/(D401-D400),"")</f>
        <v/>
      </c>
      <c r="Q401" s="5" t="str">
        <f>IF(AND(D400&gt;5,D401&lt;=5),C400+(5-D400)*(C401-C400)/(D401-D400),"")</f>
        <v/>
      </c>
      <c r="R401" s="5" t="str">
        <f>IF(AND(D400&gt;4,D401&lt;=4),C400+(4-D400)*(C401-C400)/(D401-D400),"")</f>
        <v/>
      </c>
      <c r="S401" s="5" t="str">
        <f>IF(AND(D400&gt;3,D401&lt;=3),C400+(3-D400)*(C401-C400)/(D401-D400),"")</f>
        <v/>
      </c>
    </row>
    <row r="402" spans="1:19" ht="20.100000000000001" customHeight="1">
      <c r="A402" t="s">
        <v>2</v>
      </c>
      <c r="B402">
        <v>57</v>
      </c>
      <c r="C402" s="5">
        <f>('Raw Data'!C57-'Raw Data'!$C$2)/60</f>
        <v>4.5804666666666884</v>
      </c>
      <c r="D402" s="5">
        <f>'Raw Data'!J57</f>
        <v>5.8064099999999996</v>
      </c>
      <c r="E402" s="5">
        <f>$D$347-D402</f>
        <v>1.6000400000000008</v>
      </c>
      <c r="F402" s="8">
        <f>10^(-D402)</f>
        <v>1.5616726340101077E-6</v>
      </c>
      <c r="G402" s="5">
        <f>(D402-D401)/(C402-C401)</f>
        <v>-0.29064000000000484</v>
      </c>
      <c r="H402" s="5">
        <f>$B$9+$B$10*EXP(-$B$11*C402)</f>
        <v>5.6498067471357345</v>
      </c>
      <c r="I402" s="5">
        <f>D402-H402</f>
        <v>0.15660325286426513</v>
      </c>
      <c r="J402" s="5">
        <f t="shared" si="12"/>
        <v>2.4524578807668965E-2</v>
      </c>
      <c r="K402" s="5">
        <f>$B$17+$B$16*C402</f>
        <v>5.8163022266806728</v>
      </c>
      <c r="L402" s="5">
        <f>(D402-K402)^2</f>
        <v>9.7856148701821384E-5</v>
      </c>
      <c r="M402" s="5">
        <f>$B$40+$B$41*EXP(-$B$42*C402)</f>
        <v>0</v>
      </c>
      <c r="N402" s="5">
        <f>(D402-M402)^2</f>
        <v>33.714397088099993</v>
      </c>
      <c r="O402" s="5">
        <f>(C402+C401)/2</f>
        <v>4.5388000000000215</v>
      </c>
      <c r="P402" s="5" t="str">
        <f>IF(AND(D401&gt;6,D402&lt;=6),C401+(6-D401)*(C402-C401)/(D402-D401),"")</f>
        <v/>
      </c>
      <c r="Q402" s="5" t="str">
        <f>IF(AND(D401&gt;5,D402&lt;=5),C401+(5-D401)*(C402-C401)/(D402-D401),"")</f>
        <v/>
      </c>
      <c r="R402" s="5" t="str">
        <f>IF(AND(D401&gt;4,D402&lt;=4),C401+(4-D401)*(C402-C401)/(D402-D401),"")</f>
        <v/>
      </c>
      <c r="S402" s="5" t="str">
        <f>IF(AND(D401&gt;3,D402&lt;=3),C401+(3-D401)*(C402-C401)/(D402-D401),"")</f>
        <v/>
      </c>
    </row>
    <row r="403" spans="1:19" ht="20.100000000000001" customHeight="1">
      <c r="A403" t="s">
        <v>2</v>
      </c>
      <c r="B403">
        <v>58</v>
      </c>
      <c r="C403" s="5">
        <f>('Raw Data'!C58-'Raw Data'!$C$2)/60</f>
        <v>4.6638000000000215</v>
      </c>
      <c r="D403" s="5">
        <f>'Raw Data'!J58</f>
        <v>5.7798800000000004</v>
      </c>
      <c r="E403" s="5">
        <f>$D$347-D403</f>
        <v>1.6265700000000001</v>
      </c>
      <c r="F403" s="8">
        <f>10^(-D403)</f>
        <v>1.6600455316047416E-6</v>
      </c>
      <c r="G403" s="5">
        <f>(D403-D402)/(C403-C402)</f>
        <v>-0.31835999999999243</v>
      </c>
      <c r="H403" s="5">
        <f>$B$9+$B$10*EXP(-$B$11*C403)</f>
        <v>5.6239784588697077</v>
      </c>
      <c r="I403" s="5">
        <f>D403-H403</f>
        <v>0.15590154113029264</v>
      </c>
      <c r="J403" s="5">
        <f t="shared" si="12"/>
        <v>2.4305290526800329E-2</v>
      </c>
      <c r="K403" s="5">
        <f>$B$17+$B$16*C403</f>
        <v>5.8022614033430662</v>
      </c>
      <c r="L403" s="5">
        <f>(D403-K403)^2</f>
        <v>5.0092721560499791E-4</v>
      </c>
      <c r="M403" s="5">
        <f>$B$40+$B$41*EXP(-$B$42*C403)</f>
        <v>0</v>
      </c>
      <c r="N403" s="5">
        <f>(D403-M403)^2</f>
        <v>33.407012814400005</v>
      </c>
      <c r="O403" s="5">
        <f>(C403+C402)/2</f>
        <v>4.6221333333333554</v>
      </c>
      <c r="P403" s="5" t="str">
        <f>IF(AND(D402&gt;6,D403&lt;=6),C402+(6-D402)*(C403-C402)/(D403-D402),"")</f>
        <v/>
      </c>
      <c r="Q403" s="5" t="str">
        <f>IF(AND(D402&gt;5,D403&lt;=5),C402+(5-D402)*(C403-C402)/(D403-D402),"")</f>
        <v/>
      </c>
      <c r="R403" s="5" t="str">
        <f>IF(AND(D402&gt;4,D403&lt;=4),C402+(4-D402)*(C403-C402)/(D403-D402),"")</f>
        <v/>
      </c>
      <c r="S403" s="5" t="str">
        <f>IF(AND(D402&gt;3,D403&lt;=3),C402+(3-D402)*(C403-C402)/(D403-D402),"")</f>
        <v/>
      </c>
    </row>
    <row r="404" spans="1:19" ht="20.100000000000001" customHeight="1">
      <c r="A404" t="s">
        <v>2</v>
      </c>
      <c r="B404">
        <v>59</v>
      </c>
      <c r="C404" s="5">
        <f>('Raw Data'!C59-'Raw Data'!$C$2)/60</f>
        <v>4.7468833333333658</v>
      </c>
      <c r="D404" s="5">
        <f>'Raw Data'!J59</f>
        <v>5.7383499999999996</v>
      </c>
      <c r="E404" s="5">
        <f>$D$347-D404</f>
        <v>1.6681000000000008</v>
      </c>
      <c r="F404" s="8">
        <f>10^(-D404)</f>
        <v>1.8266275349356971E-6</v>
      </c>
      <c r="G404" s="5">
        <f>(D404-D403)/(C404-C403)</f>
        <v>-0.49985957873615161</v>
      </c>
      <c r="H404" s="5">
        <f>$B$9+$B$10*EXP(-$B$11*C404)</f>
        <v>5.5985571428084455</v>
      </c>
      <c r="I404" s="5">
        <f>D404-H404</f>
        <v>0.1397928571915541</v>
      </c>
      <c r="J404" s="5">
        <f t="shared" si="12"/>
        <v>1.954204292177824E-2</v>
      </c>
      <c r="K404" s="5">
        <f>$B$17+$B$16*C404</f>
        <v>5.7882627024754703</v>
      </c>
      <c r="L404" s="5">
        <f>(D404-K404)^2</f>
        <v>2.4912778684048529E-3</v>
      </c>
      <c r="M404" s="5">
        <f>$B$40+$B$41*EXP(-$B$42*C404)</f>
        <v>0</v>
      </c>
      <c r="N404" s="5">
        <f>(D404-M404)^2</f>
        <v>32.928660722499998</v>
      </c>
      <c r="O404" s="5">
        <f>(C404+C403)/2</f>
        <v>4.7053416666666941</v>
      </c>
      <c r="P404" s="5" t="str">
        <f>IF(AND(D403&gt;6,D404&lt;=6),C403+(6-D403)*(C404-C403)/(D404-D403),"")</f>
        <v/>
      </c>
      <c r="Q404" s="5" t="str">
        <f>IF(AND(D403&gt;5,D404&lt;=5),C403+(5-D403)*(C404-C403)/(D404-D403),"")</f>
        <v/>
      </c>
      <c r="R404" s="5" t="str">
        <f>IF(AND(D403&gt;4,D404&lt;=4),C403+(4-D403)*(C404-C403)/(D404-D403),"")</f>
        <v/>
      </c>
      <c r="S404" s="5" t="str">
        <f>IF(AND(D403&gt;3,D404&lt;=3),C403+(3-D403)*(C404-C403)/(D404-D403),"")</f>
        <v/>
      </c>
    </row>
    <row r="405" spans="1:19" ht="20.100000000000001" customHeight="1">
      <c r="A405" t="s">
        <v>2</v>
      </c>
      <c r="B405">
        <v>60</v>
      </c>
      <c r="C405" s="5">
        <f>('Raw Data'!C60-'Raw Data'!$C$2)/60</f>
        <v>4.8302166666666988</v>
      </c>
      <c r="D405" s="5">
        <f>'Raw Data'!J60</f>
        <v>5.7210400000000003</v>
      </c>
      <c r="E405" s="5">
        <f>$D$347-D405</f>
        <v>1.6854100000000001</v>
      </c>
      <c r="F405" s="8">
        <f>10^(-D405)</f>
        <v>1.9009031922061869E-6</v>
      </c>
      <c r="G405" s="5">
        <f>(D405-D404)/(C405-C404)</f>
        <v>-0.20771999999999199</v>
      </c>
      <c r="H405" s="5">
        <f>$B$9+$B$10*EXP(-$B$11*C405)</f>
        <v>5.5733855814541942</v>
      </c>
      <c r="I405" s="5">
        <f>D405-H405</f>
        <v>0.14765441854580619</v>
      </c>
      <c r="J405" s="5">
        <f t="shared" si="12"/>
        <v>2.1801827316100114E-2</v>
      </c>
      <c r="K405" s="5">
        <f>$B$17+$B$16*C405</f>
        <v>5.7742218791378637</v>
      </c>
      <c r="L405" s="5">
        <f>(D405-K405)^2</f>
        <v>2.8283122686343018E-3</v>
      </c>
      <c r="M405" s="5">
        <f>$B$40+$B$41*EXP(-$B$42*C405)</f>
        <v>0</v>
      </c>
      <c r="N405" s="5">
        <f>(D405-M405)^2</f>
        <v>32.730298681600004</v>
      </c>
      <c r="O405" s="5">
        <f>(C405+C404)/2</f>
        <v>4.7885500000000327</v>
      </c>
      <c r="P405" s="5" t="str">
        <f>IF(AND(D404&gt;6,D405&lt;=6),C404+(6-D404)*(C405-C404)/(D405-D404),"")</f>
        <v/>
      </c>
      <c r="Q405" s="5" t="str">
        <f>IF(AND(D404&gt;5,D405&lt;=5),C404+(5-D404)*(C405-C404)/(D405-D404),"")</f>
        <v/>
      </c>
      <c r="R405" s="5" t="str">
        <f>IF(AND(D404&gt;4,D405&lt;=4),C404+(4-D404)*(C405-C404)/(D405-D404),"")</f>
        <v/>
      </c>
      <c r="S405" s="5" t="str">
        <f>IF(AND(D404&gt;3,D405&lt;=3),C404+(3-D404)*(C405-C404)/(D405-D404),"")</f>
        <v/>
      </c>
    </row>
    <row r="406" spans="1:19" ht="20.100000000000001" customHeight="1">
      <c r="A406" t="s">
        <v>2</v>
      </c>
      <c r="B406">
        <v>61</v>
      </c>
      <c r="C406" s="5">
        <f>('Raw Data'!C61-'Raw Data'!$C$2)/60</f>
        <v>4.9135500000000318</v>
      </c>
      <c r="D406" s="5">
        <f>'Raw Data'!J61</f>
        <v>5.6956600000000002</v>
      </c>
      <c r="E406" s="5">
        <f>$D$347-D406</f>
        <v>1.7107900000000003</v>
      </c>
      <c r="F406" s="8">
        <f>10^(-D406)</f>
        <v>2.0153013694179767E-6</v>
      </c>
      <c r="G406" s="5">
        <f>(D406-D405)/(C406-C405)</f>
        <v>-0.30456000000000322</v>
      </c>
      <c r="H406" s="5">
        <f>$B$9+$B$10*EXP(-$B$11*C406)</f>
        <v>5.548536575600024</v>
      </c>
      <c r="I406" s="5">
        <f>D406-H406</f>
        <v>0.14712342439997617</v>
      </c>
      <c r="J406" s="5">
        <f t="shared" si="12"/>
        <v>2.1645302007175501E-2</v>
      </c>
      <c r="K406" s="5">
        <f>$B$17+$B$16*C406</f>
        <v>5.7601810558002571</v>
      </c>
      <c r="L406" s="5">
        <f>(D406-K406)^2</f>
        <v>4.1629666415798662E-3</v>
      </c>
      <c r="M406" s="5">
        <f>$B$40+$B$41*EXP(-$B$42*C406)</f>
        <v>0</v>
      </c>
      <c r="N406" s="5">
        <f>(D406-M406)^2</f>
        <v>32.440542835599999</v>
      </c>
      <c r="O406" s="5">
        <f>(C406+C405)/2</f>
        <v>4.8718833333333649</v>
      </c>
      <c r="P406" s="5" t="str">
        <f>IF(AND(D405&gt;6,D406&lt;=6),C405+(6-D405)*(C406-C405)/(D406-D405),"")</f>
        <v/>
      </c>
      <c r="Q406" s="5" t="str">
        <f>IF(AND(D405&gt;5,D406&lt;=5),C405+(5-D405)*(C406-C405)/(D406-D405),"")</f>
        <v/>
      </c>
      <c r="R406" s="5" t="str">
        <f>IF(AND(D405&gt;4,D406&lt;=4),C405+(4-D405)*(C406-C405)/(D406-D405),"")</f>
        <v/>
      </c>
      <c r="S406" s="5" t="str">
        <f>IF(AND(D405&gt;3,D406&lt;=3),C405+(3-D405)*(C406-C405)/(D406-D405),"")</f>
        <v/>
      </c>
    </row>
    <row r="407" spans="1:19" ht="20.100000000000001" customHeight="1">
      <c r="A407" t="s">
        <v>2</v>
      </c>
      <c r="B407">
        <v>62</v>
      </c>
      <c r="C407" s="5">
        <f>('Raw Data'!C62-'Raw Data'!$C$2)/60</f>
        <v>4.9968833333333658</v>
      </c>
      <c r="D407" s="5">
        <f>'Raw Data'!J62</f>
        <v>5.6460600000000003</v>
      </c>
      <c r="E407" s="5">
        <f>$D$347-D407</f>
        <v>1.7603900000000001</v>
      </c>
      <c r="F407" s="8">
        <f>10^(-D407)</f>
        <v>2.2591236391953321E-6</v>
      </c>
      <c r="G407" s="5">
        <f>(D407-D406)/(C407-C406)</f>
        <v>-0.59519999999999418</v>
      </c>
      <c r="H407" s="5">
        <f>$B$9+$B$10*EXP(-$B$11*C407)</f>
        <v>5.5240059919286111</v>
      </c>
      <c r="I407" s="5">
        <f>D407-H407</f>
        <v>0.12205400807138922</v>
      </c>
      <c r="J407" s="5">
        <f t="shared" si="12"/>
        <v>1.4897180886290745E-2</v>
      </c>
      <c r="K407" s="5">
        <f>$B$17+$B$16*C407</f>
        <v>5.7461402324626505</v>
      </c>
      <c r="L407" s="5">
        <f>(D407-K407)^2</f>
        <v>1.0016052929778101E-2</v>
      </c>
      <c r="M407" s="5">
        <f>$B$40+$B$41*EXP(-$B$42*C407)</f>
        <v>0</v>
      </c>
      <c r="N407" s="5">
        <f>(D407-M407)^2</f>
        <v>31.877993523600004</v>
      </c>
      <c r="O407" s="5">
        <f>(C407+C406)/2</f>
        <v>4.9552166666666988</v>
      </c>
      <c r="P407" s="5" t="str">
        <f>IF(AND(D406&gt;6,D407&lt;=6),C406+(6-D406)*(C407-C406)/(D407-D406),"")</f>
        <v/>
      </c>
      <c r="Q407" s="5" t="str">
        <f>IF(AND(D406&gt;5,D407&lt;=5),C406+(5-D406)*(C407-C406)/(D407-D406),"")</f>
        <v/>
      </c>
      <c r="R407" s="5" t="str">
        <f>IF(AND(D406&gt;4,D407&lt;=4),C406+(4-D406)*(C407-C406)/(D407-D406),"")</f>
        <v/>
      </c>
      <c r="S407" s="5" t="str">
        <f>IF(AND(D406&gt;3,D407&lt;=3),C406+(3-D406)*(C407-C406)/(D407-D406),"")</f>
        <v/>
      </c>
    </row>
    <row r="408" spans="1:19" ht="20.100000000000001" customHeight="1">
      <c r="A408" t="s">
        <v>2</v>
      </c>
      <c r="B408">
        <v>63</v>
      </c>
      <c r="C408" s="5">
        <f>('Raw Data'!C63-'Raw Data'!$C$2)/60</f>
        <v>5.0799499999999789</v>
      </c>
      <c r="D408" s="5">
        <f>'Raw Data'!J63</f>
        <v>5.6299099999999997</v>
      </c>
      <c r="E408" s="5">
        <f>$D$347-D408</f>
        <v>1.7765400000000007</v>
      </c>
      <c r="F408" s="8">
        <f>10^(-D408)</f>
        <v>2.3447146664295162E-6</v>
      </c>
      <c r="G408" s="5">
        <f>(D408-D407)/(C408-C407)</f>
        <v>-0.19442215088295706</v>
      </c>
      <c r="H408" s="5">
        <f>$B$9+$B$10*EXP(-$B$11*C408)</f>
        <v>5.4998667450143461</v>
      </c>
      <c r="I408" s="5">
        <f>D408-H408</f>
        <v>0.13004325498565361</v>
      </c>
      <c r="J408" s="5">
        <f t="shared" si="12"/>
        <v>1.6911248167263724E-2</v>
      </c>
      <c r="K408" s="5">
        <f>$B$17+$B$16*C408</f>
        <v>5.7321443397597331</v>
      </c>
      <c r="L408" s="5">
        <f>(D408-K408)^2</f>
        <v>1.0451860226108604E-2</v>
      </c>
      <c r="M408" s="5">
        <f>$B$40+$B$41*EXP(-$B$42*C408)</f>
        <v>0</v>
      </c>
      <c r="N408" s="5">
        <f>(D408-M408)^2</f>
        <v>31.695886608099997</v>
      </c>
      <c r="O408" s="5">
        <f>(C408+C407)/2</f>
        <v>5.0384166666666719</v>
      </c>
      <c r="P408" s="5" t="str">
        <f>IF(AND(D407&gt;6,D408&lt;=6),C407+(6-D407)*(C408-C407)/(D408-D407),"")</f>
        <v/>
      </c>
      <c r="Q408" s="5" t="str">
        <f>IF(AND(D407&gt;5,D408&lt;=5),C407+(5-D407)*(C408-C407)/(D408-D407),"")</f>
        <v/>
      </c>
      <c r="R408" s="5" t="str">
        <f>IF(AND(D407&gt;4,D408&lt;=4),C407+(4-D407)*(C408-C407)/(D408-D407),"")</f>
        <v/>
      </c>
      <c r="S408" s="5" t="str">
        <f>IF(AND(D407&gt;3,D408&lt;=3),C407+(3-D407)*(C408-C407)/(D408-D407),"")</f>
        <v/>
      </c>
    </row>
    <row r="409" spans="1:19" ht="20.100000000000001" customHeight="1">
      <c r="A409" t="s">
        <v>2</v>
      </c>
      <c r="B409">
        <v>64</v>
      </c>
      <c r="C409" s="5">
        <f>('Raw Data'!C64-'Raw Data'!$C$2)/60</f>
        <v>5.1635500000000318</v>
      </c>
      <c r="D409" s="5">
        <f>'Raw Data'!J64</f>
        <v>5.5906900000000004</v>
      </c>
      <c r="E409" s="5">
        <f>$D$347-D409</f>
        <v>1.81576</v>
      </c>
      <c r="F409" s="8">
        <f>10^(-D409)</f>
        <v>2.5663152222326561E-6</v>
      </c>
      <c r="G409" s="5">
        <f>(D409-D408)/(C409-C408)</f>
        <v>-0.46913875598055643</v>
      </c>
      <c r="H409" s="5">
        <f>$B$9+$B$10*EXP(-$B$11*C409)</f>
        <v>5.4758838220135218</v>
      </c>
      <c r="I409" s="5">
        <f>D409-H409</f>
        <v>0.11480617798647863</v>
      </c>
      <c r="J409" s="5">
        <f t="shared" si="12"/>
        <v>1.3180458503863011E-2</v>
      </c>
      <c r="K409" s="5">
        <f>$B$17+$B$16*C409</f>
        <v>5.7180585857874364</v>
      </c>
      <c r="L409" s="5">
        <f>(D409-K409)^2</f>
        <v>1.6222756645491453E-2</v>
      </c>
      <c r="M409" s="5">
        <f>$B$40+$B$41*EXP(-$B$42*C409)</f>
        <v>0</v>
      </c>
      <c r="N409" s="5">
        <f>(D409-M409)^2</f>
        <v>31.255814676100005</v>
      </c>
      <c r="O409" s="5">
        <f>(C409+C408)/2</f>
        <v>5.1217500000000058</v>
      </c>
      <c r="P409" s="5" t="str">
        <f>IF(AND(D408&gt;6,D409&lt;=6),C408+(6-D408)*(C409-C408)/(D409-D408),"")</f>
        <v/>
      </c>
      <c r="Q409" s="5" t="str">
        <f>IF(AND(D408&gt;5,D409&lt;=5),C408+(5-D408)*(C409-C408)/(D409-D408),"")</f>
        <v/>
      </c>
      <c r="R409" s="5" t="str">
        <f>IF(AND(D408&gt;4,D409&lt;=4),C408+(4-D408)*(C409-C408)/(D409-D408),"")</f>
        <v/>
      </c>
      <c r="S409" s="5" t="str">
        <f>IF(AND(D408&gt;3,D409&lt;=3),C408+(3-D408)*(C409-C408)/(D409-D408),"")</f>
        <v/>
      </c>
    </row>
    <row r="410" spans="1:19" ht="20.100000000000001" customHeight="1">
      <c r="A410" t="s">
        <v>2</v>
      </c>
      <c r="B410">
        <v>65</v>
      </c>
      <c r="C410" s="5">
        <f>('Raw Data'!C65-'Raw Data'!$C$2)/60</f>
        <v>5.2466166666666449</v>
      </c>
      <c r="D410" s="5">
        <f>'Raw Data'!J65</f>
        <v>5.5641499999999997</v>
      </c>
      <c r="E410" s="5">
        <f>$D$347-D410</f>
        <v>1.8423000000000007</v>
      </c>
      <c r="F410" s="8">
        <f>10^(-D410)</f>
        <v>2.728035390028605E-6</v>
      </c>
      <c r="G410" s="5">
        <f>(D410-D409)/(C410-C409)</f>
        <v>-0.31950240770486898</v>
      </c>
      <c r="H410" s="5">
        <f>$B$9+$B$10*EXP(-$B$11*C410)</f>
        <v>5.4523592655562689</v>
      </c>
      <c r="I410" s="5">
        <f>D410-H410</f>
        <v>0.11179073444373078</v>
      </c>
      <c r="J410" s="5">
        <f t="shared" si="12"/>
        <v>1.2497168307468734E-2</v>
      </c>
      <c r="K410" s="5">
        <f>$B$17+$B$16*C410</f>
        <v>5.7040626930845191</v>
      </c>
      <c r="L410" s="5">
        <f>(D410-K410)^2</f>
        <v>1.9575561686162913E-2</v>
      </c>
      <c r="M410" s="5">
        <f>$B$40+$B$41*EXP(-$B$42*C410)</f>
        <v>0</v>
      </c>
      <c r="N410" s="5">
        <f>(D410-M410)^2</f>
        <v>30.959765222499996</v>
      </c>
      <c r="O410" s="5">
        <f>(C410+C409)/2</f>
        <v>5.2050833333333379</v>
      </c>
      <c r="P410" s="5" t="str">
        <f>IF(AND(D409&gt;6,D410&lt;=6),C409+(6-D409)*(C410-C409)/(D410-D409),"")</f>
        <v/>
      </c>
      <c r="Q410" s="5" t="str">
        <f>IF(AND(D409&gt;5,D410&lt;=5),C409+(5-D409)*(C410-C409)/(D410-D409),"")</f>
        <v/>
      </c>
      <c r="R410" s="5" t="str">
        <f>IF(AND(D409&gt;4,D410&lt;=4),C409+(4-D409)*(C410-C409)/(D410-D409),"")</f>
        <v/>
      </c>
      <c r="S410" s="5" t="str">
        <f>IF(AND(D409&gt;3,D410&lt;=3),C409+(3-D409)*(C410-C409)/(D410-D409),"")</f>
        <v/>
      </c>
    </row>
    <row r="411" spans="1:19" ht="20.100000000000001" customHeight="1">
      <c r="A411" t="s">
        <v>2</v>
      </c>
      <c r="B411">
        <v>66</v>
      </c>
      <c r="C411" s="5">
        <f>('Raw Data'!C66-'Raw Data'!$C$2)/60</f>
        <v>5.3299499999999789</v>
      </c>
      <c r="D411" s="5">
        <f>'Raw Data'!J66</f>
        <v>5.5283899999999999</v>
      </c>
      <c r="E411" s="5">
        <f>$D$347-D411</f>
        <v>1.8780600000000005</v>
      </c>
      <c r="F411" s="8">
        <f>10^(-D411)</f>
        <v>2.9621701417556269E-6</v>
      </c>
      <c r="G411" s="5">
        <f>(D411-D410)/(C411-C410)</f>
        <v>-0.42911999999999445</v>
      </c>
      <c r="H411" s="5">
        <f>$B$9+$B$10*EXP(-$B$11*C411)</f>
        <v>5.4290611251131891</v>
      </c>
      <c r="I411" s="5">
        <f>D411-H411</f>
        <v>9.9328874886810858E-2</v>
      </c>
      <c r="J411" s="5">
        <f t="shared" ref="J411:J474" si="13">I411^2</f>
        <v>9.8662253862797245E-3</v>
      </c>
      <c r="K411" s="5">
        <f>$B$17+$B$16*C411</f>
        <v>5.6900218697469125</v>
      </c>
      <c r="L411" s="5">
        <f>(D411-K411)^2</f>
        <v>2.612486131788291E-2</v>
      </c>
      <c r="M411" s="5">
        <f>$B$40+$B$41*EXP(-$B$42*C411)</f>
        <v>0</v>
      </c>
      <c r="N411" s="5">
        <f>(D411-M411)^2</f>
        <v>30.563095992099999</v>
      </c>
      <c r="O411" s="5">
        <f>(C411+C410)/2</f>
        <v>5.2882833333333119</v>
      </c>
      <c r="P411" s="5" t="str">
        <f>IF(AND(D410&gt;6,D411&lt;=6),C410+(6-D410)*(C411-C410)/(D411-D410),"")</f>
        <v/>
      </c>
      <c r="Q411" s="5" t="str">
        <f>IF(AND(D410&gt;5,D411&lt;=5),C410+(5-D410)*(C411-C410)/(D411-D410),"")</f>
        <v/>
      </c>
      <c r="R411" s="5" t="str">
        <f>IF(AND(D410&gt;4,D411&lt;=4),C410+(4-D410)*(C411-C410)/(D411-D410),"")</f>
        <v/>
      </c>
      <c r="S411" s="5" t="str">
        <f>IF(AND(D410&gt;3,D411&lt;=3),C410+(3-D410)*(C411-C410)/(D411-D410),"")</f>
        <v/>
      </c>
    </row>
    <row r="412" spans="1:19" ht="20.100000000000001" customHeight="1">
      <c r="A412" t="s">
        <v>2</v>
      </c>
      <c r="B412">
        <v>67</v>
      </c>
      <c r="C412" s="5">
        <f>('Raw Data'!C67-'Raw Data'!$C$2)/60</f>
        <v>5.4132833333333119</v>
      </c>
      <c r="D412" s="5">
        <f>'Raw Data'!J67</f>
        <v>5.5110900000000003</v>
      </c>
      <c r="E412" s="5">
        <f>$D$347-D412</f>
        <v>1.8953600000000002</v>
      </c>
      <c r="F412" s="8">
        <f>10^(-D412)</f>
        <v>3.0825490792139224E-6</v>
      </c>
      <c r="G412" s="5">
        <f>(D412-D411)/(C412-C411)</f>
        <v>-0.20759999999999654</v>
      </c>
      <c r="H412" s="5">
        <f>$B$9+$B$10*EXP(-$B$11*C412)</f>
        <v>5.40606153362525</v>
      </c>
      <c r="I412" s="5">
        <f>D412-H412</f>
        <v>0.10502846637475027</v>
      </c>
      <c r="J412" s="5">
        <f t="shared" si="13"/>
        <v>1.1030978749032049E-2</v>
      </c>
      <c r="K412" s="5">
        <f>$B$17+$B$16*C412</f>
        <v>5.6759810464093059</v>
      </c>
      <c r="L412" s="5">
        <f>(D412-K412)^2</f>
        <v>2.7189057185955785E-2</v>
      </c>
      <c r="M412" s="5">
        <f>$B$40+$B$41*EXP(-$B$42*C412)</f>
        <v>0</v>
      </c>
      <c r="N412" s="5">
        <f>(D412-M412)^2</f>
        <v>30.372112988100003</v>
      </c>
      <c r="O412" s="5">
        <f>(C412+C411)/2</f>
        <v>5.3716166666666449</v>
      </c>
      <c r="P412" s="5" t="str">
        <f>IF(AND(D411&gt;6,D412&lt;=6),C411+(6-D411)*(C412-C411)/(D412-D411),"")</f>
        <v/>
      </c>
      <c r="Q412" s="5" t="str">
        <f>IF(AND(D411&gt;5,D412&lt;=5),C411+(5-D411)*(C412-C411)/(D412-D411),"")</f>
        <v/>
      </c>
      <c r="R412" s="5" t="str">
        <f>IF(AND(D411&gt;4,D412&lt;=4),C411+(4-D411)*(C412-C411)/(D412-D411),"")</f>
        <v/>
      </c>
      <c r="S412" s="5" t="str">
        <f>IF(AND(D411&gt;3,D412&lt;=3),C411+(3-D411)*(C412-C411)/(D412-D411),"")</f>
        <v/>
      </c>
    </row>
    <row r="413" spans="1:19" ht="20.100000000000001" customHeight="1">
      <c r="A413" t="s">
        <v>2</v>
      </c>
      <c r="B413">
        <v>68</v>
      </c>
      <c r="C413" s="5">
        <f>('Raw Data'!C68-'Raw Data'!$C$2)/60</f>
        <v>5.4966166666666449</v>
      </c>
      <c r="D413" s="5">
        <f>'Raw Data'!J68</f>
        <v>5.4672499999999999</v>
      </c>
      <c r="E413" s="5">
        <f>$D$347-D413</f>
        <v>1.9392000000000005</v>
      </c>
      <c r="F413" s="8">
        <f>10^(-D413)</f>
        <v>3.4099656171336254E-6</v>
      </c>
      <c r="G413" s="5">
        <f>(D413-D412)/(C413-C412)</f>
        <v>-0.52608000000000577</v>
      </c>
      <c r="H413" s="5">
        <f>$B$9+$B$10*EXP(-$B$11*C413)</f>
        <v>5.383356665401779</v>
      </c>
      <c r="I413" s="5">
        <f>D413-H413</f>
        <v>8.3893334598220903E-2</v>
      </c>
      <c r="J413" s="5">
        <f t="shared" si="13"/>
        <v>7.0380915900090484E-3</v>
      </c>
      <c r="K413" s="5">
        <f>$B$17+$B$16*C413</f>
        <v>5.6619402230716993</v>
      </c>
      <c r="L413" s="5">
        <f>(D413-K413)^2</f>
        <v>3.790428295970806E-2</v>
      </c>
      <c r="M413" s="5">
        <f>$B$40+$B$41*EXP(-$B$42*C413)</f>
        <v>0</v>
      </c>
      <c r="N413" s="5">
        <f>(D413-M413)^2</f>
        <v>29.890822562499999</v>
      </c>
      <c r="O413" s="5">
        <f>(C413+C412)/2</f>
        <v>5.4549499999999789</v>
      </c>
      <c r="P413" s="5" t="str">
        <f>IF(AND(D412&gt;6,D413&lt;=6),C412+(6-D412)*(C413-C412)/(D413-D412),"")</f>
        <v/>
      </c>
      <c r="Q413" s="5" t="str">
        <f>IF(AND(D412&gt;5,D413&lt;=5),C412+(5-D412)*(C413-C412)/(D413-D412),"")</f>
        <v/>
      </c>
      <c r="R413" s="5" t="str">
        <f>IF(AND(D412&gt;4,D413&lt;=4),C412+(4-D412)*(C413-C412)/(D413-D412),"")</f>
        <v/>
      </c>
      <c r="S413" s="5" t="str">
        <f>IF(AND(D412&gt;3,D413&lt;=3),C412+(3-D412)*(C413-C412)/(D413-D412),"")</f>
        <v/>
      </c>
    </row>
    <row r="414" spans="1:19" ht="20.100000000000001" customHeight="1">
      <c r="A414" t="s">
        <v>2</v>
      </c>
      <c r="B414">
        <v>69</v>
      </c>
      <c r="C414" s="5">
        <f>('Raw Data'!C69-'Raw Data'!$C$2)/60</f>
        <v>5.579683333333378</v>
      </c>
      <c r="D414" s="5">
        <f>'Raw Data'!J69</f>
        <v>5.4430300000000003</v>
      </c>
      <c r="E414" s="5">
        <f>$D$347-D414</f>
        <v>1.9634200000000002</v>
      </c>
      <c r="F414" s="8">
        <f>10^(-D414)</f>
        <v>3.6055373599166151E-6</v>
      </c>
      <c r="G414" s="5">
        <f>(D414-D413)/(C414-C413)</f>
        <v>-0.29157303370762849</v>
      </c>
      <c r="H414" s="5">
        <f>$B$9+$B$10*EXP(-$B$11*C414)</f>
        <v>5.3610140082703985</v>
      </c>
      <c r="I414" s="5">
        <f>D414-H414</f>
        <v>8.2015991729601723E-2</v>
      </c>
      <c r="J414" s="5">
        <f t="shared" si="13"/>
        <v>6.7266228993900978E-3</v>
      </c>
      <c r="K414" s="5">
        <f>$B$17+$B$16*C414</f>
        <v>5.6479443303687615</v>
      </c>
      <c r="L414" s="5">
        <f>(D414-K414)^2</f>
        <v>4.1989882790477842E-2</v>
      </c>
      <c r="M414" s="5">
        <f>$B$40+$B$41*EXP(-$B$42*C414)</f>
        <v>0</v>
      </c>
      <c r="N414" s="5">
        <f>(D414-M414)^2</f>
        <v>29.626575580900003</v>
      </c>
      <c r="O414" s="5">
        <f>(C414+C413)/2</f>
        <v>5.5381500000000115</v>
      </c>
      <c r="P414" s="5" t="str">
        <f>IF(AND(D413&gt;6,D414&lt;=6),C413+(6-D413)*(C414-C413)/(D414-D413),"")</f>
        <v/>
      </c>
      <c r="Q414" s="5" t="str">
        <f>IF(AND(D413&gt;5,D414&lt;=5),C413+(5-D413)*(C414-C413)/(D414-D413),"")</f>
        <v/>
      </c>
      <c r="R414" s="5" t="str">
        <f>IF(AND(D413&gt;4,D414&lt;=4),C413+(4-D413)*(C414-C413)/(D414-D413),"")</f>
        <v/>
      </c>
      <c r="S414" s="5" t="str">
        <f>IF(AND(D413&gt;3,D414&lt;=3),C413+(3-D413)*(C414-C413)/(D414-D413),"")</f>
        <v/>
      </c>
    </row>
    <row r="415" spans="1:19" ht="20.100000000000001" customHeight="1">
      <c r="A415" t="s">
        <v>2</v>
      </c>
      <c r="B415">
        <v>70</v>
      </c>
      <c r="C415" s="5">
        <f>('Raw Data'!C70-'Raw Data'!$C$2)/60</f>
        <v>5.663016666666711</v>
      </c>
      <c r="D415" s="5">
        <f>'Raw Data'!J70</f>
        <v>5.41188</v>
      </c>
      <c r="E415" s="5">
        <f>$D$347-D415</f>
        <v>1.9945700000000004</v>
      </c>
      <c r="F415" s="8">
        <f>10^(-D415)</f>
        <v>3.8736466294766391E-6</v>
      </c>
      <c r="G415" s="5">
        <f>(D415-D414)/(C415-C414)</f>
        <v>-0.37380000000000413</v>
      </c>
      <c r="H415" s="5">
        <f>$B$9+$B$10*EXP(-$B$11*C415)</f>
        <v>5.3388863917661897</v>
      </c>
      <c r="I415" s="5">
        <f>D415-H415</f>
        <v>7.2993608233810292E-2</v>
      </c>
      <c r="J415" s="5">
        <f t="shared" si="13"/>
        <v>5.3280668429909776E-3</v>
      </c>
      <c r="K415" s="5">
        <f>$B$17+$B$16*C415</f>
        <v>5.6339035070311549</v>
      </c>
      <c r="L415" s="5">
        <f>(D415-K415)^2</f>
        <v>4.9294437674413299E-2</v>
      </c>
      <c r="M415" s="5">
        <f>$B$40+$B$41*EXP(-$B$42*C415)</f>
        <v>0</v>
      </c>
      <c r="N415" s="5">
        <f>(D415-M415)^2</f>
        <v>29.2884451344</v>
      </c>
      <c r="O415" s="5">
        <f>(C415+C414)/2</f>
        <v>5.621350000000044</v>
      </c>
      <c r="P415" s="5" t="str">
        <f>IF(AND(D414&gt;6,D415&lt;=6),C414+(6-D414)*(C415-C414)/(D415-D414),"")</f>
        <v/>
      </c>
      <c r="Q415" s="5" t="str">
        <f>IF(AND(D414&gt;5,D415&lt;=5),C414+(5-D414)*(C415-C414)/(D415-D414),"")</f>
        <v/>
      </c>
      <c r="R415" s="5" t="str">
        <f>IF(AND(D414&gt;4,D415&lt;=4),C414+(4-D414)*(C415-C414)/(D415-D414),"")</f>
        <v/>
      </c>
      <c r="S415" s="5" t="str">
        <f>IF(AND(D414&gt;3,D415&lt;=3),C414+(3-D414)*(C415-C414)/(D415-D414),"")</f>
        <v/>
      </c>
    </row>
    <row r="416" spans="1:19" ht="20.100000000000001" customHeight="1">
      <c r="A416" t="s">
        <v>2</v>
      </c>
      <c r="B416">
        <v>71</v>
      </c>
      <c r="C416" s="5">
        <f>('Raw Data'!C71-'Raw Data'!$C$2)/60</f>
        <v>5.7463500000000449</v>
      </c>
      <c r="D416" s="5">
        <f>'Raw Data'!J71</f>
        <v>5.3772700000000002</v>
      </c>
      <c r="E416" s="5">
        <f>$D$347-D416</f>
        <v>2.0291800000000002</v>
      </c>
      <c r="F416" s="8">
        <f>10^(-D416)</f>
        <v>4.1949810178399913E-6</v>
      </c>
      <c r="G416" s="5">
        <f>(D416-D415)/(C416-C415)</f>
        <v>-0.41531999999999475</v>
      </c>
      <c r="H416" s="5">
        <f>$B$9+$B$10*EXP(-$B$11*C416)</f>
        <v>5.317042324792606</v>
      </c>
      <c r="I416" s="5">
        <f>D416-H416</f>
        <v>6.0227675207394249E-2</v>
      </c>
      <c r="J416" s="5">
        <f t="shared" si="13"/>
        <v>3.627372860887372E-3</v>
      </c>
      <c r="K416" s="5">
        <f>$B$17+$B$16*C416</f>
        <v>5.6198626836935484</v>
      </c>
      <c r="L416" s="5">
        <f>(D416-K416)^2</f>
        <v>5.88512101816379E-2</v>
      </c>
      <c r="M416" s="5">
        <f>$B$40+$B$41*EXP(-$B$42*C416)</f>
        <v>0</v>
      </c>
      <c r="N416" s="5">
        <f>(D416-M416)^2</f>
        <v>28.915032652900003</v>
      </c>
      <c r="O416" s="5">
        <f>(C416+C415)/2</f>
        <v>5.704683333333378</v>
      </c>
      <c r="P416" s="5" t="str">
        <f>IF(AND(D415&gt;6,D416&lt;=6),C415+(6-D415)*(C416-C415)/(D416-D415),"")</f>
        <v/>
      </c>
      <c r="Q416" s="5" t="str">
        <f>IF(AND(D415&gt;5,D416&lt;=5),C415+(5-D415)*(C416-C415)/(D416-D415),"")</f>
        <v/>
      </c>
      <c r="R416" s="5" t="str">
        <f>IF(AND(D415&gt;4,D416&lt;=4),C415+(4-D415)*(C416-C415)/(D416-D415),"")</f>
        <v/>
      </c>
      <c r="S416" s="5" t="str">
        <f>IF(AND(D415&gt;3,D416&lt;=3),C415+(3-D415)*(C416-C415)/(D416-D415),"")</f>
        <v/>
      </c>
    </row>
    <row r="417" spans="1:19" ht="20.100000000000001" customHeight="1">
      <c r="A417" t="s">
        <v>2</v>
      </c>
      <c r="B417">
        <v>72</v>
      </c>
      <c r="C417" s="5">
        <f>('Raw Data'!C72-'Raw Data'!$C$2)/60</f>
        <v>5.829683333333378</v>
      </c>
      <c r="D417" s="5">
        <f>'Raw Data'!J72</f>
        <v>5.3426600000000004</v>
      </c>
      <c r="E417" s="5">
        <f>$D$347-D417</f>
        <v>2.06379</v>
      </c>
      <c r="F417" s="8">
        <f>10^(-D417)</f>
        <v>4.5429713712464857E-6</v>
      </c>
      <c r="G417" s="5">
        <f>(D417-D416)/(C417-C416)</f>
        <v>-0.41531999999999919</v>
      </c>
      <c r="H417" s="5">
        <f>$B$9+$B$10*EXP(-$B$11*C417)</f>
        <v>5.2954781738658383</v>
      </c>
      <c r="I417" s="5">
        <f>D417-H417</f>
        <v>4.7181826134162108E-2</v>
      </c>
      <c r="J417" s="5">
        <f t="shared" si="13"/>
        <v>2.2261247173543026E-3</v>
      </c>
      <c r="K417" s="5">
        <f>$B$17+$B$16*C417</f>
        <v>5.6058218603559418</v>
      </c>
      <c r="L417" s="5">
        <f>(D417-K417)^2</f>
        <v>6.9254164745999977E-2</v>
      </c>
      <c r="M417" s="5">
        <f>$B$40+$B$41*EXP(-$B$42*C417)</f>
        <v>0</v>
      </c>
      <c r="N417" s="5">
        <f>(D417-M417)^2</f>
        <v>28.544015875600003</v>
      </c>
      <c r="O417" s="5">
        <f>(C417+C416)/2</f>
        <v>5.7880166666667119</v>
      </c>
      <c r="P417" s="5" t="str">
        <f>IF(AND(D416&gt;6,D417&lt;=6),C416+(6-D416)*(C417-C416)/(D417-D416),"")</f>
        <v/>
      </c>
      <c r="Q417" s="5" t="str">
        <f>IF(AND(D416&gt;5,D417&lt;=5),C416+(5-D416)*(C417-C416)/(D417-D416),"")</f>
        <v/>
      </c>
      <c r="R417" s="5" t="str">
        <f>IF(AND(D416&gt;4,D417&lt;=4),C416+(4-D416)*(C417-C416)/(D417-D416),"")</f>
        <v/>
      </c>
      <c r="S417" s="5" t="str">
        <f>IF(AND(D416&gt;3,D417&lt;=3),C416+(3-D416)*(C417-C416)/(D417-D416),"")</f>
        <v/>
      </c>
    </row>
    <row r="418" spans="1:19" ht="20.100000000000001" customHeight="1">
      <c r="A418" t="s">
        <v>2</v>
      </c>
      <c r="B418">
        <v>73</v>
      </c>
      <c r="C418" s="5">
        <f>('Raw Data'!C73-'Raw Data'!$C$2)/60</f>
        <v>5.9127666666667222</v>
      </c>
      <c r="D418" s="5">
        <f>'Raw Data'!J73</f>
        <v>5.3276700000000003</v>
      </c>
      <c r="E418" s="5">
        <f>$D$347-D418</f>
        <v>2.0787800000000001</v>
      </c>
      <c r="F418" s="8">
        <f>10^(-D418)</f>
        <v>4.7025129477855671E-6</v>
      </c>
      <c r="G418" s="5">
        <f>(D418-D417)/(C418-C417)</f>
        <v>-0.18042126379135107</v>
      </c>
      <c r="H418" s="5">
        <f>$B$9+$B$10*EXP(-$B$11*C418)</f>
        <v>5.2742538058141948</v>
      </c>
      <c r="I418" s="5">
        <f>D418-H418</f>
        <v>5.3416194185805566E-2</v>
      </c>
      <c r="J418" s="5">
        <f t="shared" si="13"/>
        <v>2.8532898012956884E-3</v>
      </c>
      <c r="K418" s="5">
        <f>$B$17+$B$16*C418</f>
        <v>5.5918231594883459</v>
      </c>
      <c r="L418" s="5">
        <f>(D418-K418)^2</f>
        <v>6.9776891667675298E-2</v>
      </c>
      <c r="M418" s="5">
        <f>$B$40+$B$41*EXP(-$B$42*C418)</f>
        <v>0</v>
      </c>
      <c r="N418" s="5">
        <f>(D418-M418)^2</f>
        <v>28.384067628900002</v>
      </c>
      <c r="O418" s="5">
        <f>(C418+C417)/2</f>
        <v>5.8712250000000505</v>
      </c>
      <c r="P418" s="5" t="str">
        <f>IF(AND(D417&gt;6,D418&lt;=6),C417+(6-D417)*(C418-C417)/(D418-D417),"")</f>
        <v/>
      </c>
      <c r="Q418" s="5" t="str">
        <f>IF(AND(D417&gt;5,D418&lt;=5),C417+(5-D417)*(C418-C417)/(D418-D417),"")</f>
        <v/>
      </c>
      <c r="R418" s="5" t="str">
        <f>IF(AND(D417&gt;4,D418&lt;=4),C417+(4-D417)*(C418-C417)/(D418-D417),"")</f>
        <v/>
      </c>
      <c r="S418" s="5" t="str">
        <f>IF(AND(D417&gt;3,D418&lt;=3),C417+(3-D417)*(C418-C417)/(D418-D417),"")</f>
        <v/>
      </c>
    </row>
    <row r="419" spans="1:19" ht="20.100000000000001" customHeight="1">
      <c r="A419" t="s">
        <v>2</v>
      </c>
      <c r="B419">
        <v>74</v>
      </c>
      <c r="C419" s="5">
        <f>('Raw Data'!C74-'Raw Data'!$C$2)/60</f>
        <v>5.9963500000000449</v>
      </c>
      <c r="D419" s="5">
        <f>'Raw Data'!J74</f>
        <v>5.2896000000000001</v>
      </c>
      <c r="E419" s="5">
        <f>$D$347-D419</f>
        <v>2.1168500000000003</v>
      </c>
      <c r="F419" s="8">
        <f>10^(-D419)</f>
        <v>5.1333396438028894E-6</v>
      </c>
      <c r="G419" s="5">
        <f>(D419-D418)/(C419-C418)</f>
        <v>-0.45547357926227461</v>
      </c>
      <c r="H419" s="5">
        <f>$B$9+$B$10*EXP(-$B$11*C419)</f>
        <v>5.253175318423315</v>
      </c>
      <c r="I419" s="5">
        <f>D419-H419</f>
        <v>3.6424681576685103E-2</v>
      </c>
      <c r="J419" s="5">
        <f t="shared" si="13"/>
        <v>1.3267574279629032E-3</v>
      </c>
      <c r="K419" s="5">
        <f>$B$17+$B$16*C419</f>
        <v>5.5777402136807277</v>
      </c>
      <c r="L419" s="5">
        <f>(D419-K419)^2</f>
        <v>8.3024782739975378E-2</v>
      </c>
      <c r="M419" s="5">
        <f>$B$40+$B$41*EXP(-$B$42*C419)</f>
        <v>0</v>
      </c>
      <c r="N419" s="5">
        <f>(D419-M419)^2</f>
        <v>27.979868160000002</v>
      </c>
      <c r="O419" s="5">
        <f>(C419+C418)/2</f>
        <v>5.9545583333333836</v>
      </c>
      <c r="P419" s="5" t="str">
        <f>IF(AND(D418&gt;6,D419&lt;=6),C418+(6-D418)*(C419-C418)/(D419-D418),"")</f>
        <v/>
      </c>
      <c r="Q419" s="5" t="str">
        <f>IF(AND(D418&gt;5,D419&lt;=5),C418+(5-D418)*(C419-C418)/(D419-D418),"")</f>
        <v/>
      </c>
      <c r="R419" s="5" t="str">
        <f>IF(AND(D418&gt;4,D419&lt;=4),C418+(4-D418)*(C419-C418)/(D419-D418),"")</f>
        <v/>
      </c>
      <c r="S419" s="5" t="str">
        <f>IF(AND(D418&gt;3,D419&lt;=3),C418+(3-D418)*(C419-C418)/(D419-D418),"")</f>
        <v/>
      </c>
    </row>
    <row r="420" spans="1:19" ht="20.100000000000001" customHeight="1">
      <c r="A420" t="s">
        <v>2</v>
      </c>
      <c r="B420">
        <v>75</v>
      </c>
      <c r="C420" s="5">
        <f>('Raw Data'!C75-'Raw Data'!$C$2)/60</f>
        <v>6.0794333333333883</v>
      </c>
      <c r="D420" s="5">
        <f>'Raw Data'!J75</f>
        <v>5.2503799999999998</v>
      </c>
      <c r="E420" s="5">
        <f>$D$347-D420</f>
        <v>2.1560700000000006</v>
      </c>
      <c r="F420" s="8">
        <f>10^(-D420)</f>
        <v>5.6184950166420402E-6</v>
      </c>
      <c r="G420" s="5">
        <f>(D420-D419)/(C420-C419)</f>
        <v>-0.4720561685054625</v>
      </c>
      <c r="H420" s="5">
        <f>$B$9+$B$10*EXP(-$B$11*C420)</f>
        <v>5.232491415305967</v>
      </c>
      <c r="I420" s="5">
        <f>D420-H420</f>
        <v>1.7888584694032872E-2</v>
      </c>
      <c r="J420" s="5">
        <f t="shared" si="13"/>
        <v>3.2000146235558713E-4</v>
      </c>
      <c r="K420" s="5">
        <f>$B$17+$B$16*C420</f>
        <v>5.5637415128131318</v>
      </c>
      <c r="L420" s="5">
        <f>(D420-K420)^2</f>
        <v>9.8195437712534667E-2</v>
      </c>
      <c r="M420" s="5">
        <f>$B$40+$B$41*EXP(-$B$42*C420)</f>
        <v>0</v>
      </c>
      <c r="N420" s="5">
        <f>(D420-M420)^2</f>
        <v>27.566490144399999</v>
      </c>
      <c r="O420" s="5">
        <f>(C420+C419)/2</f>
        <v>6.0378916666667166</v>
      </c>
      <c r="P420" s="5" t="str">
        <f>IF(AND(D419&gt;6,D420&lt;=6),C419+(6-D419)*(C420-C419)/(D420-D419),"")</f>
        <v/>
      </c>
      <c r="Q420" s="5" t="str">
        <f>IF(AND(D419&gt;5,D420&lt;=5),C419+(5-D419)*(C420-C419)/(D420-D419),"")</f>
        <v/>
      </c>
      <c r="R420" s="5" t="str">
        <f>IF(AND(D419&gt;4,D420&lt;=4),C419+(4-D419)*(C420-C419)/(D420-D419),"")</f>
        <v/>
      </c>
      <c r="S420" s="5" t="str">
        <f>IF(AND(D419&gt;3,D420&lt;=3),C419+(3-D419)*(C420-C419)/(D420-D419),"")</f>
        <v/>
      </c>
    </row>
    <row r="421" spans="1:19" ht="20.100000000000001" customHeight="1">
      <c r="A421" t="s">
        <v>2</v>
      </c>
      <c r="B421">
        <v>76</v>
      </c>
      <c r="C421" s="5">
        <f>('Raw Data'!C76-'Raw Data'!$C$2)/60</f>
        <v>6.1627666666667222</v>
      </c>
      <c r="D421" s="5">
        <f>'Raw Data'!J76</f>
        <v>5.2342300000000002</v>
      </c>
      <c r="E421" s="5">
        <f>$D$347-D421</f>
        <v>2.1722200000000003</v>
      </c>
      <c r="F421" s="8">
        <f>10^(-D421)</f>
        <v>5.8313619671891903E-6</v>
      </c>
      <c r="G421" s="5">
        <f>(D421-D420)/(C421-C420)</f>
        <v>-0.19379999999999459</v>
      </c>
      <c r="H421" s="5">
        <f>$B$9+$B$10*EXP(-$B$11*C421)</f>
        <v>5.2120107236254487</v>
      </c>
      <c r="I421" s="5">
        <f>D421-H421</f>
        <v>2.2219276374551455E-2</v>
      </c>
      <c r="J421" s="5">
        <f t="shared" si="13"/>
        <v>4.9369624260870045E-4</v>
      </c>
      <c r="K421" s="5">
        <f>$B$17+$B$16*C421</f>
        <v>5.5497006894755252</v>
      </c>
      <c r="L421" s="5">
        <f>(D421-K421)^2</f>
        <v>9.9521755918163146E-2</v>
      </c>
      <c r="M421" s="5">
        <f>$B$40+$B$41*EXP(-$B$42*C421)</f>
        <v>0</v>
      </c>
      <c r="N421" s="5">
        <f>(D421-M421)^2</f>
        <v>27.397163692900001</v>
      </c>
      <c r="O421" s="5">
        <f>(C421+C420)/2</f>
        <v>6.1211000000000553</v>
      </c>
      <c r="P421" s="5" t="str">
        <f>IF(AND(D420&gt;6,D421&lt;=6),C420+(6-D420)*(C421-C420)/(D421-D420),"")</f>
        <v/>
      </c>
      <c r="Q421" s="5" t="str">
        <f>IF(AND(D420&gt;5,D421&lt;=5),C420+(5-D420)*(C421-C420)/(D421-D420),"")</f>
        <v/>
      </c>
      <c r="R421" s="5" t="str">
        <f>IF(AND(D420&gt;4,D421&lt;=4),C420+(4-D420)*(C421-C420)/(D421-D420),"")</f>
        <v/>
      </c>
      <c r="S421" s="5" t="str">
        <f>IF(AND(D420&gt;3,D421&lt;=3),C420+(3-D420)*(C421-C420)/(D421-D420),"")</f>
        <v/>
      </c>
    </row>
    <row r="422" spans="1:19" ht="20.100000000000001" customHeight="1">
      <c r="A422" t="s">
        <v>2</v>
      </c>
      <c r="B422">
        <v>77</v>
      </c>
      <c r="C422" s="5">
        <f>('Raw Data'!C77-'Raw Data'!$C$2)/60</f>
        <v>6.2461000000000553</v>
      </c>
      <c r="D422" s="5">
        <f>'Raw Data'!J77</f>
        <v>5.2007700000000003</v>
      </c>
      <c r="E422" s="5">
        <f>$D$347-D422</f>
        <v>2.2056800000000001</v>
      </c>
      <c r="F422" s="8">
        <f>10^(-D422)</f>
        <v>6.2983965420880813E-6</v>
      </c>
      <c r="G422" s="5">
        <f>(D422-D421)/(C422-C421)</f>
        <v>-0.40151999999999932</v>
      </c>
      <c r="H422" s="5">
        <f>$B$9+$B$10*EXP(-$B$11*C422)</f>
        <v>5.1917924773154835</v>
      </c>
      <c r="I422" s="5">
        <f>D422-H422</f>
        <v>8.9775226845167921E-3</v>
      </c>
      <c r="J422" s="5">
        <f t="shared" si="13"/>
        <v>8.0595913551013588E-5</v>
      </c>
      <c r="K422" s="5">
        <f>$B$17+$B$16*C422</f>
        <v>5.5356598661379186</v>
      </c>
      <c r="L422" s="5">
        <f>(D422-K422)^2</f>
        <v>0.11215122244187281</v>
      </c>
      <c r="M422" s="5">
        <f>$B$40+$B$41*EXP(-$B$42*C422)</f>
        <v>0</v>
      </c>
      <c r="N422" s="5">
        <f>(D422-M422)^2</f>
        <v>27.048008592900004</v>
      </c>
      <c r="O422" s="5">
        <f>(C422+C421)/2</f>
        <v>6.2044333333333892</v>
      </c>
      <c r="P422" s="5" t="str">
        <f>IF(AND(D421&gt;6,D422&lt;=6),C421+(6-D421)*(C422-C421)/(D422-D421),"")</f>
        <v/>
      </c>
      <c r="Q422" s="5" t="str">
        <f>IF(AND(D421&gt;5,D422&lt;=5),C421+(5-D421)*(C422-C421)/(D422-D421),"")</f>
        <v/>
      </c>
      <c r="R422" s="5" t="str">
        <f>IF(AND(D421&gt;4,D422&lt;=4),C421+(4-D421)*(C422-C421)/(D422-D421),"")</f>
        <v/>
      </c>
      <c r="S422" s="5" t="str">
        <f>IF(AND(D421&gt;3,D422&lt;=3),C421+(3-D421)*(C422-C421)/(D422-D421),"")</f>
        <v/>
      </c>
    </row>
    <row r="423" spans="1:19" ht="20.100000000000001" customHeight="1">
      <c r="A423" t="s">
        <v>2</v>
      </c>
      <c r="B423">
        <v>78</v>
      </c>
      <c r="C423" s="5">
        <f>('Raw Data'!C78-'Raw Data'!$C$2)/60</f>
        <v>6.3294333333333883</v>
      </c>
      <c r="D423" s="5">
        <f>'Raw Data'!J78</f>
        <v>5.1823100000000002</v>
      </c>
      <c r="E423" s="5">
        <f>$D$347-D423</f>
        <v>2.2241400000000002</v>
      </c>
      <c r="F423" s="8">
        <f>10^(-D423)</f>
        <v>6.5718856778687578E-6</v>
      </c>
      <c r="G423" s="5">
        <f>(D423-D422)/(C423-C422)</f>
        <v>-0.22152000000000249</v>
      </c>
      <c r="H423" s="5">
        <f>$B$9+$B$10*EXP(-$B$11*C423)</f>
        <v>5.1718333133269327</v>
      </c>
      <c r="I423" s="5">
        <f>D423-H423</f>
        <v>1.0476686673067448E-2</v>
      </c>
      <c r="J423" s="5">
        <f t="shared" si="13"/>
        <v>1.0976096364562907E-4</v>
      </c>
      <c r="K423" s="5">
        <f>$B$17+$B$16*C423</f>
        <v>5.521619042800312</v>
      </c>
      <c r="L423" s="5">
        <f>(D423-K423)^2</f>
        <v>0.11513062652606385</v>
      </c>
      <c r="M423" s="5">
        <f>$B$40+$B$41*EXP(-$B$42*C423)</f>
        <v>0</v>
      </c>
      <c r="N423" s="5">
        <f>(D423-M423)^2</f>
        <v>26.856336936100003</v>
      </c>
      <c r="O423" s="5">
        <f>(C423+C422)/2</f>
        <v>6.2877666666667213</v>
      </c>
      <c r="P423" s="5" t="str">
        <f>IF(AND(D422&gt;6,D423&lt;=6),C422+(6-D422)*(C423-C422)/(D423-D422),"")</f>
        <v/>
      </c>
      <c r="Q423" s="5" t="str">
        <f>IF(AND(D422&gt;5,D423&lt;=5),C422+(5-D422)*(C423-C422)/(D423-D422),"")</f>
        <v/>
      </c>
      <c r="R423" s="5" t="str">
        <f>IF(AND(D422&gt;4,D423&lt;=4),C422+(4-D422)*(C423-C422)/(D423-D422),"")</f>
        <v/>
      </c>
      <c r="S423" s="5" t="str">
        <f>IF(AND(D422&gt;3,D423&lt;=3),C422+(3-D422)*(C423-C422)/(D423-D422),"")</f>
        <v/>
      </c>
    </row>
    <row r="424" spans="1:19" ht="20.100000000000001" customHeight="1">
      <c r="A424" t="s">
        <v>2</v>
      </c>
      <c r="B424">
        <v>79</v>
      </c>
      <c r="C424" s="5">
        <f>('Raw Data'!C79-'Raw Data'!$C$2)/60</f>
        <v>6.4124999999999996</v>
      </c>
      <c r="D424" s="5">
        <f>'Raw Data'!J79</f>
        <v>5.14886</v>
      </c>
      <c r="E424" s="5">
        <f>$D$347-D424</f>
        <v>2.2575900000000004</v>
      </c>
      <c r="F424" s="8">
        <f>10^(-D424)</f>
        <v>7.098065456827347E-6</v>
      </c>
      <c r="G424" s="5">
        <f>(D424-D423)/(C424-C423)</f>
        <v>-0.40268860353157082</v>
      </c>
      <c r="H424" s="5">
        <f>$B$9+$B$10*EXP(-$B$11*C424)</f>
        <v>5.1521925581710164</v>
      </c>
      <c r="I424" s="5">
        <f>D424-H424</f>
        <v>-3.3325581710164087E-3</v>
      </c>
      <c r="J424" s="5">
        <f t="shared" si="13"/>
        <v>1.1105943963208231E-5</v>
      </c>
      <c r="K424" s="5">
        <f>$B$17+$B$16*C424</f>
        <v>5.5076231500973947</v>
      </c>
      <c r="L424" s="5">
        <f>(D424-K424)^2</f>
        <v>0.12871099786780574</v>
      </c>
      <c r="M424" s="5">
        <f>$B$40+$B$41*EXP(-$B$42*C424)</f>
        <v>0</v>
      </c>
      <c r="N424" s="5">
        <f>(D424-M424)^2</f>
        <v>26.5107592996</v>
      </c>
      <c r="O424" s="5">
        <f>(C424+C423)/2</f>
        <v>6.3709666666666944</v>
      </c>
      <c r="P424" s="5" t="str">
        <f>IF(AND(D423&gt;6,D424&lt;=6),C423+(6-D423)*(C424-C423)/(D424-D423),"")</f>
        <v/>
      </c>
      <c r="Q424" s="5" t="str">
        <f>IF(AND(D423&gt;5,D424&lt;=5),C423+(5-D423)*(C424-C423)/(D424-D423),"")</f>
        <v/>
      </c>
      <c r="R424" s="5" t="str">
        <f>IF(AND(D423&gt;4,D424&lt;=4),C423+(4-D423)*(C424-C423)/(D424-D423),"")</f>
        <v/>
      </c>
      <c r="S424" s="5" t="str">
        <f>IF(AND(D423&gt;3,D424&lt;=3),C423+(3-D423)*(C424-C423)/(D424-D423),"")</f>
        <v/>
      </c>
    </row>
    <row r="425" spans="1:19" ht="20.100000000000001" customHeight="1">
      <c r="A425" t="s">
        <v>2</v>
      </c>
      <c r="B425">
        <v>80</v>
      </c>
      <c r="C425" s="5">
        <f>('Raw Data'!C80-'Raw Data'!$C$2)/60</f>
        <v>6.4958333333333336</v>
      </c>
      <c r="D425" s="5">
        <f>'Raw Data'!J80</f>
        <v>5.1200200000000002</v>
      </c>
      <c r="E425" s="5">
        <f>$D$347-D425</f>
        <v>2.2864300000000002</v>
      </c>
      <c r="F425" s="8">
        <f>10^(-D425)</f>
        <v>7.5854264204522817E-6</v>
      </c>
      <c r="G425" s="5">
        <f>(D425-D424)/(C425-C424)</f>
        <v>-0.34607999999999461</v>
      </c>
      <c r="H425" s="5">
        <f>$B$9+$B$10*EXP(-$B$11*C425)</f>
        <v>5.1327408387363835</v>
      </c>
      <c r="I425" s="5">
        <f>D425-H425</f>
        <v>-1.27208387363833E-2</v>
      </c>
      <c r="J425" s="5">
        <f t="shared" si="13"/>
        <v>1.6181973815706987E-4</v>
      </c>
      <c r="K425" s="5">
        <f>$B$17+$B$16*C425</f>
        <v>5.4935823267597881</v>
      </c>
      <c r="L425" s="5">
        <f>(D425-K425)^2</f>
        <v>0.1395488119741865</v>
      </c>
      <c r="M425" s="5">
        <f>$B$40+$B$41*EXP(-$B$42*C425)</f>
        <v>0</v>
      </c>
      <c r="N425" s="5">
        <f>(D425-M425)^2</f>
        <v>26.214604800400004</v>
      </c>
      <c r="O425" s="5">
        <f>(C425+C424)/2</f>
        <v>6.4541666666666666</v>
      </c>
      <c r="P425" s="5" t="str">
        <f>IF(AND(D424&gt;6,D425&lt;=6),C424+(6-D424)*(C425-C424)/(D425-D424),"")</f>
        <v/>
      </c>
      <c r="Q425" s="5" t="str">
        <f>IF(AND(D424&gt;5,D425&lt;=5),C424+(5-D424)*(C425-C424)/(D425-D424),"")</f>
        <v/>
      </c>
      <c r="R425" s="5" t="str">
        <f>IF(AND(D424&gt;4,D425&lt;=4),C424+(4-D424)*(C425-C424)/(D425-D424),"")</f>
        <v/>
      </c>
      <c r="S425" s="5" t="str">
        <f>IF(AND(D424&gt;3,D425&lt;=3),C424+(3-D424)*(C425-C424)/(D425-D424),"")</f>
        <v/>
      </c>
    </row>
    <row r="426" spans="1:19" ht="20.100000000000001" customHeight="1">
      <c r="A426" t="s">
        <v>2</v>
      </c>
      <c r="B426">
        <v>81</v>
      </c>
      <c r="C426" s="5">
        <f>('Raw Data'!C81-'Raw Data'!$C$2)/60</f>
        <v>6.5791666666666666</v>
      </c>
      <c r="D426" s="5">
        <f>'Raw Data'!J81</f>
        <v>5.1050199999999997</v>
      </c>
      <c r="E426" s="5">
        <f>$D$347-D426</f>
        <v>2.3014300000000008</v>
      </c>
      <c r="F426" s="8">
        <f>10^(-D426)</f>
        <v>7.8519947400537133E-6</v>
      </c>
      <c r="G426" s="5">
        <f>(D426-D425)/(C426-C425)</f>
        <v>-0.18000000000000746</v>
      </c>
      <c r="H426" s="5">
        <f>$B$9+$B$10*EXP(-$B$11*C426)</f>
        <v>5.1135383791311817</v>
      </c>
      <c r="I426" s="5">
        <f>D426-H426</f>
        <v>-8.5183791311820301E-3</v>
      </c>
      <c r="J426" s="5">
        <f t="shared" si="13"/>
        <v>7.256278302255752E-5</v>
      </c>
      <c r="K426" s="5">
        <f>$B$17+$B$16*C426</f>
        <v>5.4795415034221815</v>
      </c>
      <c r="L426" s="5">
        <f>(D426-K426)^2</f>
        <v>0.14026635652561134</v>
      </c>
      <c r="M426" s="5">
        <f>$B$40+$B$41*EXP(-$B$42*C426)</f>
        <v>0</v>
      </c>
      <c r="N426" s="5">
        <f>(D426-M426)^2</f>
        <v>26.061229200399996</v>
      </c>
      <c r="O426" s="5">
        <f>(C426+C425)/2</f>
        <v>6.5374999999999996</v>
      </c>
      <c r="P426" s="5" t="str">
        <f>IF(AND(D425&gt;6,D426&lt;=6),C425+(6-D425)*(C426-C425)/(D426-D425),"")</f>
        <v/>
      </c>
      <c r="Q426" s="5" t="str">
        <f>IF(AND(D425&gt;5,D426&lt;=5),C425+(5-D425)*(C426-C425)/(D426-D425),"")</f>
        <v/>
      </c>
      <c r="R426" s="5" t="str">
        <f>IF(AND(D425&gt;4,D426&lt;=4),C425+(4-D425)*(C426-C425)/(D426-D425),"")</f>
        <v/>
      </c>
      <c r="S426" s="5" t="str">
        <f>IF(AND(D425&gt;3,D426&lt;=3),C425+(3-D425)*(C426-C425)/(D426-D425),"")</f>
        <v/>
      </c>
    </row>
    <row r="427" spans="1:19" ht="20.100000000000001" customHeight="1">
      <c r="A427" t="s">
        <v>2</v>
      </c>
      <c r="B427">
        <v>82</v>
      </c>
      <c r="C427" s="5">
        <f>('Raw Data'!C82-'Raw Data'!$C$2)/60</f>
        <v>6.6622333333334005</v>
      </c>
      <c r="D427" s="5">
        <f>'Raw Data'!J82</f>
        <v>5.0692599999999999</v>
      </c>
      <c r="E427" s="5">
        <f>$D$347-D427</f>
        <v>2.3371900000000005</v>
      </c>
      <c r="F427" s="8">
        <f>10^(-D427)</f>
        <v>8.5258953960877549E-6</v>
      </c>
      <c r="G427" s="5">
        <f>(D427-D426)/(C427-C426)</f>
        <v>-0.43049759229499412</v>
      </c>
      <c r="H427" s="5">
        <f>$B$9+$B$10*EXP(-$B$11*C427)</f>
        <v>5.0946422566425831</v>
      </c>
      <c r="I427" s="5">
        <f>D427-H427</f>
        <v>-2.5382256642583201E-2</v>
      </c>
      <c r="J427" s="5">
        <f t="shared" si="13"/>
        <v>6.4425895226995905E-4</v>
      </c>
      <c r="K427" s="5">
        <f>$B$17+$B$16*C427</f>
        <v>5.4655456107192437</v>
      </c>
      <c r="L427" s="5">
        <f>(D427-K427)^2</f>
        <v>0.15704228526312408</v>
      </c>
      <c r="M427" s="5">
        <f>$B$40+$B$41*EXP(-$B$42*C427)</f>
        <v>0</v>
      </c>
      <c r="N427" s="5">
        <f>(D427-M427)^2</f>
        <v>25.697396947599998</v>
      </c>
      <c r="O427" s="5">
        <f>(C427+C426)/2</f>
        <v>6.6207000000000331</v>
      </c>
      <c r="P427" s="5" t="str">
        <f>IF(AND(D426&gt;6,D427&lt;=6),C426+(6-D426)*(C427-C426)/(D427-D426),"")</f>
        <v/>
      </c>
      <c r="Q427" s="5" t="str">
        <f>IF(AND(D426&gt;5,D427&lt;=5),C426+(5-D426)*(C427-C426)/(D427-D426),"")</f>
        <v/>
      </c>
      <c r="R427" s="5" t="str">
        <f>IF(AND(D426&gt;4,D427&lt;=4),C426+(4-D426)*(C427-C426)/(D427-D426),"")</f>
        <v/>
      </c>
      <c r="S427" s="5" t="str">
        <f>IF(AND(D426&gt;3,D427&lt;=3),C426+(3-D426)*(C427-C426)/(D427-D426),"")</f>
        <v/>
      </c>
    </row>
    <row r="428" spans="1:19" ht="20.100000000000001" customHeight="1">
      <c r="A428" t="s">
        <v>2</v>
      </c>
      <c r="B428">
        <v>83</v>
      </c>
      <c r="C428" s="5">
        <f>('Raw Data'!C83-'Raw Data'!$C$2)/60</f>
        <v>6.7458333333333336</v>
      </c>
      <c r="D428" s="5">
        <f>'Raw Data'!J83</f>
        <v>5.0392700000000001</v>
      </c>
      <c r="E428" s="5">
        <f>$D$347-D428</f>
        <v>2.3671800000000003</v>
      </c>
      <c r="F428" s="8">
        <f>10^(-D428)</f>
        <v>9.1354511573861384E-6</v>
      </c>
      <c r="G428" s="5">
        <f>(D428-D427)/(C428-C427)</f>
        <v>-0.35873205741655206</v>
      </c>
      <c r="H428" s="5">
        <f>$B$9+$B$10*EXP(-$B$11*C428)</f>
        <v>5.0758685039954328</v>
      </c>
      <c r="I428" s="5">
        <f>D428-H428</f>
        <v>-3.659850399543263E-2</v>
      </c>
      <c r="J428" s="5">
        <f t="shared" si="13"/>
        <v>1.3394504947036982E-3</v>
      </c>
      <c r="K428" s="5">
        <f>$B$17+$B$16*C428</f>
        <v>5.4514598567469674</v>
      </c>
      <c r="L428" s="5">
        <f>(D428-K428)^2</f>
        <v>0.16990047800508543</v>
      </c>
      <c r="M428" s="5">
        <f>$B$40+$B$41*EXP(-$B$42*C428)</f>
        <v>0</v>
      </c>
      <c r="N428" s="5">
        <f>(D428-M428)^2</f>
        <v>25.394242132900001</v>
      </c>
      <c r="O428" s="5">
        <f>(C428+C427)/2</f>
        <v>6.704033333333367</v>
      </c>
      <c r="P428" s="5" t="str">
        <f>IF(AND(D427&gt;6,D428&lt;=6),C427+(6-D427)*(C428-C427)/(D428-D427),"")</f>
        <v/>
      </c>
      <c r="Q428" s="5" t="str">
        <f>IF(AND(D427&gt;5,D428&lt;=5),C427+(5-D427)*(C428-C427)/(D428-D427),"")</f>
        <v/>
      </c>
      <c r="R428" s="5" t="str">
        <f>IF(AND(D427&gt;4,D428&lt;=4),C427+(4-D427)*(C428-C427)/(D428-D427),"")</f>
        <v/>
      </c>
      <c r="S428" s="5" t="str">
        <f>IF(AND(D427&gt;3,D428&lt;=3),C427+(3-D427)*(C428-C427)/(D428-D427),"")</f>
        <v/>
      </c>
    </row>
    <row r="429" spans="1:19" ht="20.100000000000001" customHeight="1">
      <c r="A429" t="s">
        <v>2</v>
      </c>
      <c r="B429">
        <v>84</v>
      </c>
      <c r="C429" s="5">
        <f>('Raw Data'!C84-'Raw Data'!$C$2)/60</f>
        <v>6.8289000000000666</v>
      </c>
      <c r="D429" s="5">
        <f>'Raw Data'!J84</f>
        <v>5.0242699999999996</v>
      </c>
      <c r="E429" s="5">
        <f>$D$347-D429</f>
        <v>2.3821800000000009</v>
      </c>
      <c r="F429" s="8">
        <f>10^(-D429)</f>
        <v>9.4564907046500217E-6</v>
      </c>
      <c r="G429" s="5">
        <f>(D429-D428)/(C429-C428)</f>
        <v>-0.18057784911703756</v>
      </c>
      <c r="H429" s="5">
        <f>$B$9+$B$10*EXP(-$B$11*C429)</f>
        <v>5.0574535591595389</v>
      </c>
      <c r="I429" s="5">
        <f>D429-H429</f>
        <v>-3.31835591595393E-2</v>
      </c>
      <c r="J429" s="5">
        <f t="shared" si="13"/>
        <v>1.1011485984946446E-3</v>
      </c>
      <c r="K429" s="5">
        <f>$B$17+$B$16*C429</f>
        <v>5.4374639640440297</v>
      </c>
      <c r="L429" s="5">
        <f>(D429-K429)^2</f>
        <v>0.17072925192241922</v>
      </c>
      <c r="M429" s="5">
        <f>$B$40+$B$41*EXP(-$B$42*C429)</f>
        <v>0</v>
      </c>
      <c r="N429" s="5">
        <f>(D429-M429)^2</f>
        <v>25.243289032899995</v>
      </c>
      <c r="O429" s="5">
        <f>(C429+C428)/2</f>
        <v>6.7873666666667001</v>
      </c>
      <c r="P429" s="5" t="str">
        <f>IF(AND(D428&gt;6,D429&lt;=6),C428+(6-D428)*(C429-C428)/(D429-D428),"")</f>
        <v/>
      </c>
      <c r="Q429" s="5" t="str">
        <f>IF(AND(D428&gt;5,D429&lt;=5),C428+(5-D428)*(C429-C428)/(D429-D428),"")</f>
        <v/>
      </c>
      <c r="R429" s="5" t="str">
        <f>IF(AND(D428&gt;4,D429&lt;=4),C428+(4-D428)*(C429-C428)/(D429-D428),"")</f>
        <v/>
      </c>
      <c r="S429" s="5" t="str">
        <f>IF(AND(D428&gt;3,D429&lt;=3),C428+(3-D428)*(C429-C428)/(D429-D428),"")</f>
        <v/>
      </c>
    </row>
    <row r="430" spans="1:19" ht="20.100000000000001" customHeight="1">
      <c r="A430" t="s">
        <v>2</v>
      </c>
      <c r="B430">
        <v>85</v>
      </c>
      <c r="C430" s="5">
        <f>('Raw Data'!C85-'Raw Data'!$C$2)/60</f>
        <v>6.9122333333334005</v>
      </c>
      <c r="D430" s="5">
        <f>'Raw Data'!J85</f>
        <v>4.9873599999999998</v>
      </c>
      <c r="E430" s="5">
        <f>$D$347-D430</f>
        <v>2.4190900000000006</v>
      </c>
      <c r="F430" s="8">
        <f>10^(-D430)</f>
        <v>1.0295323557268213E-5</v>
      </c>
      <c r="G430" s="5">
        <f>(D430-D429)/(C430-C429)</f>
        <v>-0.44291999999999415</v>
      </c>
      <c r="H430" s="5">
        <f>$B$9+$B$10*EXP(-$B$11*C430)</f>
        <v>5.0392158520292396</v>
      </c>
      <c r="I430" s="5">
        <f>D430-H430</f>
        <v>-5.1855852029239813E-2</v>
      </c>
      <c r="J430" s="5">
        <f t="shared" si="13"/>
        <v>2.6890293896784149E-3</v>
      </c>
      <c r="K430" s="5">
        <f>$B$17+$B$16*C430</f>
        <v>5.4234231407064231</v>
      </c>
      <c r="L430" s="5">
        <f>(D430-K430)^2</f>
        <v>0.19015106268274989</v>
      </c>
      <c r="M430" s="5">
        <f>$B$40+$B$41*EXP(-$B$42*C430)</f>
        <v>0</v>
      </c>
      <c r="N430" s="5">
        <f>(D430-M430)^2</f>
        <v>24.873759769599999</v>
      </c>
      <c r="O430" s="5">
        <f>(C430+C429)/2</f>
        <v>6.8705666666667335</v>
      </c>
      <c r="P430" s="5" t="str">
        <f>IF(AND(D429&gt;6,D430&lt;=6),C429+(6-D429)*(C430-C429)/(D430-D429),"")</f>
        <v/>
      </c>
      <c r="Q430" s="5">
        <f>IF(AND(D429&gt;5,D430&lt;=5),C429+(5-D429)*(C430-C429)/(D430-D429),"")</f>
        <v>6.8836954483880373</v>
      </c>
      <c r="R430" s="5" t="str">
        <f>IF(AND(D429&gt;4,D430&lt;=4),C429+(4-D429)*(C430-C429)/(D430-D429),"")</f>
        <v/>
      </c>
      <c r="S430" s="5" t="str">
        <f>IF(AND(D429&gt;3,D430&lt;=3),C429+(3-D429)*(C430-C429)/(D430-D429),"")</f>
        <v/>
      </c>
    </row>
    <row r="431" spans="1:19" ht="20.100000000000001" customHeight="1">
      <c r="A431" t="s">
        <v>2</v>
      </c>
      <c r="B431">
        <v>86</v>
      </c>
      <c r="C431" s="5">
        <f>('Raw Data'!C86-'Raw Data'!$C$2)/60</f>
        <v>6.9955666666667335</v>
      </c>
      <c r="D431" s="5">
        <f>'Raw Data'!J86</f>
        <v>4.9665900000000001</v>
      </c>
      <c r="E431" s="5">
        <f>$D$347-D431</f>
        <v>2.4398600000000004</v>
      </c>
      <c r="F431" s="8">
        <f>10^(-D431)</f>
        <v>1.0799657935081832E-5</v>
      </c>
      <c r="G431" s="5">
        <f>(D431-D430)/(C431-C430)</f>
        <v>-0.24923999999999769</v>
      </c>
      <c r="H431" s="5">
        <f>$B$9+$B$10*EXP(-$B$11*C431)</f>
        <v>5.0212118480316521</v>
      </c>
      <c r="I431" s="5">
        <f>D431-H431</f>
        <v>-5.4621848031652043E-2</v>
      </c>
      <c r="J431" s="5">
        <f t="shared" si="13"/>
        <v>2.98354628239289E-3</v>
      </c>
      <c r="K431" s="5">
        <f>$B$17+$B$16*C431</f>
        <v>5.4093823173688165</v>
      </c>
      <c r="L431" s="5">
        <f>(D431-K431)^2</f>
        <v>0.19606503632084663</v>
      </c>
      <c r="M431" s="5">
        <f>$B$40+$B$41*EXP(-$B$42*C431)</f>
        <v>0</v>
      </c>
      <c r="N431" s="5">
        <f>(D431-M431)^2</f>
        <v>24.6670162281</v>
      </c>
      <c r="O431" s="5">
        <f>(C431+C430)/2</f>
        <v>6.9539000000000666</v>
      </c>
      <c r="P431" s="5" t="str">
        <f>IF(AND(D430&gt;6,D431&lt;=6),C430+(6-D430)*(C431-C430)/(D431-D430),"")</f>
        <v/>
      </c>
      <c r="Q431" s="5" t="str">
        <f>IF(AND(D430&gt;5,D431&lt;=5),C430+(5-D430)*(C431-C430)/(D431-D430),"")</f>
        <v/>
      </c>
      <c r="R431" s="5" t="str">
        <f>IF(AND(D430&gt;4,D431&lt;=4),C430+(4-D430)*(C431-C430)/(D431-D430),"")</f>
        <v/>
      </c>
      <c r="S431" s="5" t="str">
        <f>IF(AND(D430&gt;3,D431&lt;=3),C430+(3-D430)*(C431-C430)/(D431-D430),"")</f>
        <v/>
      </c>
    </row>
    <row r="432" spans="1:19" ht="20.100000000000001" customHeight="1">
      <c r="A432" t="s">
        <v>2</v>
      </c>
      <c r="B432">
        <v>87</v>
      </c>
      <c r="C432" s="5">
        <f>('Raw Data'!C87-'Raw Data'!$C$2)/60</f>
        <v>7.0789000000000666</v>
      </c>
      <c r="D432" s="5">
        <f>'Raw Data'!J87</f>
        <v>4.9504400000000004</v>
      </c>
      <c r="E432" s="5">
        <f>$D$347-D432</f>
        <v>2.45601</v>
      </c>
      <c r="F432" s="8">
        <f>10^(-D432)</f>
        <v>1.1208822710485897E-5</v>
      </c>
      <c r="G432" s="5">
        <f>(D432-D431)/(C432-C431)</f>
        <v>-0.19379999999999667</v>
      </c>
      <c r="H432" s="5">
        <f>$B$9+$B$10*EXP(-$B$11*C432)</f>
        <v>5.0034385524287952</v>
      </c>
      <c r="I432" s="5">
        <f>D432-H432</f>
        <v>-5.299855242879481E-2</v>
      </c>
      <c r="J432" s="5">
        <f t="shared" si="13"/>
        <v>2.8088465595477122E-3</v>
      </c>
      <c r="K432" s="5">
        <f>$B$17+$B$16*C432</f>
        <v>5.3953414940312099</v>
      </c>
      <c r="L432" s="5">
        <f>(D432-K432)^2</f>
        <v>0.19793733939120234</v>
      </c>
      <c r="M432" s="5">
        <f>$B$40+$B$41*EXP(-$B$42*C432)</f>
        <v>0</v>
      </c>
      <c r="N432" s="5">
        <f>(D432-M432)^2</f>
        <v>24.506856193600004</v>
      </c>
      <c r="O432" s="5">
        <f>(C432+C431)/2</f>
        <v>7.0372333333334005</v>
      </c>
      <c r="P432" s="5" t="str">
        <f>IF(AND(D431&gt;6,D432&lt;=6),C431+(6-D431)*(C432-C431)/(D432-D431),"")</f>
        <v/>
      </c>
      <c r="Q432" s="5" t="str">
        <f>IF(AND(D431&gt;5,D432&lt;=5),C431+(5-D431)*(C432-C431)/(D432-D431),"")</f>
        <v/>
      </c>
      <c r="R432" s="5" t="str">
        <f>IF(AND(D431&gt;4,D432&lt;=4),C431+(4-D431)*(C432-C431)/(D432-D431),"")</f>
        <v/>
      </c>
      <c r="S432" s="5" t="str">
        <f>IF(AND(D431&gt;3,D432&lt;=3),C431+(3-D431)*(C432-C431)/(D432-D431),"")</f>
        <v/>
      </c>
    </row>
    <row r="433" spans="1:19" ht="20.100000000000001" customHeight="1">
      <c r="A433" t="s">
        <v>2</v>
      </c>
      <c r="B433">
        <v>88</v>
      </c>
      <c r="C433" s="5">
        <f>('Raw Data'!C88-'Raw Data'!$C$2)/60</f>
        <v>7.16198333333341</v>
      </c>
      <c r="D433" s="5">
        <f>'Raw Data'!J88</f>
        <v>4.9123700000000001</v>
      </c>
      <c r="E433" s="5">
        <f>$D$347-D433</f>
        <v>2.4940800000000003</v>
      </c>
      <c r="F433" s="8">
        <f>10^(-D433)</f>
        <v>1.2235733238584835E-5</v>
      </c>
      <c r="G433" s="5">
        <f>(D433-D432)/(C433-C432)</f>
        <v>-0.45821464393174316</v>
      </c>
      <c r="H433" s="5">
        <f>$B$9+$B$10*EXP(-$B$11*C433)</f>
        <v>4.9859453078003941</v>
      </c>
      <c r="I433" s="5">
        <f>D433-H433</f>
        <v>-7.3575307800394008E-2</v>
      </c>
      <c r="J433" s="5">
        <f t="shared" si="13"/>
        <v>5.4133259179227197E-3</v>
      </c>
      <c r="K433" s="5">
        <f>$B$17+$B$16*C433</f>
        <v>5.381342793163614</v>
      </c>
      <c r="L433" s="5">
        <f>(D433-K433)^2</f>
        <v>0.21993548072768174</v>
      </c>
      <c r="M433" s="5">
        <f>$B$40+$B$41*EXP(-$B$42*C433)</f>
        <v>0</v>
      </c>
      <c r="N433" s="5">
        <f>(D433-M433)^2</f>
        <v>24.131379016900002</v>
      </c>
      <c r="O433" s="5">
        <f>(C433+C432)/2</f>
        <v>7.1204416666667383</v>
      </c>
      <c r="P433" s="5" t="str">
        <f>IF(AND(D432&gt;6,D433&lt;=6),C432+(6-D432)*(C433-C432)/(D433-D432),"")</f>
        <v/>
      </c>
      <c r="Q433" s="5" t="str">
        <f>IF(AND(D432&gt;5,D433&lt;=5),C432+(5-D432)*(C433-C432)/(D433-D432),"")</f>
        <v/>
      </c>
      <c r="R433" s="5" t="str">
        <f>IF(AND(D432&gt;4,D433&lt;=4),C432+(4-D432)*(C433-C432)/(D433-D432),"")</f>
        <v/>
      </c>
      <c r="S433" s="5" t="str">
        <f>IF(AND(D432&gt;3,D433&lt;=3),C432+(3-D432)*(C433-C432)/(D433-D432),"")</f>
        <v/>
      </c>
    </row>
    <row r="434" spans="1:19" ht="20.100000000000001" customHeight="1">
      <c r="A434" t="s">
        <v>2</v>
      </c>
      <c r="B434">
        <v>89</v>
      </c>
      <c r="C434" s="5">
        <f>('Raw Data'!C89-'Raw Data'!$C$2)/60</f>
        <v>7.2455666666667335</v>
      </c>
      <c r="D434" s="5">
        <f>'Raw Data'!J89</f>
        <v>4.8985300000000001</v>
      </c>
      <c r="E434" s="5">
        <f>$D$347-D434</f>
        <v>2.5079200000000004</v>
      </c>
      <c r="F434" s="8">
        <f>10^(-D434)</f>
        <v>1.2631938424541533E-5</v>
      </c>
      <c r="G434" s="5">
        <f>(D434-D433)/(C434-C433)</f>
        <v>-0.16558325024927248</v>
      </c>
      <c r="H434" s="5">
        <f>$B$9+$B$10*EXP(-$B$11*C434)</f>
        <v>4.9685722988406873</v>
      </c>
      <c r="I434" s="5">
        <f>D434-H434</f>
        <v>-7.0042298840687245E-2</v>
      </c>
      <c r="J434" s="5">
        <f t="shared" si="13"/>
        <v>4.9059236268881382E-3</v>
      </c>
      <c r="K434" s="5">
        <f>$B$17+$B$16*C434</f>
        <v>5.3672598473559958</v>
      </c>
      <c r="L434" s="5">
        <f>(D434-K434)^2</f>
        <v>0.21970766980237508</v>
      </c>
      <c r="M434" s="5">
        <f>$B$40+$B$41*EXP(-$B$42*C434)</f>
        <v>0</v>
      </c>
      <c r="N434" s="5">
        <f>(D434-M434)^2</f>
        <v>23.9955961609</v>
      </c>
      <c r="O434" s="5">
        <f>(C434+C433)/2</f>
        <v>7.2037750000000713</v>
      </c>
      <c r="P434" s="5" t="str">
        <f>IF(AND(D433&gt;6,D434&lt;=6),C433+(6-D433)*(C434-C433)/(D434-D433),"")</f>
        <v/>
      </c>
      <c r="Q434" s="5" t="str">
        <f>IF(AND(D433&gt;5,D434&lt;=5),C433+(5-D433)*(C434-C433)/(D434-D433),"")</f>
        <v/>
      </c>
      <c r="R434" s="5" t="str">
        <f>IF(AND(D433&gt;4,D434&lt;=4),C433+(4-D433)*(C434-C433)/(D434-D433),"")</f>
        <v/>
      </c>
      <c r="S434" s="5" t="str">
        <f>IF(AND(D433&gt;3,D434&lt;=3),C433+(3-D433)*(C434-C433)/(D434-D433),"")</f>
        <v/>
      </c>
    </row>
    <row r="435" spans="1:19" ht="20.100000000000001" customHeight="1">
      <c r="A435" t="s">
        <v>2</v>
      </c>
      <c r="B435">
        <v>90</v>
      </c>
      <c r="C435" s="5">
        <f>('Raw Data'!C90-'Raw Data'!$C$2)/60</f>
        <v>7.3286500000000769</v>
      </c>
      <c r="D435" s="5">
        <f>'Raw Data'!J90</f>
        <v>4.8766100000000003</v>
      </c>
      <c r="E435" s="5">
        <f>$D$347-D435</f>
        <v>2.5298400000000001</v>
      </c>
      <c r="F435" s="8">
        <f>10^(-D435)</f>
        <v>1.3285870041972892E-5</v>
      </c>
      <c r="G435" s="5">
        <f>(D435-D434)/(C435-C434)</f>
        <v>-0.26383149448341503</v>
      </c>
      <c r="H435" s="5">
        <f>$B$9+$B$10*EXP(-$B$11*C435)</f>
        <v>4.9515245084790855</v>
      </c>
      <c r="I435" s="5">
        <f>D435-H435</f>
        <v>-7.4914508479085207E-2</v>
      </c>
      <c r="J435" s="5">
        <f t="shared" si="13"/>
        <v>5.612183580662929E-3</v>
      </c>
      <c r="K435" s="5">
        <f>$B$17+$B$16*C435</f>
        <v>5.3532611464884008</v>
      </c>
      <c r="L435" s="5">
        <f>(D435-K435)^2</f>
        <v>0.22719631544870658</v>
      </c>
      <c r="M435" s="5">
        <f>$B$40+$B$41*EXP(-$B$42*C435)</f>
        <v>0</v>
      </c>
      <c r="N435" s="5">
        <f>(D435-M435)^2</f>
        <v>23.781325092100005</v>
      </c>
      <c r="O435" s="5">
        <f>(C435+C434)/2</f>
        <v>7.2871083333334052</v>
      </c>
      <c r="P435" s="5" t="str">
        <f>IF(AND(D434&gt;6,D435&lt;=6),C434+(6-D434)*(C435-C434)/(D435-D434),"")</f>
        <v/>
      </c>
      <c r="Q435" s="5" t="str">
        <f>IF(AND(D434&gt;5,D435&lt;=5),C434+(5-D434)*(C435-C434)/(D435-D434),"")</f>
        <v/>
      </c>
      <c r="R435" s="5" t="str">
        <f>IF(AND(D434&gt;4,D435&lt;=4),C434+(4-D434)*(C435-C434)/(D435-D434),"")</f>
        <v/>
      </c>
      <c r="S435" s="5" t="str">
        <f>IF(AND(D434&gt;3,D435&lt;=3),C434+(3-D434)*(C435-C434)/(D435-D434),"")</f>
        <v/>
      </c>
    </row>
    <row r="436" spans="1:19" ht="20.100000000000001" customHeight="1">
      <c r="A436" t="s">
        <v>2</v>
      </c>
      <c r="B436">
        <v>91</v>
      </c>
      <c r="C436" s="5">
        <f>('Raw Data'!C91-'Raw Data'!$C$2)/60</f>
        <v>7.41198333333341</v>
      </c>
      <c r="D436" s="5">
        <f>'Raw Data'!J91</f>
        <v>4.8454600000000001</v>
      </c>
      <c r="E436" s="5">
        <f>$D$347-D436</f>
        <v>2.5609900000000003</v>
      </c>
      <c r="F436" s="8">
        <f>10^(-D436)</f>
        <v>1.4273812907861E-5</v>
      </c>
      <c r="G436" s="5">
        <f>(D436-D435)/(C436-C435)</f>
        <v>-0.37380000000000413</v>
      </c>
      <c r="H436" s="5">
        <f>$B$9+$B$10*EXP(-$B$11*C436)</f>
        <v>4.9346442061372491</v>
      </c>
      <c r="I436" s="5">
        <f>D436-H436</f>
        <v>-8.9184206137248978E-2</v>
      </c>
      <c r="J436" s="5">
        <f t="shared" si="13"/>
        <v>7.9538226243313186E-3</v>
      </c>
      <c r="K436" s="5">
        <f>$B$17+$B$16*C436</f>
        <v>5.3392203231507942</v>
      </c>
      <c r="L436" s="5">
        <f>(D436-K436)^2</f>
        <v>0.24379925671797661</v>
      </c>
      <c r="M436" s="5">
        <f>$B$40+$B$41*EXP(-$B$42*C436)</f>
        <v>0</v>
      </c>
      <c r="N436" s="5">
        <f>(D436-M436)^2</f>
        <v>23.4784826116</v>
      </c>
      <c r="O436" s="5">
        <f>(C436+C435)/2</f>
        <v>7.3703166666667439</v>
      </c>
      <c r="P436" s="5" t="str">
        <f>IF(AND(D435&gt;6,D436&lt;=6),C435+(6-D435)*(C436-C435)/(D436-D435),"")</f>
        <v/>
      </c>
      <c r="Q436" s="5" t="str">
        <f>IF(AND(D435&gt;5,D436&lt;=5),C435+(5-D435)*(C436-C435)/(D436-D435),"")</f>
        <v/>
      </c>
      <c r="R436" s="5" t="str">
        <f>IF(AND(D435&gt;4,D436&lt;=4),C435+(4-D435)*(C436-C435)/(D436-D435),"")</f>
        <v/>
      </c>
      <c r="S436" s="5" t="str">
        <f>IF(AND(D435&gt;3,D436&lt;=3),C435+(3-D435)*(C436-C435)/(D436-D435),"")</f>
        <v/>
      </c>
    </row>
    <row r="437" spans="1:19" ht="20.100000000000001" customHeight="1">
      <c r="A437" t="s">
        <v>2</v>
      </c>
      <c r="B437">
        <v>92</v>
      </c>
      <c r="C437" s="5">
        <f>('Raw Data'!C92-'Raw Data'!$C$2)/60</f>
        <v>7.495316666666743</v>
      </c>
      <c r="D437" s="5">
        <f>'Raw Data'!J92</f>
        <v>4.8408499999999997</v>
      </c>
      <c r="E437" s="5">
        <f>$D$347-D437</f>
        <v>2.5656000000000008</v>
      </c>
      <c r="F437" s="8">
        <f>10^(-D437)</f>
        <v>1.4426135265483155E-5</v>
      </c>
      <c r="G437" s="5">
        <f>(D437-D436)/(C437-C436)</f>
        <v>-5.5320000000005559E-2</v>
      </c>
      <c r="H437" s="5">
        <f>$B$9+$B$10*EXP(-$B$11*C437)</f>
        <v>4.9179802127595948</v>
      </c>
      <c r="I437" s="5">
        <f>D437-H437</f>
        <v>-7.7130212759595196E-2</v>
      </c>
      <c r="J437" s="5">
        <f t="shared" si="13"/>
        <v>5.9490697203404214E-3</v>
      </c>
      <c r="K437" s="5">
        <f>$B$17+$B$16*C437</f>
        <v>5.3251794998131867</v>
      </c>
      <c r="L437" s="5">
        <f>(D437-K437)^2</f>
        <v>0.23457506438929199</v>
      </c>
      <c r="M437" s="5">
        <f>$B$40+$B$41*EXP(-$B$42*C437)</f>
        <v>0</v>
      </c>
      <c r="N437" s="5">
        <f>(D437-M437)^2</f>
        <v>23.433828722499996</v>
      </c>
      <c r="O437" s="5">
        <f>(C437+C436)/2</f>
        <v>7.453650000000076</v>
      </c>
      <c r="P437" s="5" t="str">
        <f>IF(AND(D436&gt;6,D437&lt;=6),C436+(6-D436)*(C437-C436)/(D437-D436),"")</f>
        <v/>
      </c>
      <c r="Q437" s="5" t="str">
        <f>IF(AND(D436&gt;5,D437&lt;=5),C436+(5-D436)*(C437-C436)/(D437-D436),"")</f>
        <v/>
      </c>
      <c r="R437" s="5" t="str">
        <f>IF(AND(D436&gt;4,D437&lt;=4),C436+(4-D436)*(C437-C436)/(D437-D436),"")</f>
        <v/>
      </c>
      <c r="S437" s="5" t="str">
        <f>IF(AND(D436&gt;3,D437&lt;=3),C436+(3-D436)*(C437-C436)/(D437-D436),"")</f>
        <v/>
      </c>
    </row>
    <row r="438" spans="1:19" ht="20.100000000000001" customHeight="1">
      <c r="A438" t="s">
        <v>2</v>
      </c>
      <c r="B438">
        <v>93</v>
      </c>
      <c r="C438" s="5">
        <f>('Raw Data'!C93-'Raw Data'!$C$2)/60</f>
        <v>7.5786500000000769</v>
      </c>
      <c r="D438" s="5">
        <f>'Raw Data'!J93</f>
        <v>4.8212400000000004</v>
      </c>
      <c r="E438" s="5">
        <f>$D$347-D438</f>
        <v>2.58521</v>
      </c>
      <c r="F438" s="8">
        <f>10^(-D438)</f>
        <v>1.5092458835703306E-5</v>
      </c>
      <c r="G438" s="5">
        <f>(D438-D437)/(C438-C437)</f>
        <v>-0.2353199999999892</v>
      </c>
      <c r="H438" s="5">
        <f>$B$9+$B$10*EXP(-$B$11*C438)</f>
        <v>4.9015297565019331</v>
      </c>
      <c r="I438" s="5">
        <f>D438-H438</f>
        <v>-8.0289756501932708E-2</v>
      </c>
      <c r="J438" s="5">
        <f t="shared" si="13"/>
        <v>6.4464449991396451E-3</v>
      </c>
      <c r="K438" s="5">
        <f>$B$17+$B$16*C438</f>
        <v>5.3111386764755801</v>
      </c>
      <c r="L438" s="5">
        <f>(D438-K438)^2</f>
        <v>0.24000071321252472</v>
      </c>
      <c r="M438" s="5">
        <f>$B$40+$B$41*EXP(-$B$42*C438)</f>
        <v>0</v>
      </c>
      <c r="N438" s="5">
        <f>(D438-M438)^2</f>
        <v>23.244355137600003</v>
      </c>
      <c r="O438" s="5">
        <f>(C438+C437)/2</f>
        <v>7.53698333333341</v>
      </c>
      <c r="P438" s="5" t="str">
        <f>IF(AND(D437&gt;6,D438&lt;=6),C437+(6-D437)*(C438-C437)/(D438-D437),"")</f>
        <v/>
      </c>
      <c r="Q438" s="5" t="str">
        <f>IF(AND(D437&gt;5,D438&lt;=5),C437+(5-D437)*(C438-C437)/(D438-D437),"")</f>
        <v/>
      </c>
      <c r="R438" s="5" t="str">
        <f>IF(AND(D437&gt;4,D438&lt;=4),C437+(4-D437)*(C438-C437)/(D438-D437),"")</f>
        <v/>
      </c>
      <c r="S438" s="5" t="str">
        <f>IF(AND(D437&gt;3,D438&lt;=3),C437+(3-D437)*(C438-C437)/(D438-D437),"")</f>
        <v/>
      </c>
    </row>
    <row r="439" spans="1:19" ht="20.100000000000001" customHeight="1">
      <c r="A439" t="s">
        <v>2</v>
      </c>
      <c r="B439">
        <v>94</v>
      </c>
      <c r="C439" s="5">
        <f>('Raw Data'!C94-'Raw Data'!$C$2)/60</f>
        <v>7.6617166666666883</v>
      </c>
      <c r="D439" s="5">
        <f>'Raw Data'!J94</f>
        <v>4.7912400000000002</v>
      </c>
      <c r="E439" s="5">
        <f>$D$347-D439</f>
        <v>2.6152100000000003</v>
      </c>
      <c r="F439" s="8">
        <f>10^(-D439)</f>
        <v>1.6171861005960002E-5</v>
      </c>
      <c r="G439" s="5">
        <f>(D439-D438)/(C439-C438)</f>
        <v>-0.36115569823459348</v>
      </c>
      <c r="H439" s="5">
        <f>$B$9+$B$10*EXP(-$B$11*C439)</f>
        <v>4.8853417346115773</v>
      </c>
      <c r="I439" s="5">
        <f>D439-H439</f>
        <v>-9.4101734611577115E-2</v>
      </c>
      <c r="J439" s="5">
        <f t="shared" si="13"/>
        <v>8.8551364569076901E-3</v>
      </c>
      <c r="K439" s="5">
        <f>$B$17+$B$16*C439</f>
        <v>5.2971427837726637</v>
      </c>
      <c r="L439" s="5">
        <f>(D439-K439)^2</f>
        <v>0.25593762662893033</v>
      </c>
      <c r="M439" s="5">
        <f>$B$40+$B$41*EXP(-$B$42*C439)</f>
        <v>0</v>
      </c>
      <c r="N439" s="5">
        <f>(D439-M439)^2</f>
        <v>22.955980737600001</v>
      </c>
      <c r="O439" s="5">
        <f>(C439+C438)/2</f>
        <v>7.620183333333383</v>
      </c>
      <c r="P439" s="5" t="str">
        <f>IF(AND(D438&gt;6,D439&lt;=6),C438+(6-D438)*(C439-C438)/(D439-D438),"")</f>
        <v/>
      </c>
      <c r="Q439" s="5" t="str">
        <f>IF(AND(D438&gt;5,D439&lt;=5),C438+(5-D438)*(C439-C438)/(D439-D438),"")</f>
        <v/>
      </c>
      <c r="R439" s="5" t="str">
        <f>IF(AND(D438&gt;4,D439&lt;=4),C438+(4-D438)*(C439-C438)/(D439-D438),"")</f>
        <v/>
      </c>
      <c r="S439" s="5" t="str">
        <f>IF(AND(D438&gt;3,D439&lt;=3),C438+(3-D438)*(C439-C438)/(D439-D438),"")</f>
        <v/>
      </c>
    </row>
    <row r="440" spans="1:19" ht="20.100000000000001" customHeight="1">
      <c r="A440" t="s">
        <v>2</v>
      </c>
      <c r="B440">
        <v>95</v>
      </c>
      <c r="C440" s="5">
        <f>('Raw Data'!C95-'Raw Data'!$C$2)/60</f>
        <v>7.7450500000000213</v>
      </c>
      <c r="D440" s="5">
        <f>'Raw Data'!J95</f>
        <v>4.7797099999999997</v>
      </c>
      <c r="E440" s="5">
        <f>$D$347-D440</f>
        <v>2.6267400000000007</v>
      </c>
      <c r="F440" s="8">
        <f>10^(-D440)</f>
        <v>1.6606954661375695E-5</v>
      </c>
      <c r="G440" s="5">
        <f>(D440-D439)/(C440-C439)</f>
        <v>-0.13836000000000631</v>
      </c>
      <c r="H440" s="5">
        <f>$B$9+$B$10*EXP(-$B$11*C440)</f>
        <v>4.8693095170357656</v>
      </c>
      <c r="I440" s="5">
        <f>D440-H440</f>
        <v>-8.9599517035765963E-2</v>
      </c>
      <c r="J440" s="5">
        <f t="shared" si="13"/>
        <v>8.0280734530425151E-3</v>
      </c>
      <c r="K440" s="5">
        <f>$B$17+$B$16*C440</f>
        <v>5.2831019604350562</v>
      </c>
      <c r="L440" s="5">
        <f>(D440-K440)^2</f>
        <v>0.25340346583064949</v>
      </c>
      <c r="M440" s="5">
        <f>$B$40+$B$41*EXP(-$B$42*C440)</f>
        <v>0</v>
      </c>
      <c r="N440" s="5">
        <f>(D440-M440)^2</f>
        <v>22.845627684099998</v>
      </c>
      <c r="O440" s="5">
        <f>(C440+C439)/2</f>
        <v>7.7033833333333543</v>
      </c>
      <c r="P440" s="5" t="str">
        <f>IF(AND(D439&gt;6,D440&lt;=6),C439+(6-D439)*(C440-C439)/(D440-D439),"")</f>
        <v/>
      </c>
      <c r="Q440" s="5" t="str">
        <f>IF(AND(D439&gt;5,D440&lt;=5),C439+(5-D439)*(C440-C439)/(D440-D439),"")</f>
        <v/>
      </c>
      <c r="R440" s="5" t="str">
        <f>IF(AND(D439&gt;4,D440&lt;=4),C439+(4-D439)*(C440-C439)/(D440-D439),"")</f>
        <v/>
      </c>
      <c r="S440" s="5" t="str">
        <f>IF(AND(D439&gt;3,D440&lt;=3),C439+(3-D439)*(C440-C439)/(D440-D439),"")</f>
        <v/>
      </c>
    </row>
    <row r="441" spans="1:19" ht="20.100000000000001" customHeight="1">
      <c r="A441" t="s">
        <v>2</v>
      </c>
      <c r="B441">
        <v>96</v>
      </c>
      <c r="C441" s="5">
        <f>('Raw Data'!C96-'Raw Data'!$C$2)/60</f>
        <v>7.8283833333333543</v>
      </c>
      <c r="D441" s="5">
        <f>'Raw Data'!J96</f>
        <v>4.7554800000000004</v>
      </c>
      <c r="E441" s="5">
        <f>$D$347-D441</f>
        <v>2.65097</v>
      </c>
      <c r="F441" s="8">
        <f>10^(-D441)</f>
        <v>1.7559817582855677E-5</v>
      </c>
      <c r="G441" s="5">
        <f>(D441-D440)/(C441-C440)</f>
        <v>-0.29075999999999275</v>
      </c>
      <c r="H441" s="5">
        <f>$B$9+$B$10*EXP(-$B$11*C441)</f>
        <v>4.8534827408262959</v>
      </c>
      <c r="I441" s="5">
        <f>D441-H441</f>
        <v>-9.8002740826295565E-2</v>
      </c>
      <c r="J441" s="5">
        <f t="shared" si="13"/>
        <v>9.6045372094660589E-3</v>
      </c>
      <c r="K441" s="5">
        <f>$B$17+$B$16*C441</f>
        <v>5.2690611370974496</v>
      </c>
      <c r="L441" s="5">
        <f>(D441-K441)^2</f>
        <v>0.26376558438230896</v>
      </c>
      <c r="M441" s="5">
        <f>$B$40+$B$41*EXP(-$B$42*C441)</f>
        <v>0</v>
      </c>
      <c r="N441" s="5">
        <f>(D441-M441)^2</f>
        <v>22.614590030400002</v>
      </c>
      <c r="O441" s="5">
        <f>(C441+C440)/2</f>
        <v>7.7867166666666883</v>
      </c>
      <c r="P441" s="5" t="str">
        <f>IF(AND(D440&gt;6,D441&lt;=6),C440+(6-D440)*(C441-C440)/(D441-D440),"")</f>
        <v/>
      </c>
      <c r="Q441" s="5" t="str">
        <f>IF(AND(D440&gt;5,D441&lt;=5),C440+(5-D440)*(C441-C440)/(D441-D440),"")</f>
        <v/>
      </c>
      <c r="R441" s="5" t="str">
        <f>IF(AND(D440&gt;4,D441&lt;=4),C440+(4-D440)*(C441-C440)/(D441-D440),"")</f>
        <v/>
      </c>
      <c r="S441" s="5" t="str">
        <f>IF(AND(D440&gt;3,D441&lt;=3),C440+(3-D440)*(C441-C440)/(D441-D440),"")</f>
        <v/>
      </c>
    </row>
    <row r="442" spans="1:19" ht="20.100000000000001" customHeight="1">
      <c r="A442" t="s">
        <v>2</v>
      </c>
      <c r="B442">
        <v>97</v>
      </c>
      <c r="C442" s="5">
        <f>('Raw Data'!C97-'Raw Data'!$C$2)/60</f>
        <v>7.9117166666666883</v>
      </c>
      <c r="D442" s="5">
        <f>'Raw Data'!J97</f>
        <v>4.7335599999999998</v>
      </c>
      <c r="E442" s="5">
        <f>$D$347-D442</f>
        <v>2.6728900000000007</v>
      </c>
      <c r="F442" s="8">
        <f>10^(-D442)</f>
        <v>1.8468856206052858E-5</v>
      </c>
      <c r="G442" s="5">
        <f>(D442-D441)/(C442-C441)</f>
        <v>-0.26304000000000538</v>
      </c>
      <c r="H442" s="5">
        <f>$B$9+$B$10*EXP(-$B$11*C442)</f>
        <v>4.8378587733994465</v>
      </c>
      <c r="I442" s="5">
        <f>D442-H442</f>
        <v>-0.10429877339944671</v>
      </c>
      <c r="J442" s="5">
        <f t="shared" si="13"/>
        <v>1.0878234132629132E-2</v>
      </c>
      <c r="K442" s="5">
        <f>$B$17+$B$16*C442</f>
        <v>5.255020313759843</v>
      </c>
      <c r="L442" s="5">
        <f>(D442-K442)^2</f>
        <v>0.27192085882651418</v>
      </c>
      <c r="M442" s="5">
        <f>$B$40+$B$41*EXP(-$B$42*C442)</f>
        <v>0</v>
      </c>
      <c r="N442" s="5">
        <f>(D442-M442)^2</f>
        <v>22.406590273599999</v>
      </c>
      <c r="O442" s="5">
        <f>(C442+C441)/2</f>
        <v>7.8700500000000213</v>
      </c>
      <c r="P442" s="5" t="str">
        <f>IF(AND(D441&gt;6,D442&lt;=6),C441+(6-D441)*(C442-C441)/(D442-D441),"")</f>
        <v/>
      </c>
      <c r="Q442" s="5" t="str">
        <f>IF(AND(D441&gt;5,D442&lt;=5),C441+(5-D441)*(C442-C441)/(D442-D441),"")</f>
        <v/>
      </c>
      <c r="R442" s="5" t="str">
        <f>IF(AND(D441&gt;4,D442&lt;=4),C441+(4-D441)*(C442-C441)/(D442-D441),"")</f>
        <v/>
      </c>
      <c r="S442" s="5" t="str">
        <f>IF(AND(D441&gt;3,D442&lt;=3),C441+(3-D441)*(C442-C441)/(D442-D441),"")</f>
        <v/>
      </c>
    </row>
    <row r="443" spans="1:19" ht="20.100000000000001" customHeight="1">
      <c r="A443" t="s">
        <v>2</v>
      </c>
      <c r="B443">
        <v>98</v>
      </c>
      <c r="C443" s="5">
        <f>('Raw Data'!C98-'Raw Data'!$C$2)/60</f>
        <v>7.9948000000000317</v>
      </c>
      <c r="D443" s="5">
        <f>'Raw Data'!J98</f>
        <v>4.7151100000000001</v>
      </c>
      <c r="E443" s="5">
        <f>$D$347-D443</f>
        <v>2.6913400000000003</v>
      </c>
      <c r="F443" s="8">
        <f>10^(-D443)</f>
        <v>1.9270367630994698E-5</v>
      </c>
      <c r="G443" s="5">
        <f>(D443-D442)/(C443-C442)</f>
        <v>-0.22206619859575608</v>
      </c>
      <c r="H443" s="5">
        <f>$B$9+$B$10*EXP(-$B$11*C443)</f>
        <v>4.8224809903269543</v>
      </c>
      <c r="I443" s="5">
        <f>D443-H443</f>
        <v>-0.10737099032695419</v>
      </c>
      <c r="J443" s="5">
        <f t="shared" si="13"/>
        <v>1.152852956379089E-2</v>
      </c>
      <c r="K443" s="5">
        <f>$B$17+$B$16*C443</f>
        <v>5.2410216128922471</v>
      </c>
      <c r="L443" s="5">
        <f>(D443-K443)^2</f>
        <v>0.27658302457492462</v>
      </c>
      <c r="M443" s="5">
        <f>$B$40+$B$41*EXP(-$B$42*C443)</f>
        <v>0</v>
      </c>
      <c r="N443" s="5">
        <f>(D443-M443)^2</f>
        <v>22.232262312100001</v>
      </c>
      <c r="O443" s="5">
        <f>(C443+C442)/2</f>
        <v>7.95325833333336</v>
      </c>
      <c r="P443" s="5" t="str">
        <f>IF(AND(D442&gt;6,D443&lt;=6),C442+(6-D442)*(C443-C442)/(D443-D442),"")</f>
        <v/>
      </c>
      <c r="Q443" s="5" t="str">
        <f>IF(AND(D442&gt;5,D443&lt;=5),C442+(5-D442)*(C443-C442)/(D443-D442),"")</f>
        <v/>
      </c>
      <c r="R443" s="5" t="str">
        <f>IF(AND(D442&gt;4,D443&lt;=4),C442+(4-D442)*(C443-C442)/(D443-D442),"")</f>
        <v/>
      </c>
      <c r="S443" s="5" t="str">
        <f>IF(AND(D442&gt;3,D443&lt;=3),C442+(3-D442)*(C443-C442)/(D443-D442),"")</f>
        <v/>
      </c>
    </row>
    <row r="444" spans="1:19" ht="20.100000000000001" customHeight="1">
      <c r="A444" t="s">
        <v>2</v>
      </c>
      <c r="B444">
        <v>99</v>
      </c>
      <c r="C444" s="5">
        <f>('Raw Data'!C99-'Raw Data'!$C$2)/60</f>
        <v>8.0783833333333543</v>
      </c>
      <c r="D444" s="5">
        <f>'Raw Data'!J99</f>
        <v>4.6989599999999996</v>
      </c>
      <c r="E444" s="5">
        <f>$D$347-D444</f>
        <v>2.7074900000000008</v>
      </c>
      <c r="F444" s="8">
        <f>10^(-D444)</f>
        <v>2.0000460722006171E-5</v>
      </c>
      <c r="G444" s="5">
        <f>(D444-D443)/(C444-C443)</f>
        <v>-0.19322033898308208</v>
      </c>
      <c r="H444" s="5">
        <f>$B$9+$B$10*EXP(-$B$11*C444)</f>
        <v>4.8072089027997995</v>
      </c>
      <c r="I444" s="5">
        <f>D444-H444</f>
        <v>-0.10824890279979993</v>
      </c>
      <c r="J444" s="5">
        <f t="shared" si="13"/>
        <v>1.1717824957360533E-2</v>
      </c>
      <c r="K444" s="5">
        <f>$B$17+$B$16*C444</f>
        <v>5.2269386670846298</v>
      </c>
      <c r="L444" s="5">
        <f>(D444-K444)^2</f>
        <v>0.27876147289646286</v>
      </c>
      <c r="M444" s="5">
        <f>$B$40+$B$41*EXP(-$B$42*C444)</f>
        <v>0</v>
      </c>
      <c r="N444" s="5">
        <f>(D444-M444)^2</f>
        <v>22.080225081599995</v>
      </c>
      <c r="O444" s="5">
        <f>(C444+C443)/2</f>
        <v>8.036591666666693</v>
      </c>
      <c r="P444" s="5" t="str">
        <f>IF(AND(D443&gt;6,D444&lt;=6),C443+(6-D443)*(C444-C443)/(D444-D443),"")</f>
        <v/>
      </c>
      <c r="Q444" s="5" t="str">
        <f>IF(AND(D443&gt;5,D444&lt;=5),C443+(5-D443)*(C444-C443)/(D444-D443),"")</f>
        <v/>
      </c>
      <c r="R444" s="5" t="str">
        <f>IF(AND(D443&gt;4,D444&lt;=4),C443+(4-D443)*(C444-C443)/(D444-D443),"")</f>
        <v/>
      </c>
      <c r="S444" s="5" t="str">
        <f>IF(AND(D443&gt;3,D444&lt;=3),C443+(3-D443)*(C444-C443)/(D444-D443),"")</f>
        <v/>
      </c>
    </row>
    <row r="445" spans="1:19" ht="20.100000000000001" customHeight="1">
      <c r="A445" t="s">
        <v>2</v>
      </c>
      <c r="B445">
        <v>100</v>
      </c>
      <c r="C445" s="5">
        <f>('Raw Data'!C100-'Raw Data'!$C$2)/60</f>
        <v>8.1614666666666995</v>
      </c>
      <c r="D445" s="5">
        <f>'Raw Data'!J100</f>
        <v>4.6793399999999998</v>
      </c>
      <c r="E445" s="5">
        <f>$D$347-D445</f>
        <v>2.7271100000000006</v>
      </c>
      <c r="F445" s="8">
        <f>10^(-D445)</f>
        <v>2.0924736609014871E-5</v>
      </c>
      <c r="G445" s="5">
        <f>(D445-D444)/(C445-C444)</f>
        <v>-0.23614844533597137</v>
      </c>
      <c r="H445" s="5">
        <f>$B$9+$B$10*EXP(-$B$11*C445)</f>
        <v>4.7922227051209285</v>
      </c>
      <c r="I445" s="5">
        <f>D445-H445</f>
        <v>-0.11288270512092868</v>
      </c>
      <c r="J445" s="5">
        <f t="shared" si="13"/>
        <v>1.2742505115418539E-2</v>
      </c>
      <c r="K445" s="5">
        <f>$B$17+$B$16*C445</f>
        <v>5.2129399662170339</v>
      </c>
      <c r="L445" s="5">
        <f>(D445-K445)^2</f>
        <v>0.28472892394681992</v>
      </c>
      <c r="M445" s="5">
        <f>$B$40+$B$41*EXP(-$B$42*C445)</f>
        <v>0</v>
      </c>
      <c r="N445" s="5">
        <f>(D445-M445)^2</f>
        <v>21.8962228356</v>
      </c>
      <c r="O445" s="5">
        <f>(C445+C444)/2</f>
        <v>8.1199250000000269</v>
      </c>
      <c r="P445" s="5" t="str">
        <f>IF(AND(D444&gt;6,D445&lt;=6),C444+(6-D444)*(C445-C444)/(D445-D444),"")</f>
        <v/>
      </c>
      <c r="Q445" s="5" t="str">
        <f>IF(AND(D444&gt;5,D445&lt;=5),C444+(5-D444)*(C445-C444)/(D445-D444),"")</f>
        <v/>
      </c>
      <c r="R445" s="5" t="str">
        <f>IF(AND(D444&gt;4,D445&lt;=4),C444+(4-D444)*(C445-C444)/(D445-D444),"")</f>
        <v/>
      </c>
      <c r="S445" s="5" t="str">
        <f>IF(AND(D444&gt;3,D445&lt;=3),C444+(3-D444)*(C445-C444)/(D445-D444),"")</f>
        <v/>
      </c>
    </row>
    <row r="446" spans="1:19" ht="20.100000000000001" customHeight="1">
      <c r="A446" t="s">
        <v>2</v>
      </c>
      <c r="B446">
        <v>101</v>
      </c>
      <c r="C446" s="5">
        <f>('Raw Data'!C101-'Raw Data'!$C$2)/60</f>
        <v>8.2445333333333117</v>
      </c>
      <c r="D446" s="5">
        <f>'Raw Data'!J101</f>
        <v>4.6678100000000002</v>
      </c>
      <c r="E446" s="5">
        <f>$D$347-D446</f>
        <v>2.7386400000000002</v>
      </c>
      <c r="F446" s="8">
        <f>10^(-D446)</f>
        <v>2.1487703365683811E-5</v>
      </c>
      <c r="G446" s="5">
        <f>(D446-D445)/(C446-C445)</f>
        <v>-0.13880417335482126</v>
      </c>
      <c r="H446" s="5">
        <f>$B$9+$B$10*EXP(-$B$11*C446)</f>
        <v>4.7774309212116659</v>
      </c>
      <c r="I446" s="5">
        <f>D446-H446</f>
        <v>-0.10962092121166567</v>
      </c>
      <c r="J446" s="5">
        <f t="shared" si="13"/>
        <v>1.2016746367294212E-2</v>
      </c>
      <c r="K446" s="5">
        <f>$B$17+$B$16*C446</f>
        <v>5.1989440735141166</v>
      </c>
      <c r="L446" s="5">
        <f>(D446-K446)^2</f>
        <v>0.28210340404769874</v>
      </c>
      <c r="M446" s="5">
        <f>$B$40+$B$41*EXP(-$B$42*C446)</f>
        <v>0</v>
      </c>
      <c r="N446" s="5">
        <f>(D446-M446)^2</f>
        <v>21.788450196100001</v>
      </c>
      <c r="O446" s="5">
        <f>(C446+C445)/2</f>
        <v>8.2030000000000065</v>
      </c>
      <c r="P446" s="5" t="str">
        <f>IF(AND(D445&gt;6,D446&lt;=6),C445+(6-D445)*(C446-C445)/(D446-D445),"")</f>
        <v/>
      </c>
      <c r="Q446" s="5" t="str">
        <f>IF(AND(D445&gt;5,D446&lt;=5),C445+(5-D445)*(C446-C445)/(D446-D445),"")</f>
        <v/>
      </c>
      <c r="R446" s="5" t="str">
        <f>IF(AND(D445&gt;4,D446&lt;=4),C445+(4-D445)*(C446-C445)/(D446-D445),"")</f>
        <v/>
      </c>
      <c r="S446" s="5" t="str">
        <f>IF(AND(D445&gt;3,D446&lt;=3),C445+(3-D445)*(C446-C445)/(D446-D445),"")</f>
        <v/>
      </c>
    </row>
    <row r="447" spans="1:19" ht="20.100000000000001" customHeight="1">
      <c r="A447" t="s">
        <v>2</v>
      </c>
      <c r="B447">
        <v>102</v>
      </c>
      <c r="C447" s="5">
        <f>('Raw Data'!C102-'Raw Data'!$C$2)/60</f>
        <v>8.3281333333333656</v>
      </c>
      <c r="D447" s="5">
        <f>'Raw Data'!J102</f>
        <v>4.6412800000000001</v>
      </c>
      <c r="E447" s="5">
        <f>$D$347-D447</f>
        <v>2.7651700000000003</v>
      </c>
      <c r="F447" s="8">
        <f>10^(-D447)</f>
        <v>2.2841256982941261E-5</v>
      </c>
      <c r="G447" s="5">
        <f>(D447-D446)/(C447-C446)</f>
        <v>-0.31734449760745304</v>
      </c>
      <c r="H447" s="5">
        <f>$B$9+$B$10*EXP(-$B$11*C447)</f>
        <v>4.7627349277616373</v>
      </c>
      <c r="I447" s="5">
        <f>D447-H447</f>
        <v>-0.12145492776163724</v>
      </c>
      <c r="J447" s="5">
        <f t="shared" si="13"/>
        <v>1.4751299477584521E-2</v>
      </c>
      <c r="K447" s="5">
        <f>$B$17+$B$16*C447</f>
        <v>5.1848583195418207</v>
      </c>
      <c r="L447" s="5">
        <f>(D447-K447)^2</f>
        <v>0.29547738947590968</v>
      </c>
      <c r="M447" s="5">
        <f>$B$40+$B$41*EXP(-$B$42*C447)</f>
        <v>0</v>
      </c>
      <c r="N447" s="5">
        <f>(D447-M447)^2</f>
        <v>21.5414800384</v>
      </c>
      <c r="O447" s="5">
        <f>(C447+C446)/2</f>
        <v>8.2863333333333387</v>
      </c>
      <c r="P447" s="5" t="str">
        <f>IF(AND(D446&gt;6,D447&lt;=6),C446+(6-D446)*(C447-C446)/(D447-D446),"")</f>
        <v/>
      </c>
      <c r="Q447" s="5" t="str">
        <f>IF(AND(D446&gt;5,D447&lt;=5),C446+(5-D446)*(C447-C446)/(D447-D446),"")</f>
        <v/>
      </c>
      <c r="R447" s="5" t="str">
        <f>IF(AND(D446&gt;4,D447&lt;=4),C446+(4-D446)*(C447-C446)/(D447-D446),"")</f>
        <v/>
      </c>
      <c r="S447" s="5" t="str">
        <f>IF(AND(D446&gt;3,D447&lt;=3),C446+(3-D446)*(C447-C446)/(D447-D446),"")</f>
        <v/>
      </c>
    </row>
    <row r="448" spans="1:19" ht="20.100000000000001" customHeight="1">
      <c r="A448" t="s">
        <v>2</v>
      </c>
      <c r="B448">
        <v>103</v>
      </c>
      <c r="C448" s="5">
        <f>('Raw Data'!C103-'Raw Data'!$C$2)/60</f>
        <v>8.4111999999999778</v>
      </c>
      <c r="D448" s="5">
        <f>'Raw Data'!J103</f>
        <v>4.63551</v>
      </c>
      <c r="E448" s="5">
        <f>$D$347-D448</f>
        <v>2.7709400000000004</v>
      </c>
      <c r="F448" s="8">
        <f>10^(-D448)</f>
        <v>2.3146748880427029E-5</v>
      </c>
      <c r="G448" s="5">
        <f>(D448-D447)/(C448-C447)</f>
        <v>-6.9462279293786136E-2</v>
      </c>
      <c r="H448" s="5">
        <f>$B$9+$B$10*EXP(-$B$11*C448)</f>
        <v>4.7483198071527468</v>
      </c>
      <c r="I448" s="5">
        <f>D448-H448</f>
        <v>-0.1128098071527468</v>
      </c>
      <c r="J448" s="5">
        <f t="shared" si="13"/>
        <v>1.2726052589839923E-2</v>
      </c>
      <c r="K448" s="5">
        <f>$B$17+$B$16*C448</f>
        <v>5.1708624268389034</v>
      </c>
      <c r="L448" s="5">
        <f>(D448-K448)^2</f>
        <v>0.28660222092230342</v>
      </c>
      <c r="M448" s="5">
        <f>$B$40+$B$41*EXP(-$B$42*C448)</f>
        <v>0</v>
      </c>
      <c r="N448" s="5">
        <f>(D448-M448)^2</f>
        <v>21.487952960099999</v>
      </c>
      <c r="O448" s="5">
        <f>(C448+C447)/2</f>
        <v>8.3696666666666708</v>
      </c>
      <c r="P448" s="5" t="str">
        <f>IF(AND(D447&gt;6,D448&lt;=6),C447+(6-D447)*(C448-C447)/(D448-D447),"")</f>
        <v/>
      </c>
      <c r="Q448" s="5" t="str">
        <f>IF(AND(D447&gt;5,D448&lt;=5),C447+(5-D447)*(C448-C447)/(D448-D447),"")</f>
        <v/>
      </c>
      <c r="R448" s="5" t="str">
        <f>IF(AND(D447&gt;4,D448&lt;=4),C447+(4-D447)*(C448-C447)/(D448-D447),"")</f>
        <v/>
      </c>
      <c r="S448" s="5" t="str">
        <f>IF(AND(D447&gt;3,D448&lt;=3),C447+(3-D447)*(C448-C447)/(D448-D447),"")</f>
        <v/>
      </c>
    </row>
    <row r="449" spans="1:19" ht="20.100000000000001" customHeight="1">
      <c r="A449" t="s">
        <v>2</v>
      </c>
      <c r="B449">
        <v>104</v>
      </c>
      <c r="C449" s="5">
        <f>('Raw Data'!C104-'Raw Data'!$C$2)/60</f>
        <v>8.4945333333333117</v>
      </c>
      <c r="D449" s="5">
        <f>'Raw Data'!J104</f>
        <v>4.6158999999999999</v>
      </c>
      <c r="E449" s="5">
        <f>$D$347-D449</f>
        <v>2.7905500000000005</v>
      </c>
      <c r="F449" s="8">
        <f>10^(-D449)</f>
        <v>2.4215865734606207E-5</v>
      </c>
      <c r="G449" s="5">
        <f>(D449-D448)/(C449-C448)</f>
        <v>-0.23531999999999986</v>
      </c>
      <c r="H449" s="5">
        <f>$B$9+$B$10*EXP(-$B$11*C449)</f>
        <v>4.734043427274548</v>
      </c>
      <c r="I449" s="5">
        <f>D449-H449</f>
        <v>-0.11814342727454807</v>
      </c>
      <c r="J449" s="5">
        <f t="shared" si="13"/>
        <v>1.395786940817643E-2</v>
      </c>
      <c r="K449" s="5">
        <f>$B$17+$B$16*C449</f>
        <v>5.1568216035012959</v>
      </c>
      <c r="L449" s="5">
        <f>(D449-K449)^2</f>
        <v>0.29259618113441332</v>
      </c>
      <c r="M449" s="5">
        <f>$B$40+$B$41*EXP(-$B$42*C449)</f>
        <v>0</v>
      </c>
      <c r="N449" s="5">
        <f>(D449-M449)^2</f>
        <v>21.30653281</v>
      </c>
      <c r="O449" s="5">
        <f>(C449+C448)/2</f>
        <v>8.4528666666666439</v>
      </c>
      <c r="P449" s="5" t="str">
        <f>IF(AND(D448&gt;6,D449&lt;=6),C448+(6-D448)*(C449-C448)/(D449-D448),"")</f>
        <v/>
      </c>
      <c r="Q449" s="5" t="str">
        <f>IF(AND(D448&gt;5,D449&lt;=5),C448+(5-D448)*(C449-C448)/(D449-D448),"")</f>
        <v/>
      </c>
      <c r="R449" s="5" t="str">
        <f>IF(AND(D448&gt;4,D449&lt;=4),C448+(4-D448)*(C449-C448)/(D449-D448),"")</f>
        <v/>
      </c>
      <c r="S449" s="5" t="str">
        <f>IF(AND(D448&gt;3,D449&lt;=3),C448+(3-D448)*(C449-C448)/(D449-D448),"")</f>
        <v/>
      </c>
    </row>
    <row r="450" spans="1:19" ht="20.100000000000001" customHeight="1">
      <c r="A450" t="s">
        <v>2</v>
      </c>
      <c r="B450">
        <v>105</v>
      </c>
      <c r="C450" s="5">
        <f>('Raw Data'!C105-'Raw Data'!$C$2)/60</f>
        <v>8.5778666666666439</v>
      </c>
      <c r="D450" s="5">
        <f>'Raw Data'!J105</f>
        <v>4.5985899999999997</v>
      </c>
      <c r="E450" s="5">
        <f>$D$347-D450</f>
        <v>2.8078600000000007</v>
      </c>
      <c r="F450" s="8">
        <f>10^(-D450)</f>
        <v>2.5200548878493714E-5</v>
      </c>
      <c r="G450" s="5">
        <f>(D450-D449)/(C450-C449)</f>
        <v>-0.20772000000000485</v>
      </c>
      <c r="H450" s="5">
        <f>$B$9+$B$10*EXP(-$B$11*C450)</f>
        <v>4.7199499889622762</v>
      </c>
      <c r="I450" s="5">
        <f>D450-H450</f>
        <v>-0.12135998896227651</v>
      </c>
      <c r="J450" s="5">
        <f t="shared" si="13"/>
        <v>1.4728246920923876E-2</v>
      </c>
      <c r="K450" s="5">
        <f>$B$17+$B$16*C450</f>
        <v>5.1427807801636893</v>
      </c>
      <c r="L450" s="5">
        <f>(D450-K450)^2</f>
        <v>0.29614360521516514</v>
      </c>
      <c r="M450" s="5">
        <f>$B$40+$B$41*EXP(-$B$42*C450)</f>
        <v>0</v>
      </c>
      <c r="N450" s="5">
        <f>(D450-M450)^2</f>
        <v>21.147029988099998</v>
      </c>
      <c r="O450" s="5">
        <f>(C450+C449)/2</f>
        <v>8.5361999999999778</v>
      </c>
      <c r="P450" s="5" t="str">
        <f>IF(AND(D449&gt;6,D450&lt;=6),C449+(6-D449)*(C450-C449)/(D450-D449),"")</f>
        <v/>
      </c>
      <c r="Q450" s="5" t="str">
        <f>IF(AND(D449&gt;5,D450&lt;=5),C449+(5-D449)*(C450-C449)/(D450-D449),"")</f>
        <v/>
      </c>
      <c r="R450" s="5" t="str">
        <f>IF(AND(D449&gt;4,D450&lt;=4),C449+(4-D449)*(C450-C449)/(D450-D449),"")</f>
        <v/>
      </c>
      <c r="S450" s="5" t="str">
        <f>IF(AND(D449&gt;3,D450&lt;=3),C449+(3-D449)*(C450-C449)/(D450-D449),"")</f>
        <v/>
      </c>
    </row>
    <row r="451" spans="1:19" ht="20.100000000000001" customHeight="1">
      <c r="A451" t="s">
        <v>2</v>
      </c>
      <c r="B451">
        <v>106</v>
      </c>
      <c r="C451" s="5">
        <f>('Raw Data'!C106-'Raw Data'!$C$2)/60</f>
        <v>8.6611999999999778</v>
      </c>
      <c r="D451" s="5">
        <f>'Raw Data'!J106</f>
        <v>4.5951300000000002</v>
      </c>
      <c r="E451" s="5">
        <f>$D$347-D451</f>
        <v>2.8113200000000003</v>
      </c>
      <c r="F451" s="8">
        <f>10^(-D451)</f>
        <v>2.5402122146126054E-5</v>
      </c>
      <c r="G451" s="5">
        <f>(D451-D450)/(C451-C450)</f>
        <v>-4.1519999999994596E-2</v>
      </c>
      <c r="H451" s="5">
        <f>$B$9+$B$10*EXP(-$B$11*C451)</f>
        <v>4.7060371479510099</v>
      </c>
      <c r="I451" s="5">
        <f>D451-H451</f>
        <v>-0.11090714795100975</v>
      </c>
      <c r="J451" s="5">
        <f t="shared" si="13"/>
        <v>1.2300395466627168E-2</v>
      </c>
      <c r="K451" s="5">
        <f>$B$17+$B$16*C451</f>
        <v>5.1287399568260827</v>
      </c>
      <c r="L451" s="5">
        <f>(D451-K451)^2</f>
        <v>0.28473958602393373</v>
      </c>
      <c r="M451" s="5">
        <f>$B$40+$B$41*EXP(-$B$42*C451)</f>
        <v>0</v>
      </c>
      <c r="N451" s="5">
        <f>(D451-M451)^2</f>
        <v>21.1152197169</v>
      </c>
      <c r="O451" s="5">
        <f>(C451+C450)/2</f>
        <v>8.6195333333333117</v>
      </c>
      <c r="P451" s="5" t="str">
        <f>IF(AND(D450&gt;6,D451&lt;=6),C450+(6-D450)*(C451-C450)/(D451-D450),"")</f>
        <v/>
      </c>
      <c r="Q451" s="5" t="str">
        <f>IF(AND(D450&gt;5,D451&lt;=5),C450+(5-D450)*(C451-C450)/(D451-D450),"")</f>
        <v/>
      </c>
      <c r="R451" s="5" t="str">
        <f>IF(AND(D450&gt;4,D451&lt;=4),C450+(4-D450)*(C451-C450)/(D451-D450),"")</f>
        <v/>
      </c>
      <c r="S451" s="5" t="str">
        <f>IF(AND(D450&gt;3,D451&lt;=3),C450+(3-D450)*(C451-C450)/(D451-D450),"")</f>
        <v/>
      </c>
    </row>
    <row r="452" spans="1:19" ht="20.100000000000001" customHeight="1">
      <c r="A452" t="s">
        <v>2</v>
      </c>
      <c r="B452">
        <v>107</v>
      </c>
      <c r="C452" s="5">
        <f>('Raw Data'!C107-'Raw Data'!$C$2)/60</f>
        <v>8.7442666666667108</v>
      </c>
      <c r="D452" s="5">
        <f>'Raw Data'!J107</f>
        <v>4.56168</v>
      </c>
      <c r="E452" s="5">
        <f>$D$347-D452</f>
        <v>2.8447700000000005</v>
      </c>
      <c r="F452" s="8">
        <f>10^(-D452)</f>
        <v>2.7435949828329833E-5</v>
      </c>
      <c r="G452" s="5">
        <f>(D452-D451)/(C452-C451)</f>
        <v>-0.40268860353098096</v>
      </c>
      <c r="H452" s="5">
        <f>$B$9+$B$10*EXP(-$B$11*C452)</f>
        <v>4.6923462586941955</v>
      </c>
      <c r="I452" s="5">
        <f>D452-H452</f>
        <v>-0.13066625869419557</v>
      </c>
      <c r="J452" s="5">
        <f t="shared" si="13"/>
        <v>1.7073671161138438E-2</v>
      </c>
      <c r="K452" s="5">
        <f>$B$17+$B$16*C452</f>
        <v>5.114744064123145</v>
      </c>
      <c r="L452" s="5">
        <f>(D452-K452)^2</f>
        <v>0.30587985902441028</v>
      </c>
      <c r="M452" s="5">
        <f>$B$40+$B$41*EXP(-$B$42*C452)</f>
        <v>0</v>
      </c>
      <c r="N452" s="5">
        <f>(D452-M452)^2</f>
        <v>20.808924422400001</v>
      </c>
      <c r="O452" s="5">
        <f>(C452+C451)/2</f>
        <v>8.7027333333333452</v>
      </c>
      <c r="P452" s="5" t="str">
        <f>IF(AND(D451&gt;6,D452&lt;=6),C451+(6-D451)*(C452-C451)/(D452-D451),"")</f>
        <v/>
      </c>
      <c r="Q452" s="5" t="str">
        <f>IF(AND(D451&gt;5,D452&lt;=5),C451+(5-D451)*(C452-C451)/(D452-D451),"")</f>
        <v/>
      </c>
      <c r="R452" s="5" t="str">
        <f>IF(AND(D451&gt;4,D452&lt;=4),C451+(4-D451)*(C452-C451)/(D452-D451),"")</f>
        <v/>
      </c>
      <c r="S452" s="5" t="str">
        <f>IF(AND(D451&gt;3,D452&lt;=3),C451+(3-D451)*(C452-C451)/(D452-D451),"")</f>
        <v/>
      </c>
    </row>
    <row r="453" spans="1:19" ht="20.100000000000001" customHeight="1">
      <c r="A453" t="s">
        <v>2</v>
      </c>
      <c r="B453">
        <v>108</v>
      </c>
      <c r="C453" s="5">
        <f>('Raw Data'!C108-'Raw Data'!$C$2)/60</f>
        <v>8.8278666666666439</v>
      </c>
      <c r="D453" s="5">
        <f>'Raw Data'!J108</f>
        <v>4.5547599999999999</v>
      </c>
      <c r="E453" s="5">
        <f>$D$347-D453</f>
        <v>2.8516900000000005</v>
      </c>
      <c r="F453" s="8">
        <f>10^(-D453)</f>
        <v>2.7876612615908247E-5</v>
      </c>
      <c r="G453" s="5">
        <f>(D453-D452)/(C453-C452)</f>
        <v>-8.2775119617291601E-2</v>
      </c>
      <c r="H453" s="5">
        <f>$B$9+$B$10*EXP(-$B$11*C453)</f>
        <v>4.6787440305872359</v>
      </c>
      <c r="I453" s="5">
        <f>D453-H453</f>
        <v>-0.12398403058723595</v>
      </c>
      <c r="J453" s="5">
        <f t="shared" si="13"/>
        <v>1.5372039840656659E-2</v>
      </c>
      <c r="K453" s="5">
        <f>$B$17+$B$16*C453</f>
        <v>5.1006583101508696</v>
      </c>
      <c r="L453" s="5">
        <f>(D453-K453)^2</f>
        <v>0.29800496502557505</v>
      </c>
      <c r="M453" s="5">
        <f>$B$40+$B$41*EXP(-$B$42*C453)</f>
        <v>0</v>
      </c>
      <c r="N453" s="5">
        <f>(D453-M453)^2</f>
        <v>20.7458386576</v>
      </c>
      <c r="O453" s="5">
        <f>(C453+C452)/2</f>
        <v>8.7860666666666773</v>
      </c>
      <c r="P453" s="5" t="str">
        <f>IF(AND(D452&gt;6,D453&lt;=6),C452+(6-D452)*(C453-C452)/(D453-D452),"")</f>
        <v/>
      </c>
      <c r="Q453" s="5" t="str">
        <f>IF(AND(D452&gt;5,D453&lt;=5),C452+(5-D452)*(C453-C452)/(D453-D452),"")</f>
        <v/>
      </c>
      <c r="R453" s="5" t="str">
        <f>IF(AND(D452&gt;4,D453&lt;=4),C452+(4-D452)*(C453-C452)/(D453-D452),"")</f>
        <v/>
      </c>
      <c r="S453" s="5" t="str">
        <f>IF(AND(D452&gt;3,D453&lt;=3),C452+(3-D452)*(C453-C452)/(D453-D452),"")</f>
        <v/>
      </c>
    </row>
    <row r="454" spans="1:19" ht="20.100000000000001" customHeight="1">
      <c r="A454" t="s">
        <v>2</v>
      </c>
      <c r="B454">
        <v>109</v>
      </c>
      <c r="C454" s="5">
        <f>('Raw Data'!C109-'Raw Data'!$C$2)/60</f>
        <v>8.9109333333333787</v>
      </c>
      <c r="D454" s="5">
        <f>'Raw Data'!J109</f>
        <v>4.5513000000000003</v>
      </c>
      <c r="E454" s="5">
        <f>$D$347-D454</f>
        <v>2.8551500000000001</v>
      </c>
      <c r="F454" s="8">
        <f>10^(-D454)</f>
        <v>2.8099591088424964E-5</v>
      </c>
      <c r="G454" s="5">
        <f>(D454-D453)/(C454-C453)</f>
        <v>-4.1653290529655745E-2</v>
      </c>
      <c r="H454" s="5">
        <f>$B$9+$B$10*EXP(-$B$11*C454)</f>
        <v>4.6654017710537943</v>
      </c>
      <c r="I454" s="5">
        <f>D454-H454</f>
        <v>-0.11410177105379393</v>
      </c>
      <c r="J454" s="5">
        <f t="shared" si="13"/>
        <v>1.3019214157612407E-2</v>
      </c>
      <c r="K454" s="5">
        <f>$B$17+$B$16*C454</f>
        <v>5.0866624174479309</v>
      </c>
      <c r="L454" s="5">
        <f>(D454-K454)^2</f>
        <v>0.28661291801569228</v>
      </c>
      <c r="M454" s="5">
        <f>$B$40+$B$41*EXP(-$B$42*C454)</f>
        <v>0</v>
      </c>
      <c r="N454" s="5">
        <f>(D454-M454)^2</f>
        <v>20.714331690000002</v>
      </c>
      <c r="O454" s="5">
        <f>(C454+C453)/2</f>
        <v>8.8694000000000113</v>
      </c>
      <c r="P454" s="5" t="str">
        <f>IF(AND(D453&gt;6,D454&lt;=6),C453+(6-D453)*(C454-C453)/(D454-D453),"")</f>
        <v/>
      </c>
      <c r="Q454" s="5" t="str">
        <f>IF(AND(D453&gt;5,D454&lt;=5),C453+(5-D453)*(C454-C453)/(D454-D453),"")</f>
        <v/>
      </c>
      <c r="R454" s="5" t="str">
        <f>IF(AND(D453&gt;4,D454&lt;=4),C453+(4-D453)*(C454-C453)/(D454-D453),"")</f>
        <v/>
      </c>
      <c r="S454" s="5" t="str">
        <f>IF(AND(D453&gt;3,D454&lt;=3),C453+(3-D453)*(C454-C453)/(D454-D453),"")</f>
        <v/>
      </c>
    </row>
    <row r="455" spans="1:19" ht="20.100000000000001" customHeight="1">
      <c r="A455" t="s">
        <v>2</v>
      </c>
      <c r="B455">
        <v>110</v>
      </c>
      <c r="C455" s="5">
        <f>('Raw Data'!C110-'Raw Data'!$C$2)/60</f>
        <v>8.9942666666667108</v>
      </c>
      <c r="D455" s="5">
        <f>'Raw Data'!J110</f>
        <v>4.5293799999999997</v>
      </c>
      <c r="E455" s="5">
        <f>$D$347-D455</f>
        <v>2.8770700000000007</v>
      </c>
      <c r="F455" s="8">
        <f>10^(-D455)</f>
        <v>2.9554253898838489E-5</v>
      </c>
      <c r="G455" s="5">
        <f>(D455-D454)/(C455-C454)</f>
        <v>-0.26304000000001099</v>
      </c>
      <c r="H455" s="5">
        <f>$B$9+$B$10*EXP(-$B$11*C455)</f>
        <v>4.6521879263208437</v>
      </c>
      <c r="I455" s="5">
        <f>D455-H455</f>
        <v>-0.12280792632084392</v>
      </c>
      <c r="J455" s="5">
        <f t="shared" si="13"/>
        <v>1.5081786767225828E-2</v>
      </c>
      <c r="K455" s="5">
        <f>$B$17+$B$16*C455</f>
        <v>5.0726215941103252</v>
      </c>
      <c r="L455" s="5">
        <f>(D455-K455)^2</f>
        <v>0.29511142957152758</v>
      </c>
      <c r="M455" s="5">
        <f>$B$40+$B$41*EXP(-$B$42*C455)</f>
        <v>0</v>
      </c>
      <c r="N455" s="5">
        <f>(D455-M455)^2</f>
        <v>20.515283184399998</v>
      </c>
      <c r="O455" s="5">
        <f>(C455+C454)/2</f>
        <v>8.9526000000000447</v>
      </c>
      <c r="P455" s="5" t="str">
        <f>IF(AND(D454&gt;6,D455&lt;=6),C454+(6-D454)*(C455-C454)/(D455-D454),"")</f>
        <v/>
      </c>
      <c r="Q455" s="5" t="str">
        <f>IF(AND(D454&gt;5,D455&lt;=5),C454+(5-D454)*(C455-C454)/(D455-D454),"")</f>
        <v/>
      </c>
      <c r="R455" s="5" t="str">
        <f>IF(AND(D454&gt;4,D455&lt;=4),C454+(4-D454)*(C455-C454)/(D455-D454),"")</f>
        <v/>
      </c>
      <c r="S455" s="5" t="str">
        <f>IF(AND(D454&gt;3,D455&lt;=3),C454+(3-D454)*(C455-C454)/(D455-D454),"")</f>
        <v/>
      </c>
    </row>
    <row r="456" spans="1:19" ht="20.100000000000001" customHeight="1">
      <c r="A456" t="s">
        <v>2</v>
      </c>
      <c r="B456">
        <v>111</v>
      </c>
      <c r="C456" s="5">
        <f>('Raw Data'!C111-'Raw Data'!$C$2)/60</f>
        <v>9.0776000000000447</v>
      </c>
      <c r="D456" s="5">
        <f>'Raw Data'!J111</f>
        <v>4.5236099999999997</v>
      </c>
      <c r="E456" s="5">
        <f>$D$347-D456</f>
        <v>2.8828400000000007</v>
      </c>
      <c r="F456" s="8">
        <f>10^(-D456)</f>
        <v>2.9949529216176552E-5</v>
      </c>
      <c r="G456" s="5">
        <f>(D456-D455)/(C456-C455)</f>
        <v>-6.9240000000000149E-2</v>
      </c>
      <c r="H456" s="5">
        <f>$B$9+$B$10*EXP(-$B$11*C456)</f>
        <v>4.6391434075282216</v>
      </c>
      <c r="I456" s="5">
        <f>D456-H456</f>
        <v>-0.11553340752822194</v>
      </c>
      <c r="J456" s="5">
        <f t="shared" si="13"/>
        <v>1.3347968255082211E-2</v>
      </c>
      <c r="K456" s="5">
        <f>$B$17+$B$16*C456</f>
        <v>5.0585807707727177</v>
      </c>
      <c r="L456" s="5">
        <f>(D456-K456)^2</f>
        <v>0.28619372558115602</v>
      </c>
      <c r="M456" s="5">
        <f>$B$40+$B$41*EXP(-$B$42*C456)</f>
        <v>0</v>
      </c>
      <c r="N456" s="5">
        <f>(D456-M456)^2</f>
        <v>20.463047432099998</v>
      </c>
      <c r="O456" s="5">
        <f>(C456+C455)/2</f>
        <v>9.0359333333333787</v>
      </c>
      <c r="P456" s="5" t="str">
        <f>IF(AND(D455&gt;6,D456&lt;=6),C455+(6-D455)*(C456-C455)/(D456-D455),"")</f>
        <v/>
      </c>
      <c r="Q456" s="5" t="str">
        <f>IF(AND(D455&gt;5,D456&lt;=5),C455+(5-D455)*(C456-C455)/(D456-D455),"")</f>
        <v/>
      </c>
      <c r="R456" s="5" t="str">
        <f>IF(AND(D455&gt;4,D456&lt;=4),C455+(4-D455)*(C456-C455)/(D456-D455),"")</f>
        <v/>
      </c>
      <c r="S456" s="5" t="str">
        <f>IF(AND(D455&gt;3,D456&lt;=3),C455+(3-D455)*(C456-C455)/(D456-D455),"")</f>
        <v/>
      </c>
    </row>
    <row r="457" spans="1:19" ht="20.100000000000001" customHeight="1">
      <c r="A457" t="s">
        <v>2</v>
      </c>
      <c r="B457">
        <v>112</v>
      </c>
      <c r="C457" s="5">
        <f>('Raw Data'!C112-'Raw Data'!$C$2)/60</f>
        <v>9.1609333333333787</v>
      </c>
      <c r="D457" s="5">
        <f>'Raw Data'!J112</f>
        <v>4.50746</v>
      </c>
      <c r="E457" s="5">
        <f>$D$347-D457</f>
        <v>2.8989900000000004</v>
      </c>
      <c r="F457" s="8">
        <f>10^(-D457)</f>
        <v>3.1084221858189578E-5</v>
      </c>
      <c r="G457" s="5">
        <f>(D457-D456)/(C457-C456)</f>
        <v>-0.19379999999999459</v>
      </c>
      <c r="H457" s="5">
        <f>$B$9+$B$10*EXP(-$B$11*C457)</f>
        <v>4.6262660448854795</v>
      </c>
      <c r="I457" s="5">
        <f>D457-H457</f>
        <v>-0.11880604488547952</v>
      </c>
      <c r="J457" s="5">
        <f t="shared" si="13"/>
        <v>1.4114876301330575E-2</v>
      </c>
      <c r="K457" s="5">
        <f>$B$17+$B$16*C457</f>
        <v>5.0445399474351111</v>
      </c>
      <c r="L457" s="5">
        <f>(D457-K457)^2</f>
        <v>0.28845486993690173</v>
      </c>
      <c r="M457" s="5">
        <f>$B$40+$B$41*EXP(-$B$42*C457)</f>
        <v>0</v>
      </c>
      <c r="N457" s="5">
        <f>(D457-M457)^2</f>
        <v>20.317195651599999</v>
      </c>
      <c r="O457" s="5">
        <f>(C457+C456)/2</f>
        <v>9.1192666666667108</v>
      </c>
      <c r="P457" s="5" t="str">
        <f>IF(AND(D456&gt;6,D457&lt;=6),C456+(6-D456)*(C457-C456)/(D457-D456),"")</f>
        <v/>
      </c>
      <c r="Q457" s="5" t="str">
        <f>IF(AND(D456&gt;5,D457&lt;=5),C456+(5-D456)*(C457-C456)/(D457-D456),"")</f>
        <v/>
      </c>
      <c r="R457" s="5" t="str">
        <f>IF(AND(D456&gt;4,D457&lt;=4),C456+(4-D456)*(C457-C456)/(D457-D456),"")</f>
        <v/>
      </c>
      <c r="S457" s="5" t="str">
        <f>IF(AND(D456&gt;3,D457&lt;=3),C456+(3-D456)*(C457-C456)/(D457-D456),"")</f>
        <v/>
      </c>
    </row>
    <row r="458" spans="1:19" ht="20.100000000000001" customHeight="1">
      <c r="A458" t="s">
        <v>2</v>
      </c>
      <c r="B458">
        <v>113</v>
      </c>
      <c r="C458" s="5">
        <f>('Raw Data'!C113-'Raw Data'!$C$2)/60</f>
        <v>9.2440166666667203</v>
      </c>
      <c r="D458" s="5">
        <f>'Raw Data'!J113</f>
        <v>4.4878499999999999</v>
      </c>
      <c r="E458" s="5">
        <f>$D$347-D458</f>
        <v>2.9186000000000005</v>
      </c>
      <c r="F458" s="8">
        <f>10^(-D458)</f>
        <v>3.2519959795267079E-5</v>
      </c>
      <c r="G458" s="5">
        <f>(D458-D457)/(C458-C457)</f>
        <v>-0.23602808425273628</v>
      </c>
      <c r="H458" s="5">
        <f>$B$9+$B$10*EXP(-$B$11*C458)</f>
        <v>4.6135915887850647</v>
      </c>
      <c r="I458" s="5">
        <f>D458-H458</f>
        <v>-0.12574158878506481</v>
      </c>
      <c r="J458" s="5">
        <f t="shared" si="13"/>
        <v>1.5810947150192337E-2</v>
      </c>
      <c r="K458" s="5">
        <f>$B$17+$B$16*C458</f>
        <v>5.0305412465675161</v>
      </c>
      <c r="L458" s="5">
        <f>(D458-K458)^2</f>
        <v>0.29451378910100467</v>
      </c>
      <c r="M458" s="5">
        <f>$B$40+$B$41*EXP(-$B$42*C458)</f>
        <v>0</v>
      </c>
      <c r="N458" s="5">
        <f>(D458-M458)^2</f>
        <v>20.140797622499999</v>
      </c>
      <c r="O458" s="5">
        <f>(C458+C457)/2</f>
        <v>9.2024750000000495</v>
      </c>
      <c r="P458" s="5" t="str">
        <f>IF(AND(D457&gt;6,D458&lt;=6),C457+(6-D457)*(C458-C457)/(D458-D457),"")</f>
        <v/>
      </c>
      <c r="Q458" s="5" t="str">
        <f>IF(AND(D457&gt;5,D458&lt;=5),C457+(5-D457)*(C458-C457)/(D458-D457),"")</f>
        <v/>
      </c>
      <c r="R458" s="5" t="str">
        <f>IF(AND(D457&gt;4,D458&lt;=4),C457+(4-D457)*(C458-C457)/(D458-D457),"")</f>
        <v/>
      </c>
      <c r="S458" s="5" t="str">
        <f>IF(AND(D457&gt;3,D458&lt;=3),C457+(3-D457)*(C458-C457)/(D458-D457),"")</f>
        <v/>
      </c>
    </row>
    <row r="459" spans="1:19" ht="20.100000000000001" customHeight="1">
      <c r="A459" t="s">
        <v>2</v>
      </c>
      <c r="B459">
        <v>114</v>
      </c>
      <c r="C459" s="5">
        <f>('Raw Data'!C114-'Raw Data'!$C$2)/60</f>
        <v>9.3276000000000447</v>
      </c>
      <c r="D459" s="5">
        <f>'Raw Data'!J114</f>
        <v>4.4809299999999999</v>
      </c>
      <c r="E459" s="5">
        <f>$D$347-D459</f>
        <v>2.9255200000000006</v>
      </c>
      <c r="F459" s="8">
        <f>10^(-D459)</f>
        <v>3.3042279460705567E-5</v>
      </c>
      <c r="G459" s="5">
        <f>(D459-D458)/(C459-C458)</f>
        <v>-8.2791625124635351E-2</v>
      </c>
      <c r="H459" s="5">
        <f>$B$9+$B$10*EXP(-$B$11*C459)</f>
        <v>4.6010042475530994</v>
      </c>
      <c r="I459" s="5">
        <f>D459-H459</f>
        <v>-0.12007424755309959</v>
      </c>
      <c r="J459" s="5">
        <f t="shared" si="13"/>
        <v>1.4417824925443043E-2</v>
      </c>
      <c r="K459" s="5">
        <f>$B$17+$B$16*C459</f>
        <v>5.016458300759898</v>
      </c>
      <c r="L459" s="5">
        <f>(D459-K459)^2</f>
        <v>0.28679056091478389</v>
      </c>
      <c r="M459" s="5">
        <f>$B$40+$B$41*EXP(-$B$42*C459)</f>
        <v>0</v>
      </c>
      <c r="N459" s="5">
        <f>(D459-M459)^2</f>
        <v>20.0787336649</v>
      </c>
      <c r="O459" s="5">
        <f>(C459+C458)/2</f>
        <v>9.2858083333333816</v>
      </c>
      <c r="P459" s="5" t="str">
        <f>IF(AND(D458&gt;6,D459&lt;=6),C458+(6-D458)*(C459-C458)/(D459-D458),"")</f>
        <v/>
      </c>
      <c r="Q459" s="5" t="str">
        <f>IF(AND(D458&gt;5,D459&lt;=5),C458+(5-D458)*(C459-C458)/(D459-D458),"")</f>
        <v/>
      </c>
      <c r="R459" s="5" t="str">
        <f>IF(AND(D458&gt;4,D459&lt;=4),C458+(4-D458)*(C459-C458)/(D459-D458),"")</f>
        <v/>
      </c>
      <c r="S459" s="5" t="str">
        <f>IF(AND(D458&gt;3,D459&lt;=3),C458+(3-D458)*(C459-C458)/(D459-D458),"")</f>
        <v/>
      </c>
    </row>
    <row r="460" spans="1:19" ht="20.100000000000001" customHeight="1">
      <c r="A460" t="s">
        <v>2</v>
      </c>
      <c r="B460">
        <v>115</v>
      </c>
      <c r="C460" s="5">
        <f>('Raw Data'!C115-'Raw Data'!$C$2)/60</f>
        <v>9.4106833333333881</v>
      </c>
      <c r="D460" s="5">
        <f>'Raw Data'!J115</f>
        <v>4.4717000000000002</v>
      </c>
      <c r="E460" s="5">
        <f>$D$347-D460</f>
        <v>2.9347500000000002</v>
      </c>
      <c r="F460" s="8">
        <f>10^(-D460)</f>
        <v>3.3752037896792575E-5</v>
      </c>
      <c r="G460" s="5">
        <f>(D460-D459)/(C460-C459)</f>
        <v>-0.11109327983950062</v>
      </c>
      <c r="H460" s="5">
        <f>$B$9+$B$10*EXP(-$B$11*C460)</f>
        <v>4.5886525383569445</v>
      </c>
      <c r="I460" s="5">
        <f>D460-H460</f>
        <v>-0.1169525383569443</v>
      </c>
      <c r="J460" s="5">
        <f t="shared" si="13"/>
        <v>1.3677896228132529E-2</v>
      </c>
      <c r="K460" s="5">
        <f>$B$17+$B$16*C460</f>
        <v>5.002459599892302</v>
      </c>
      <c r="L460" s="5">
        <f>(D460-K460)^2</f>
        <v>0.28170575287783634</v>
      </c>
      <c r="M460" s="5">
        <f>$B$40+$B$41*EXP(-$B$42*C460)</f>
        <v>0</v>
      </c>
      <c r="N460" s="5">
        <f>(D460-M460)^2</f>
        <v>19.996100890000001</v>
      </c>
      <c r="O460" s="5">
        <f>(C460+C459)/2</f>
        <v>9.3691416666667173</v>
      </c>
      <c r="P460" s="5" t="str">
        <f>IF(AND(D459&gt;6,D460&lt;=6),C459+(6-D459)*(C460-C459)/(D460-D459),"")</f>
        <v/>
      </c>
      <c r="Q460" s="5" t="str">
        <f>IF(AND(D459&gt;5,D460&lt;=5),C459+(5-D459)*(C460-C459)/(D460-D459),"")</f>
        <v/>
      </c>
      <c r="R460" s="5" t="str">
        <f>IF(AND(D459&gt;4,D460&lt;=4),C459+(4-D459)*(C460-C459)/(D460-D459),"")</f>
        <v/>
      </c>
      <c r="S460" s="5" t="str">
        <f>IF(AND(D459&gt;3,D460&lt;=3),C459+(3-D459)*(C460-C459)/(D460-D459),"")</f>
        <v/>
      </c>
    </row>
    <row r="461" spans="1:19" ht="20.100000000000001" customHeight="1">
      <c r="A461" t="s">
        <v>2</v>
      </c>
      <c r="B461">
        <v>116</v>
      </c>
      <c r="C461" s="5">
        <f>('Raw Data'!C116-'Raw Data'!$C$2)/60</f>
        <v>9.4940166666667203</v>
      </c>
      <c r="D461" s="5">
        <f>'Raw Data'!J116</f>
        <v>4.4532400000000001</v>
      </c>
      <c r="E461" s="5">
        <f>$D$347-D461</f>
        <v>2.9532100000000003</v>
      </c>
      <c r="F461" s="8">
        <f>10^(-D461)</f>
        <v>3.5217619749816108E-5</v>
      </c>
      <c r="G461" s="5">
        <f>(D461-D460)/(C461-C460)</f>
        <v>-0.22152000000000485</v>
      </c>
      <c r="H461" s="5">
        <f>$B$9+$B$10*EXP(-$B$11*C461)</f>
        <v>4.5764221799792892</v>
      </c>
      <c r="I461" s="5">
        <f>D461-H461</f>
        <v>-0.12318217997928915</v>
      </c>
      <c r="J461" s="5">
        <f t="shared" si="13"/>
        <v>1.5173849464449985E-2</v>
      </c>
      <c r="K461" s="5">
        <f>$B$17+$B$16*C461</f>
        <v>4.9884187765546955</v>
      </c>
      <c r="L461" s="5">
        <f>(D461-K461)^2</f>
        <v>0.28641632287458058</v>
      </c>
      <c r="M461" s="5">
        <f>$B$40+$B$41*EXP(-$B$42*C461)</f>
        <v>0</v>
      </c>
      <c r="N461" s="5">
        <f>(D461-M461)^2</f>
        <v>19.831346497600002</v>
      </c>
      <c r="O461" s="5">
        <f>(C461+C460)/2</f>
        <v>9.4523500000000542</v>
      </c>
      <c r="P461" s="5" t="str">
        <f>IF(AND(D460&gt;6,D461&lt;=6),C460+(6-D460)*(C461-C460)/(D461-D460),"")</f>
        <v/>
      </c>
      <c r="Q461" s="5" t="str">
        <f>IF(AND(D460&gt;5,D461&lt;=5),C460+(5-D460)*(C461-C460)/(D461-D460),"")</f>
        <v/>
      </c>
      <c r="R461" s="5" t="str">
        <f>IF(AND(D460&gt;4,D461&lt;=4),C460+(4-D460)*(C461-C460)/(D461-D460),"")</f>
        <v/>
      </c>
      <c r="S461" s="5" t="str">
        <f>IF(AND(D460&gt;3,D461&lt;=3),C460+(3-D460)*(C461-C460)/(D461-D460),"")</f>
        <v/>
      </c>
    </row>
    <row r="462" spans="1:19" ht="20.100000000000001" customHeight="1">
      <c r="A462" t="s">
        <v>2</v>
      </c>
      <c r="B462">
        <v>117</v>
      </c>
      <c r="C462" s="5">
        <f>('Raw Data'!C117-'Raw Data'!$C$2)/60</f>
        <v>9.5773500000000542</v>
      </c>
      <c r="D462" s="5">
        <f>'Raw Data'!J117</f>
        <v>4.4451599999999996</v>
      </c>
      <c r="E462" s="5">
        <f>$D$347-D462</f>
        <v>2.9612900000000009</v>
      </c>
      <c r="F462" s="8">
        <f>10^(-D462)</f>
        <v>3.5878972727259653E-5</v>
      </c>
      <c r="G462" s="5">
        <f>(D462-D461)/(C462-C461)</f>
        <v>-9.6960000000005681E-2</v>
      </c>
      <c r="H462" s="5">
        <f>$B$9+$B$10*EXP(-$B$11*C462)</f>
        <v>4.5643485448698957</v>
      </c>
      <c r="I462" s="5">
        <f>D462-H462</f>
        <v>-0.11918854486989616</v>
      </c>
      <c r="J462" s="5">
        <f t="shared" si="13"/>
        <v>1.4205909228203251E-2</v>
      </c>
      <c r="K462" s="5">
        <f>$B$17+$B$16*C462</f>
        <v>4.9743779532170889</v>
      </c>
      <c r="L462" s="5">
        <f>(D462-K462)^2</f>
        <v>0.28007164200728535</v>
      </c>
      <c r="M462" s="5">
        <f>$B$40+$B$41*EXP(-$B$42*C462)</f>
        <v>0</v>
      </c>
      <c r="N462" s="5">
        <f>(D462-M462)^2</f>
        <v>19.759447425599998</v>
      </c>
      <c r="O462" s="5">
        <f>(C462+C461)/2</f>
        <v>9.5356833333333881</v>
      </c>
      <c r="P462" s="5" t="str">
        <f>IF(AND(D461&gt;6,D462&lt;=6),C461+(6-D461)*(C462-C461)/(D462-D461),"")</f>
        <v/>
      </c>
      <c r="Q462" s="5" t="str">
        <f>IF(AND(D461&gt;5,D462&lt;=5),C461+(5-D461)*(C462-C461)/(D462-D461),"")</f>
        <v/>
      </c>
      <c r="R462" s="5" t="str">
        <f>IF(AND(D461&gt;4,D462&lt;=4),C461+(4-D461)*(C462-C461)/(D462-D461),"")</f>
        <v/>
      </c>
      <c r="S462" s="5" t="str">
        <f>IF(AND(D461&gt;3,D462&lt;=3),C461+(3-D461)*(C462-C461)/(D462-D461),"")</f>
        <v/>
      </c>
    </row>
    <row r="463" spans="1:19" ht="20.100000000000001" customHeight="1">
      <c r="A463" t="s">
        <v>2</v>
      </c>
      <c r="B463">
        <v>118</v>
      </c>
      <c r="C463" s="5">
        <f>('Raw Data'!C118-'Raw Data'!$C$2)/60</f>
        <v>9.6606833333333881</v>
      </c>
      <c r="D463" s="5">
        <f>'Raw Data'!J118</f>
        <v>4.4290099999999999</v>
      </c>
      <c r="E463" s="5">
        <f>$D$347-D463</f>
        <v>2.9774400000000005</v>
      </c>
      <c r="F463" s="8">
        <f>10^(-D463)</f>
        <v>3.723831317173709E-5</v>
      </c>
      <c r="G463" s="5">
        <f>(D463-D462)/(C463-C462)</f>
        <v>-0.19379999999999459</v>
      </c>
      <c r="H463" s="5">
        <f>$B$9+$B$10*EXP(-$B$11*C463)</f>
        <v>4.5524296247325164</v>
      </c>
      <c r="I463" s="5">
        <f>D463-H463</f>
        <v>-0.12341962473251655</v>
      </c>
      <c r="J463" s="5">
        <f t="shared" si="13"/>
        <v>1.5232403769115211E-2</v>
      </c>
      <c r="K463" s="5">
        <f>$B$17+$B$16*C463</f>
        <v>4.9603371298794823</v>
      </c>
      <c r="L463" s="5">
        <f>(D463-K463)^2</f>
        <v>0.28230851894596837</v>
      </c>
      <c r="M463" s="5">
        <f>$B$40+$B$41*EXP(-$B$42*C463)</f>
        <v>0</v>
      </c>
      <c r="N463" s="5">
        <f>(D463-M463)^2</f>
        <v>19.616129580099997</v>
      </c>
      <c r="O463" s="5">
        <f>(C463+C462)/2</f>
        <v>9.6190166666667203</v>
      </c>
      <c r="P463" s="5" t="str">
        <f>IF(AND(D462&gt;6,D463&lt;=6),C462+(6-D462)*(C463-C462)/(D463-D462),"")</f>
        <v/>
      </c>
      <c r="Q463" s="5" t="str">
        <f>IF(AND(D462&gt;5,D463&lt;=5),C462+(5-D462)*(C463-C462)/(D463-D462),"")</f>
        <v/>
      </c>
      <c r="R463" s="5" t="str">
        <f>IF(AND(D462&gt;4,D463&lt;=4),C462+(4-D462)*(C463-C462)/(D463-D462),"")</f>
        <v/>
      </c>
      <c r="S463" s="5" t="str">
        <f>IF(AND(D462&gt;3,D463&lt;=3),C462+(3-D462)*(C463-C462)/(D463-D462),"")</f>
        <v/>
      </c>
    </row>
    <row r="464" spans="1:19" ht="20.100000000000001" customHeight="1">
      <c r="A464" t="s">
        <v>2</v>
      </c>
      <c r="B464">
        <v>119</v>
      </c>
      <c r="C464" s="5">
        <f>('Raw Data'!C119-'Raw Data'!$C$2)/60</f>
        <v>9.7437500000000004</v>
      </c>
      <c r="D464" s="5">
        <f>'Raw Data'!J119</f>
        <v>4.4220899999999999</v>
      </c>
      <c r="E464" s="5">
        <f>$D$347-D464</f>
        <v>2.9843600000000006</v>
      </c>
      <c r="F464" s="8">
        <f>10^(-D464)</f>
        <v>3.7836416717983981E-5</v>
      </c>
      <c r="G464" s="5">
        <f>(D464-D463)/(C464-C463)</f>
        <v>-8.3306581059445092E-2</v>
      </c>
      <c r="H464" s="5">
        <f>$B$9+$B$10*EXP(-$B$11*C464)</f>
        <v>4.5407008473009842</v>
      </c>
      <c r="I464" s="5">
        <f>D464-H464</f>
        <v>-0.11861084730098437</v>
      </c>
      <c r="J464" s="5">
        <f t="shared" si="13"/>
        <v>1.406853309745743E-2</v>
      </c>
      <c r="K464" s="5">
        <f>$B$17+$B$16*C464</f>
        <v>4.9463412371765649</v>
      </c>
      <c r="L464" s="5">
        <f>(D464-K464)^2</f>
        <v>0.27483935968115908</v>
      </c>
      <c r="M464" s="5">
        <f>$B$40+$B$41*EXP(-$B$42*C464)</f>
        <v>0</v>
      </c>
      <c r="N464" s="5">
        <f>(D464-M464)^2</f>
        <v>19.5548799681</v>
      </c>
      <c r="O464" s="5">
        <f>(C464+C463)/2</f>
        <v>9.7022166666666934</v>
      </c>
      <c r="P464" s="5" t="str">
        <f>IF(AND(D463&gt;6,D464&lt;=6),C463+(6-D463)*(C464-C463)/(D464-D463),"")</f>
        <v/>
      </c>
      <c r="Q464" s="5" t="str">
        <f>IF(AND(D463&gt;5,D464&lt;=5),C463+(5-D463)*(C464-C463)/(D464-D463),"")</f>
        <v/>
      </c>
      <c r="R464" s="5" t="str">
        <f>IF(AND(D463&gt;4,D464&lt;=4),C463+(4-D463)*(C464-C463)/(D464-D463),"")</f>
        <v/>
      </c>
      <c r="S464" s="5" t="str">
        <f>IF(AND(D463&gt;3,D464&lt;=3),C463+(3-D463)*(C464-C463)/(D464-D463),"")</f>
        <v/>
      </c>
    </row>
    <row r="465" spans="1:19" ht="20.100000000000001" customHeight="1">
      <c r="A465" t="s">
        <v>2</v>
      </c>
      <c r="B465">
        <v>120</v>
      </c>
      <c r="C465" s="5">
        <f>('Raw Data'!C120-'Raw Data'!$C$2)/60</f>
        <v>9.8270833333333325</v>
      </c>
      <c r="D465" s="5">
        <f>'Raw Data'!J120</f>
        <v>4.4082499999999998</v>
      </c>
      <c r="E465" s="5">
        <f>$D$347-D465</f>
        <v>2.9982000000000006</v>
      </c>
      <c r="F465" s="8">
        <f>10^(-D465)</f>
        <v>3.9061597443108865E-5</v>
      </c>
      <c r="G465" s="5">
        <f>(D465-D464)/(C465-C464)</f>
        <v>-0.16608000000000325</v>
      </c>
      <c r="H465" s="5">
        <f>$B$9+$B$10*EXP(-$B$11*C465)</f>
        <v>4.5290849554425332</v>
      </c>
      <c r="I465" s="5">
        <f>D465-H465</f>
        <v>-0.12083495544253342</v>
      </c>
      <c r="J465" s="5">
        <f t="shared" si="13"/>
        <v>1.4601086456799037E-2</v>
      </c>
      <c r="K465" s="5">
        <f>$B$17+$B$16*C465</f>
        <v>4.9323004138389583</v>
      </c>
      <c r="L465" s="5">
        <f>(D465-K465)^2</f>
        <v>0.27462883624478374</v>
      </c>
      <c r="M465" s="5">
        <f>$B$40+$B$41*EXP(-$B$42*C465)</f>
        <v>0</v>
      </c>
      <c r="N465" s="5">
        <f>(D465-M465)^2</f>
        <v>19.432668062499999</v>
      </c>
      <c r="O465" s="5">
        <f>(C465+C464)/2</f>
        <v>9.7854166666666664</v>
      </c>
      <c r="P465" s="5" t="str">
        <f>IF(AND(D464&gt;6,D465&lt;=6),C464+(6-D464)*(C465-C464)/(D465-D464),"")</f>
        <v/>
      </c>
      <c r="Q465" s="5" t="str">
        <f>IF(AND(D464&gt;5,D465&lt;=5),C464+(5-D464)*(C465-C464)/(D465-D464),"")</f>
        <v/>
      </c>
      <c r="R465" s="5" t="str">
        <f>IF(AND(D464&gt;4,D465&lt;=4),C464+(4-D464)*(C465-C464)/(D465-D464),"")</f>
        <v/>
      </c>
      <c r="S465" s="5" t="str">
        <f>IF(AND(D464&gt;3,D465&lt;=3),C464+(3-D464)*(C465-C464)/(D465-D464),"")</f>
        <v/>
      </c>
    </row>
    <row r="466" spans="1:19" ht="20.100000000000001" customHeight="1">
      <c r="A466" t="s">
        <v>2</v>
      </c>
      <c r="B466">
        <v>121</v>
      </c>
      <c r="C466" s="5">
        <f>('Raw Data'!C121-'Raw Data'!$C$2)/60</f>
        <v>9.9104166666666664</v>
      </c>
      <c r="D466" s="5">
        <f>'Raw Data'!J121</f>
        <v>4.3967099999999997</v>
      </c>
      <c r="E466" s="5">
        <f>$D$347-D466</f>
        <v>3.0097400000000007</v>
      </c>
      <c r="F466" s="8">
        <f>10^(-D466)</f>
        <v>4.0113448563955769E-5</v>
      </c>
      <c r="G466" s="5">
        <f>(D466-D465)/(C466-C465)</f>
        <v>-0.1384800000000003</v>
      </c>
      <c r="H466" s="5">
        <f>$B$9+$B$10*EXP(-$B$11*C466)</f>
        <v>4.5176179129047336</v>
      </c>
      <c r="I466" s="5">
        <f>D466-H466</f>
        <v>-0.12090791290473391</v>
      </c>
      <c r="J466" s="5">
        <f t="shared" si="13"/>
        <v>1.461872340297872E-2</v>
      </c>
      <c r="K466" s="5">
        <f>$B$17+$B$16*C466</f>
        <v>4.9182595905013518</v>
      </c>
      <c r="L466" s="5">
        <f>(D466-K466)^2</f>
        <v>0.27201397535212807</v>
      </c>
      <c r="M466" s="5">
        <f>$B$40+$B$41*EXP(-$B$42*C466)</f>
        <v>0</v>
      </c>
      <c r="N466" s="5">
        <f>(D466-M466)^2</f>
        <v>19.331058824099998</v>
      </c>
      <c r="O466" s="5">
        <f>(C466+C465)/2</f>
        <v>9.8687499999999986</v>
      </c>
      <c r="P466" s="5" t="str">
        <f>IF(AND(D465&gt;6,D466&lt;=6),C465+(6-D465)*(C466-C465)/(D466-D465),"")</f>
        <v/>
      </c>
      <c r="Q466" s="5" t="str">
        <f>IF(AND(D465&gt;5,D466&lt;=5),C465+(5-D465)*(C466-C465)/(D466-D465),"")</f>
        <v/>
      </c>
      <c r="R466" s="5" t="str">
        <f>IF(AND(D465&gt;4,D466&lt;=4),C465+(4-D465)*(C466-C465)/(D466-D465),"")</f>
        <v/>
      </c>
      <c r="S466" s="5" t="str">
        <f>IF(AND(D465&gt;3,D466&lt;=3),C465+(3-D465)*(C466-C465)/(D466-D465),"")</f>
        <v/>
      </c>
    </row>
    <row r="467" spans="1:19" ht="20.100000000000001" customHeight="1">
      <c r="A467" t="s">
        <v>2</v>
      </c>
      <c r="B467">
        <v>122</v>
      </c>
      <c r="C467" s="5">
        <f>('Raw Data'!C122-'Raw Data'!$C$2)/60</f>
        <v>9.9934833333333994</v>
      </c>
      <c r="D467" s="5">
        <f>'Raw Data'!J122</f>
        <v>4.3967099999999997</v>
      </c>
      <c r="E467" s="5">
        <f>$D$347-D467</f>
        <v>3.0097400000000007</v>
      </c>
      <c r="F467" s="8">
        <f>10^(-D467)</f>
        <v>4.0113448563955769E-5</v>
      </c>
      <c r="G467" s="5">
        <f>(D467-D466)/(C467-C466)</f>
        <v>0</v>
      </c>
      <c r="H467" s="5">
        <f>$B$9+$B$10*EXP(-$B$11*C467)</f>
        <v>4.5063338042628622</v>
      </c>
      <c r="I467" s="5">
        <f>D467-H467</f>
        <v>-0.10962380426286256</v>
      </c>
      <c r="J467" s="5">
        <f t="shared" si="13"/>
        <v>1.2017378461062402E-2</v>
      </c>
      <c r="K467" s="5">
        <f>$B$17+$B$16*C467</f>
        <v>4.904263697798414</v>
      </c>
      <c r="L467" s="5">
        <f>(D467-K467)^2</f>
        <v>0.2576107561488441</v>
      </c>
      <c r="M467" s="5">
        <f>$B$40+$B$41*EXP(-$B$42*C467)</f>
        <v>0</v>
      </c>
      <c r="N467" s="5">
        <f>(D467-M467)^2</f>
        <v>19.331058824099998</v>
      </c>
      <c r="O467" s="5">
        <f>(C467+C466)/2</f>
        <v>9.951950000000032</v>
      </c>
      <c r="P467" s="5" t="str">
        <f>IF(AND(D466&gt;6,D467&lt;=6),C466+(6-D466)*(C467-C466)/(D467-D466),"")</f>
        <v/>
      </c>
      <c r="Q467" s="5" t="str">
        <f>IF(AND(D466&gt;5,D467&lt;=5),C466+(5-D466)*(C467-C466)/(D467-D466),"")</f>
        <v/>
      </c>
      <c r="R467" s="5" t="str">
        <f>IF(AND(D466&gt;4,D467&lt;=4),C466+(4-D466)*(C467-C466)/(D467-D466),"")</f>
        <v/>
      </c>
      <c r="S467" s="5" t="str">
        <f>IF(AND(D466&gt;3,D467&lt;=3),C466+(3-D466)*(C467-C466)/(D467-D466),"")</f>
        <v/>
      </c>
    </row>
    <row r="468" spans="1:19" ht="20.100000000000001" customHeight="1">
      <c r="A468" t="s">
        <v>2</v>
      </c>
      <c r="B468">
        <v>123</v>
      </c>
      <c r="C468" s="5">
        <f>('Raw Data'!C123-'Raw Data'!$C$2)/60</f>
        <v>10.076816666666733</v>
      </c>
      <c r="D468" s="5">
        <f>'Raw Data'!J123</f>
        <v>4.3771000000000004</v>
      </c>
      <c r="E468" s="5">
        <f>$D$347-D468</f>
        <v>3.02935</v>
      </c>
      <c r="F468" s="8">
        <f>10^(-D468)</f>
        <v>4.1966234203983055E-5</v>
      </c>
      <c r="G468" s="5">
        <f>(D468-D467)/(C468-C467)</f>
        <v>-0.2353199999999892</v>
      </c>
      <c r="H468" s="5">
        <f>$B$9+$B$10*EXP(-$B$11*C468)</f>
        <v>4.4951583014052154</v>
      </c>
      <c r="I468" s="5">
        <f>D468-H468</f>
        <v>-0.118058301405215</v>
      </c>
      <c r="J468" s="5">
        <f t="shared" si="13"/>
        <v>1.3937762530684591E-2</v>
      </c>
      <c r="K468" s="5">
        <f>$B$17+$B$16*C468</f>
        <v>4.8902228744608065</v>
      </c>
      <c r="L468" s="5">
        <f>(D468-K468)^2</f>
        <v>0.26329508429492016</v>
      </c>
      <c r="M468" s="5">
        <f>$B$40+$B$41*EXP(-$B$42*C468)</f>
        <v>0</v>
      </c>
      <c r="N468" s="5">
        <f>(D468-M468)^2</f>
        <v>19.159004410000005</v>
      </c>
      <c r="O468" s="5">
        <f>(C468+C467)/2</f>
        <v>10.035150000000066</v>
      </c>
      <c r="P468" s="5" t="str">
        <f>IF(AND(D467&gt;6,D468&lt;=6),C467+(6-D467)*(C468-C467)/(D468-D467),"")</f>
        <v/>
      </c>
      <c r="Q468" s="5" t="str">
        <f>IF(AND(D467&gt;5,D468&lt;=5),C467+(5-D467)*(C468-C467)/(D468-D467),"")</f>
        <v/>
      </c>
      <c r="R468" s="5" t="str">
        <f>IF(AND(D467&gt;4,D468&lt;=4),C467+(4-D467)*(C468-C467)/(D468-D467),"")</f>
        <v/>
      </c>
      <c r="S468" s="5" t="str">
        <f>IF(AND(D467&gt;3,D468&lt;=3),C467+(3-D467)*(C468-C467)/(D468-D467),"")</f>
        <v/>
      </c>
    </row>
    <row r="469" spans="1:19" ht="20.100000000000001" customHeight="1">
      <c r="A469" t="s">
        <v>2</v>
      </c>
      <c r="B469">
        <v>124</v>
      </c>
      <c r="C469" s="5">
        <f>('Raw Data'!C124-'Raw Data'!$C$2)/60</f>
        <v>10.160150000000067</v>
      </c>
      <c r="D469" s="5">
        <f>'Raw Data'!J124</f>
        <v>4.3667199999999999</v>
      </c>
      <c r="E469" s="5">
        <f>$D$347-D469</f>
        <v>3.0397300000000005</v>
      </c>
      <c r="F469" s="8">
        <f>10^(-D469)</f>
        <v>4.2981344842501031E-5</v>
      </c>
      <c r="G469" s="5">
        <f>(D469-D468)/(C469-C468)</f>
        <v>-0.12456000000000511</v>
      </c>
      <c r="H469" s="5">
        <f>$B$9+$B$10*EXP(-$B$11*C469)</f>
        <v>4.4841260045991191</v>
      </c>
      <c r="I469" s="5">
        <f>D469-H469</f>
        <v>-0.11740600459911921</v>
      </c>
      <c r="J469" s="5">
        <f t="shared" si="13"/>
        <v>1.37841699159284E-2</v>
      </c>
      <c r="K469" s="5">
        <f>$B$17+$B$16*C469</f>
        <v>4.8761820511231999</v>
      </c>
      <c r="L469" s="5">
        <f>(D469-K469)^2</f>
        <v>0.25955158153465802</v>
      </c>
      <c r="M469" s="5">
        <f>$B$40+$B$41*EXP(-$B$42*C469)</f>
        <v>0</v>
      </c>
      <c r="N469" s="5">
        <f>(D469-M469)^2</f>
        <v>19.068243558399999</v>
      </c>
      <c r="O469" s="5">
        <f>(C469+C468)/2</f>
        <v>10.118483333333401</v>
      </c>
      <c r="P469" s="5" t="str">
        <f>IF(AND(D468&gt;6,D469&lt;=6),C468+(6-D468)*(C469-C468)/(D469-D468),"")</f>
        <v/>
      </c>
      <c r="Q469" s="5" t="str">
        <f>IF(AND(D468&gt;5,D469&lt;=5),C468+(5-D468)*(C469-C468)/(D469-D468),"")</f>
        <v/>
      </c>
      <c r="R469" s="5" t="str">
        <f>IF(AND(D468&gt;4,D469&lt;=4),C468+(4-D468)*(C469-C468)/(D469-D468),"")</f>
        <v/>
      </c>
      <c r="S469" s="5" t="str">
        <f>IF(AND(D468&gt;3,D469&lt;=3),C468+(3-D468)*(C469-C468)/(D469-D468),"")</f>
        <v/>
      </c>
    </row>
    <row r="470" spans="1:19" ht="20.100000000000001" customHeight="1">
      <c r="A470" t="s">
        <v>2</v>
      </c>
      <c r="B470">
        <v>125</v>
      </c>
      <c r="C470" s="5">
        <f>('Raw Data'!C125-'Raw Data'!$C$2)/60</f>
        <v>10.243483333333399</v>
      </c>
      <c r="D470" s="5">
        <f>'Raw Data'!J125</f>
        <v>4.36557</v>
      </c>
      <c r="E470" s="5">
        <f>$D$347-D470</f>
        <v>3.0408800000000005</v>
      </c>
      <c r="F470" s="8">
        <f>10^(-D470)</f>
        <v>4.3095309097535056E-5</v>
      </c>
      <c r="G470" s="5">
        <f>(D470-D469)/(C470-C469)</f>
        <v>-1.3800000000000008E-2</v>
      </c>
      <c r="H470" s="5">
        <f>$B$9+$B$10*EXP(-$B$11*C470)</f>
        <v>4.4732350787617632</v>
      </c>
      <c r="I470" s="5">
        <f>D470-H470</f>
        <v>-0.10766507876176323</v>
      </c>
      <c r="J470" s="5">
        <f t="shared" si="13"/>
        <v>1.159176918477668E-2</v>
      </c>
      <c r="K470" s="5">
        <f>$B$17+$B$16*C470</f>
        <v>4.8621412277855933</v>
      </c>
      <c r="L470" s="5">
        <f>(D470-K470)^2</f>
        <v>0.24658298426449166</v>
      </c>
      <c r="M470" s="5">
        <f>$B$40+$B$41*EXP(-$B$42*C470)</f>
        <v>0</v>
      </c>
      <c r="N470" s="5">
        <f>(D470-M470)^2</f>
        <v>19.058201424899998</v>
      </c>
      <c r="O470" s="5">
        <f>(C470+C469)/2</f>
        <v>10.201816666666733</v>
      </c>
      <c r="P470" s="5" t="str">
        <f>IF(AND(D469&gt;6,D470&lt;=6),C469+(6-D469)*(C470-C469)/(D470-D469),"")</f>
        <v/>
      </c>
      <c r="Q470" s="5" t="str">
        <f>IF(AND(D469&gt;5,D470&lt;=5),C469+(5-D469)*(C470-C469)/(D470-D469),"")</f>
        <v/>
      </c>
      <c r="R470" s="5" t="str">
        <f>IF(AND(D469&gt;4,D470&lt;=4),C469+(4-D469)*(C470-C469)/(D470-D469),"")</f>
        <v/>
      </c>
      <c r="S470" s="5" t="str">
        <f>IF(AND(D469&gt;3,D470&lt;=3),C469+(3-D469)*(C470-C469)/(D470-D469),"")</f>
        <v/>
      </c>
    </row>
    <row r="471" spans="1:19" ht="20.100000000000001" customHeight="1">
      <c r="A471" t="s">
        <v>2</v>
      </c>
      <c r="B471">
        <v>126</v>
      </c>
      <c r="C471" s="5">
        <f>('Raw Data'!C126-'Raw Data'!$C$2)/60</f>
        <v>10.326566666666743</v>
      </c>
      <c r="D471" s="5">
        <f>'Raw Data'!J126</f>
        <v>4.3551799999999998</v>
      </c>
      <c r="E471" s="5">
        <f>$D$347-D471</f>
        <v>3.0512700000000006</v>
      </c>
      <c r="F471" s="8">
        <f>10^(-D471)</f>
        <v>4.4138746963956458E-5</v>
      </c>
      <c r="G471" s="5">
        <f>(D471-D470)/(C471-C470)</f>
        <v>-0.1250551654964758</v>
      </c>
      <c r="H471" s="5">
        <f>$B$9+$B$10*EXP(-$B$11*C471)</f>
        <v>4.4625157594998903</v>
      </c>
      <c r="I471" s="5">
        <f>D471-H471</f>
        <v>-0.10733575949989049</v>
      </c>
      <c r="J471" s="5">
        <f t="shared" si="13"/>
        <v>1.1520965267418332E-2</v>
      </c>
      <c r="K471" s="5">
        <f>$B$17+$B$16*C471</f>
        <v>4.8481425269179983</v>
      </c>
      <c r="L471" s="5">
        <f>(D471-K471)^2</f>
        <v>0.24301205294537837</v>
      </c>
      <c r="M471" s="5">
        <f>$B$40+$B$41*EXP(-$B$42*C471)</f>
        <v>0</v>
      </c>
      <c r="N471" s="5">
        <f>(D471-M471)^2</f>
        <v>18.967592832399998</v>
      </c>
      <c r="O471" s="5">
        <f>(C471+C470)/2</f>
        <v>10.285025000000072</v>
      </c>
      <c r="P471" s="5" t="str">
        <f>IF(AND(D470&gt;6,D471&lt;=6),C470+(6-D470)*(C471-C470)/(D471-D470),"")</f>
        <v/>
      </c>
      <c r="Q471" s="5" t="str">
        <f>IF(AND(D470&gt;5,D471&lt;=5),C470+(5-D470)*(C471-C470)/(D471-D470),"")</f>
        <v/>
      </c>
      <c r="R471" s="5" t="str">
        <f>IF(AND(D470&gt;4,D471&lt;=4),C470+(4-D470)*(C471-C470)/(D471-D470),"")</f>
        <v/>
      </c>
      <c r="S471" s="5" t="str">
        <f>IF(AND(D470&gt;3,D471&lt;=3),C470+(3-D470)*(C471-C470)/(D471-D470),"")</f>
        <v/>
      </c>
    </row>
    <row r="472" spans="1:19" ht="20.100000000000001" customHeight="1">
      <c r="A472" t="s">
        <v>2</v>
      </c>
      <c r="B472">
        <v>127</v>
      </c>
      <c r="C472" s="5">
        <f>('Raw Data'!C127-'Raw Data'!$C$2)/60</f>
        <v>10.410150000000067</v>
      </c>
      <c r="D472" s="5">
        <f>'Raw Data'!J127</f>
        <v>4.3482599999999998</v>
      </c>
      <c r="E472" s="5">
        <f>$D$347-D472</f>
        <v>3.0581900000000006</v>
      </c>
      <c r="F472" s="8">
        <f>10^(-D472)</f>
        <v>4.4847681897831921E-5</v>
      </c>
      <c r="G472" s="5">
        <f>(D472-D471)/(C472-C471)</f>
        <v>-8.2791625124635351E-2</v>
      </c>
      <c r="H472" s="5">
        <f>$B$9+$B$10*EXP(-$B$11*C472)</f>
        <v>4.45187011693704</v>
      </c>
      <c r="I472" s="5">
        <f>D472-H472</f>
        <v>-0.10361011693704025</v>
      </c>
      <c r="J472" s="5">
        <f t="shared" si="13"/>
        <v>1.0735056331707156E-2</v>
      </c>
      <c r="K472" s="5">
        <f>$B$17+$B$16*C472</f>
        <v>4.8340595811103793</v>
      </c>
      <c r="L472" s="5">
        <f>(D472-K472)^2</f>
        <v>0.23600123300702017</v>
      </c>
      <c r="M472" s="5">
        <f>$B$40+$B$41*EXP(-$B$42*C472)</f>
        <v>0</v>
      </c>
      <c r="N472" s="5">
        <f>(D472-M472)^2</f>
        <v>18.907365027599997</v>
      </c>
      <c r="O472" s="5">
        <f>(C472+C471)/2</f>
        <v>10.368358333333404</v>
      </c>
      <c r="P472" s="5" t="str">
        <f>IF(AND(D471&gt;6,D472&lt;=6),C471+(6-D471)*(C472-C471)/(D472-D471),"")</f>
        <v/>
      </c>
      <c r="Q472" s="5" t="str">
        <f>IF(AND(D471&gt;5,D472&lt;=5),C471+(5-D471)*(C472-C471)/(D472-D471),"")</f>
        <v/>
      </c>
      <c r="R472" s="5" t="str">
        <f>IF(AND(D471&gt;4,D472&lt;=4),C471+(4-D471)*(C472-C471)/(D472-D471),"")</f>
        <v/>
      </c>
      <c r="S472" s="5" t="str">
        <f>IF(AND(D471&gt;3,D472&lt;=3),C471+(3-D471)*(C472-C471)/(D472-D471),"")</f>
        <v/>
      </c>
    </row>
    <row r="473" spans="1:19" ht="20.100000000000001" customHeight="1">
      <c r="A473" t="s">
        <v>2</v>
      </c>
      <c r="B473">
        <v>128</v>
      </c>
      <c r="C473" s="5">
        <f>('Raw Data'!C128-'Raw Data'!$C$2)/60</f>
        <v>10.493233333333411</v>
      </c>
      <c r="D473" s="5">
        <f>'Raw Data'!J128</f>
        <v>4.3297999999999996</v>
      </c>
      <c r="E473" s="5">
        <f>$D$347-D473</f>
        <v>3.0766500000000008</v>
      </c>
      <c r="F473" s="8">
        <f>10^(-D473)</f>
        <v>4.6795059088525354E-5</v>
      </c>
      <c r="G473" s="5">
        <f>(D473-D472)/(C473-C472)</f>
        <v>-0.22218655967901194</v>
      </c>
      <c r="H473" s="5">
        <f>$B$9+$B$10*EXP(-$B$11*C473)</f>
        <v>4.4414237582724621</v>
      </c>
      <c r="I473" s="5">
        <f>D473-H473</f>
        <v>-0.1116237582724624</v>
      </c>
      <c r="J473" s="5">
        <f t="shared" si="13"/>
        <v>1.2459863410869118E-2</v>
      </c>
      <c r="K473" s="5">
        <f>$B$17+$B$16*C473</f>
        <v>4.8200608802427842</v>
      </c>
      <c r="L473" s="5">
        <f>(D473-K473)^2</f>
        <v>0.24035573069642996</v>
      </c>
      <c r="M473" s="5">
        <f>$B$40+$B$41*EXP(-$B$42*C473)</f>
        <v>0</v>
      </c>
      <c r="N473" s="5">
        <f>(D473-M473)^2</f>
        <v>18.747168039999998</v>
      </c>
      <c r="O473" s="5">
        <f>(C473+C472)/2</f>
        <v>10.45169166666674</v>
      </c>
      <c r="P473" s="5" t="str">
        <f>IF(AND(D472&gt;6,D473&lt;=6),C472+(6-D472)*(C473-C472)/(D473-D472),"")</f>
        <v/>
      </c>
      <c r="Q473" s="5" t="str">
        <f>IF(AND(D472&gt;5,D473&lt;=5),C472+(5-D472)*(C473-C472)/(D473-D472),"")</f>
        <v/>
      </c>
      <c r="R473" s="5" t="str">
        <f>IF(AND(D472&gt;4,D473&lt;=4),C472+(4-D472)*(C473-C472)/(D473-D472),"")</f>
        <v/>
      </c>
      <c r="S473" s="5" t="str">
        <f>IF(AND(D472&gt;3,D473&lt;=3),C472+(3-D472)*(C473-C472)/(D473-D472),"")</f>
        <v/>
      </c>
    </row>
    <row r="474" spans="1:19" ht="20.100000000000001" customHeight="1">
      <c r="A474" t="s">
        <v>2</v>
      </c>
      <c r="B474">
        <v>129</v>
      </c>
      <c r="C474" s="5">
        <f>('Raw Data'!C129-'Raw Data'!$C$2)/60</f>
        <v>10.576566666666743</v>
      </c>
      <c r="D474" s="5">
        <f>'Raw Data'!J129</f>
        <v>4.3240400000000001</v>
      </c>
      <c r="E474" s="5">
        <f>$D$347-D474</f>
        <v>3.0824100000000003</v>
      </c>
      <c r="F474" s="8">
        <f>10^(-D474)</f>
        <v>4.7419830797065943E-5</v>
      </c>
      <c r="G474" s="5">
        <f>(D474-D473)/(C474-C473)</f>
        <v>-6.9119999999995504E-2</v>
      </c>
      <c r="H474" s="5">
        <f>$B$9+$B$10*EXP(-$B$11*C474)</f>
        <v>4.4310800310861804</v>
      </c>
      <c r="I474" s="5">
        <f>D474-H474</f>
        <v>-0.10704003108618032</v>
      </c>
      <c r="J474" s="5">
        <f t="shared" si="13"/>
        <v>1.145756825493045E-2</v>
      </c>
      <c r="K474" s="5">
        <f>$B$17+$B$16*C474</f>
        <v>4.8060200569051776</v>
      </c>
      <c r="L474" s="5">
        <f>(D474-K474)^2</f>
        <v>0.23230477525431817</v>
      </c>
      <c r="M474" s="5">
        <f>$B$40+$B$41*EXP(-$B$42*C474)</f>
        <v>0</v>
      </c>
      <c r="N474" s="5">
        <f>(D474-M474)^2</f>
        <v>18.6973219216</v>
      </c>
      <c r="O474" s="5">
        <f>(C474+C473)/2</f>
        <v>10.534900000000077</v>
      </c>
      <c r="P474" s="5" t="str">
        <f>IF(AND(D473&gt;6,D474&lt;=6),C473+(6-D473)*(C474-C473)/(D474-D473),"")</f>
        <v/>
      </c>
      <c r="Q474" s="5" t="str">
        <f>IF(AND(D473&gt;5,D474&lt;=5),C473+(5-D473)*(C474-C473)/(D474-D473),"")</f>
        <v/>
      </c>
      <c r="R474" s="5" t="str">
        <f>IF(AND(D473&gt;4,D474&lt;=4),C473+(4-D473)*(C474-C473)/(D474-D473),"")</f>
        <v/>
      </c>
      <c r="S474" s="5" t="str">
        <f>IF(AND(D473&gt;3,D474&lt;=3),C473+(3-D473)*(C474-C473)/(D474-D473),"")</f>
        <v/>
      </c>
    </row>
    <row r="475" spans="1:19" ht="20.100000000000001" customHeight="1">
      <c r="A475" t="s">
        <v>2</v>
      </c>
      <c r="B475">
        <v>130</v>
      </c>
      <c r="C475" s="5">
        <f>('Raw Data'!C130-'Raw Data'!$C$2)/60</f>
        <v>10.659900000000077</v>
      </c>
      <c r="D475" s="5">
        <f>'Raw Data'!J130</f>
        <v>4.3240400000000001</v>
      </c>
      <c r="E475" s="5">
        <f>$D$347-D475</f>
        <v>3.0824100000000003</v>
      </c>
      <c r="F475" s="8">
        <f>10^(-D475)</f>
        <v>4.7419830797065943E-5</v>
      </c>
      <c r="G475" s="5">
        <f>(D475-D474)/(C475-C474)</f>
        <v>0</v>
      </c>
      <c r="H475" s="5">
        <f>$B$9+$B$10*EXP(-$B$11*C475)</f>
        <v>4.4208688513429557</v>
      </c>
      <c r="I475" s="5">
        <f>D475-H475</f>
        <v>-9.6828851342955602E-2</v>
      </c>
      <c r="J475" s="5">
        <f t="shared" ref="J475:J538" si="14">I475^2</f>
        <v>9.3758264523961955E-3</v>
      </c>
      <c r="K475" s="5">
        <f>$B$17+$B$16*C475</f>
        <v>4.7919792335675702</v>
      </c>
      <c r="L475" s="5">
        <f>(D475-K475)^2</f>
        <v>0.21896712631180487</v>
      </c>
      <c r="M475" s="5">
        <f>$B$40+$B$41*EXP(-$B$42*C475)</f>
        <v>0</v>
      </c>
      <c r="N475" s="5">
        <f>(D475-M475)^2</f>
        <v>18.6973219216</v>
      </c>
      <c r="O475" s="5">
        <f>(C475+C474)/2</f>
        <v>10.618233333333411</v>
      </c>
      <c r="P475" s="5" t="str">
        <f>IF(AND(D474&gt;6,D475&lt;=6),C474+(6-D474)*(C475-C474)/(D475-D474),"")</f>
        <v/>
      </c>
      <c r="Q475" s="5" t="str">
        <f>IF(AND(D474&gt;5,D475&lt;=5),C474+(5-D474)*(C475-C474)/(D475-D474),"")</f>
        <v/>
      </c>
      <c r="R475" s="5" t="str">
        <f>IF(AND(D474&gt;4,D475&lt;=4),C474+(4-D474)*(C475-C474)/(D475-D474),"")</f>
        <v/>
      </c>
      <c r="S475" s="5" t="str">
        <f>IF(AND(D474&gt;3,D475&lt;=3),C474+(3-D474)*(C475-C474)/(D475-D474),"")</f>
        <v/>
      </c>
    </row>
    <row r="476" spans="1:19" ht="20.100000000000001" customHeight="1">
      <c r="A476" t="s">
        <v>2</v>
      </c>
      <c r="B476">
        <v>131</v>
      </c>
      <c r="C476" s="5">
        <f>('Raw Data'!C131-'Raw Data'!$C$2)/60</f>
        <v>10.743233333333411</v>
      </c>
      <c r="D476" s="5">
        <f>'Raw Data'!J131</f>
        <v>4.3078900000000004</v>
      </c>
      <c r="E476" s="5">
        <f>$D$347-D476</f>
        <v>3.09856</v>
      </c>
      <c r="F476" s="8">
        <f>10^(-D476)</f>
        <v>4.9216417738468292E-5</v>
      </c>
      <c r="G476" s="5">
        <f>(D476-D475)/(C476-C475)</f>
        <v>-0.19379999999999459</v>
      </c>
      <c r="H476" s="5">
        <f>$B$9+$B$10*EXP(-$B$11*C476)</f>
        <v>4.4107885205423987</v>
      </c>
      <c r="I476" s="5">
        <f>D476-H476</f>
        <v>-0.10289852054239823</v>
      </c>
      <c r="J476" s="5">
        <f t="shared" si="14"/>
        <v>1.0588105529814351E-2</v>
      </c>
      <c r="K476" s="5">
        <f>$B$17+$B$16*C476</f>
        <v>4.7779384102299636</v>
      </c>
      <c r="L476" s="5">
        <f>(D476-K476)^2</f>
        <v>0.22094550795971571</v>
      </c>
      <c r="M476" s="5">
        <f>$B$40+$B$41*EXP(-$B$42*C476)</f>
        <v>0</v>
      </c>
      <c r="N476" s="5">
        <f>(D476-M476)^2</f>
        <v>18.557916252100004</v>
      </c>
      <c r="O476" s="5">
        <f>(C476+C475)/2</f>
        <v>10.701566666666743</v>
      </c>
      <c r="P476" s="5" t="str">
        <f>IF(AND(D475&gt;6,D476&lt;=6),C475+(6-D475)*(C476-C475)/(D476-D475),"")</f>
        <v/>
      </c>
      <c r="Q476" s="5" t="str">
        <f>IF(AND(D475&gt;5,D476&lt;=5),C475+(5-D475)*(C476-C475)/(D476-D475),"")</f>
        <v/>
      </c>
      <c r="R476" s="5" t="str">
        <f>IF(AND(D475&gt;4,D476&lt;=4),C475+(4-D475)*(C476-C475)/(D476-D475),"")</f>
        <v/>
      </c>
      <c r="S476" s="5" t="str">
        <f>IF(AND(D475&gt;3,D476&lt;=3),C475+(3-D475)*(C476-C475)/(D476-D475),"")</f>
        <v/>
      </c>
    </row>
    <row r="477" spans="1:19" ht="20.100000000000001" customHeight="1">
      <c r="A477" t="s">
        <v>2</v>
      </c>
      <c r="B477">
        <v>132</v>
      </c>
      <c r="C477" s="5">
        <f>('Raw Data'!C132-'Raw Data'!$C$2)/60</f>
        <v>10.826300000000023</v>
      </c>
      <c r="D477" s="5">
        <f>'Raw Data'!J132</f>
        <v>4.3067299999999999</v>
      </c>
      <c r="E477" s="5">
        <f>$D$347-D477</f>
        <v>3.0997200000000005</v>
      </c>
      <c r="F477" s="8">
        <f>10^(-D477)</f>
        <v>4.9348050443788722E-5</v>
      </c>
      <c r="G477" s="5">
        <f>(D477-D476)/(C477-C476)</f>
        <v>-1.3964686998409963E-2</v>
      </c>
      <c r="H477" s="5">
        <f>$B$9+$B$10*EXP(-$B$11*C477)</f>
        <v>4.4008690014053276</v>
      </c>
      <c r="I477" s="5">
        <f>D477-H477</f>
        <v>-9.4139001405327605E-2</v>
      </c>
      <c r="J477" s="5">
        <f t="shared" si="14"/>
        <v>8.862151585592273E-3</v>
      </c>
      <c r="K477" s="5">
        <f>$B$17+$B$16*C477</f>
        <v>4.7639425175270471</v>
      </c>
      <c r="L477" s="5">
        <f>(D477-K477)^2</f>
        <v>0.20904328618342041</v>
      </c>
      <c r="M477" s="5">
        <f>$B$40+$B$41*EXP(-$B$42*C477)</f>
        <v>0</v>
      </c>
      <c r="N477" s="5">
        <f>(D477-M477)^2</f>
        <v>18.547923292899998</v>
      </c>
      <c r="O477" s="5">
        <f>(C477+C476)/2</f>
        <v>10.784766666666716</v>
      </c>
      <c r="P477" s="5" t="str">
        <f>IF(AND(D476&gt;6,D477&lt;=6),C476+(6-D476)*(C477-C476)/(D477-D476),"")</f>
        <v/>
      </c>
      <c r="Q477" s="5" t="str">
        <f>IF(AND(D476&gt;5,D477&lt;=5),C476+(5-D476)*(C477-C476)/(D477-D476),"")</f>
        <v/>
      </c>
      <c r="R477" s="5" t="str">
        <f>IF(AND(D476&gt;4,D477&lt;=4),C476+(4-D476)*(C477-C476)/(D477-D476),"")</f>
        <v/>
      </c>
      <c r="S477" s="5" t="str">
        <f>IF(AND(D476&gt;3,D477&lt;=3),C476+(3-D476)*(C477-C476)/(D477-D476),"")</f>
        <v/>
      </c>
    </row>
    <row r="478" spans="1:19" ht="20.100000000000001" customHeight="1">
      <c r="A478" t="s">
        <v>2</v>
      </c>
      <c r="B478">
        <v>133</v>
      </c>
      <c r="C478" s="5">
        <f>('Raw Data'!C133-'Raw Data'!$C$2)/60</f>
        <v>10.909900000000077</v>
      </c>
      <c r="D478" s="5">
        <f>'Raw Data'!J133</f>
        <v>4.2882800000000003</v>
      </c>
      <c r="E478" s="5">
        <f>$D$347-D478</f>
        <v>3.1181700000000001</v>
      </c>
      <c r="F478" s="8">
        <f>10^(-D478)</f>
        <v>5.1489657145796615E-5</v>
      </c>
      <c r="G478" s="5">
        <f>(D478-D477)/(C478-C477)</f>
        <v>-0.22069377990415967</v>
      </c>
      <c r="H478" s="5">
        <f>$B$9+$B$10*EXP(-$B$11*C478)</f>
        <v>4.3910137203141435</v>
      </c>
      <c r="I478" s="5">
        <f>D478-H478</f>
        <v>-0.10273372031414318</v>
      </c>
      <c r="J478" s="5">
        <f t="shared" si="14"/>
        <v>1.0554217289584595E-2</v>
      </c>
      <c r="K478" s="5">
        <f>$B$17+$B$16*C478</f>
        <v>4.7498567635547504</v>
      </c>
      <c r="L478" s="5">
        <f>(D478-K478)^2</f>
        <v>0.21305310865367766</v>
      </c>
      <c r="M478" s="5">
        <f>$B$40+$B$41*EXP(-$B$42*C478)</f>
        <v>0</v>
      </c>
      <c r="N478" s="5">
        <f>(D478-M478)^2</f>
        <v>18.389345358400004</v>
      </c>
      <c r="O478" s="5">
        <f>(C478+C477)/2</f>
        <v>10.86810000000005</v>
      </c>
      <c r="P478" s="5" t="str">
        <f>IF(AND(D477&gt;6,D478&lt;=6),C477+(6-D477)*(C478-C477)/(D478-D477),"")</f>
        <v/>
      </c>
      <c r="Q478" s="5" t="str">
        <f>IF(AND(D477&gt;5,D478&lt;=5),C477+(5-D477)*(C478-C477)/(D478-D477),"")</f>
        <v/>
      </c>
      <c r="R478" s="5" t="str">
        <f>IF(AND(D477&gt;4,D478&lt;=4),C477+(4-D477)*(C478-C477)/(D478-D477),"")</f>
        <v/>
      </c>
      <c r="S478" s="5" t="str">
        <f>IF(AND(D477&gt;3,D478&lt;=3),C477+(3-D477)*(C478-C477)/(D478-D477),"")</f>
        <v/>
      </c>
    </row>
    <row r="479" spans="1:19" ht="20.100000000000001" customHeight="1">
      <c r="A479" t="s">
        <v>2</v>
      </c>
      <c r="B479">
        <v>134</v>
      </c>
      <c r="C479" s="5">
        <f>('Raw Data'!C134-'Raw Data'!$C$2)/60</f>
        <v>10.992966666666689</v>
      </c>
      <c r="D479" s="5">
        <f>'Raw Data'!J134</f>
        <v>4.2848100000000002</v>
      </c>
      <c r="E479" s="5">
        <f>$D$347-D479</f>
        <v>3.1216400000000002</v>
      </c>
      <c r="F479" s="8">
        <f>10^(-D479)</f>
        <v>5.1902705901979982E-5</v>
      </c>
      <c r="G479" s="5">
        <f>(D479-D478)/(C479-C478)</f>
        <v>-4.1773675762468203E-2</v>
      </c>
      <c r="H479" s="5">
        <f>$B$9+$B$10*EXP(-$B$11*C479)</f>
        <v>4.3813467953766079</v>
      </c>
      <c r="I479" s="5">
        <f>D479-H479</f>
        <v>-9.6536795376607643E-2</v>
      </c>
      <c r="J479" s="5">
        <f t="shared" si="14"/>
        <v>9.3193528615850146E-3</v>
      </c>
      <c r="K479" s="5">
        <f>$B$17+$B$16*C479</f>
        <v>4.735860870851833</v>
      </c>
      <c r="L479" s="5">
        <f>(D479-K479)^2</f>
        <v>0.20344688809619677</v>
      </c>
      <c r="M479" s="5">
        <f>$B$40+$B$41*EXP(-$B$42*C479)</f>
        <v>0</v>
      </c>
      <c r="N479" s="5">
        <f>(D479-M479)^2</f>
        <v>18.359596736100002</v>
      </c>
      <c r="O479" s="5">
        <f>(C479+C478)/2</f>
        <v>10.951433333333384</v>
      </c>
      <c r="P479" s="5" t="str">
        <f>IF(AND(D478&gt;6,D479&lt;=6),C478+(6-D478)*(C479-C478)/(D479-D478),"")</f>
        <v/>
      </c>
      <c r="Q479" s="5" t="str">
        <f>IF(AND(D478&gt;5,D479&lt;=5),C478+(5-D478)*(C479-C478)/(D479-D478),"")</f>
        <v/>
      </c>
      <c r="R479" s="5" t="str">
        <f>IF(AND(D478&gt;4,D479&lt;=4),C478+(4-D478)*(C479-C478)/(D479-D478),"")</f>
        <v/>
      </c>
      <c r="S479" s="5" t="str">
        <f>IF(AND(D478&gt;3,D479&lt;=3),C478+(3-D478)*(C479-C478)/(D479-D478),"")</f>
        <v/>
      </c>
    </row>
    <row r="480" spans="1:19" ht="20.100000000000001" customHeight="1">
      <c r="A480" t="s">
        <v>2</v>
      </c>
      <c r="B480">
        <v>135</v>
      </c>
      <c r="C480" s="5">
        <f>('Raw Data'!C135-'Raw Data'!$C$2)/60</f>
        <v>11.076300000000023</v>
      </c>
      <c r="D480" s="5">
        <f>'Raw Data'!J135</f>
        <v>4.2859699999999998</v>
      </c>
      <c r="E480" s="5">
        <f>$D$347-D480</f>
        <v>3.1204800000000006</v>
      </c>
      <c r="F480" s="8">
        <f>10^(-D480)</f>
        <v>5.1764258819878907E-5</v>
      </c>
      <c r="G480" s="5">
        <f>(D480-D479)/(C480-C479)</f>
        <v>1.3919999999995171E-2</v>
      </c>
      <c r="H480" s="5">
        <f>$B$9+$B$10*EXP(-$B$11*C480)</f>
        <v>4.3717729113692023</v>
      </c>
      <c r="I480" s="5">
        <f>D480-H480</f>
        <v>-8.5802911369202484E-2</v>
      </c>
      <c r="J480" s="5">
        <f t="shared" si="14"/>
        <v>7.3621395994312167E-3</v>
      </c>
      <c r="K480" s="5">
        <f>$B$17+$B$16*C480</f>
        <v>4.7218200475142265</v>
      </c>
      <c r="L480" s="5">
        <f>(D480-K480)^2</f>
        <v>0.1899652639181536</v>
      </c>
      <c r="M480" s="5">
        <f>$B$40+$B$41*EXP(-$B$42*C480)</f>
        <v>0</v>
      </c>
      <c r="N480" s="5">
        <f>(D480-M480)^2</f>
        <v>18.369538840899999</v>
      </c>
      <c r="O480" s="5">
        <f>(C480+C479)/2</f>
        <v>11.034633333333357</v>
      </c>
      <c r="P480" s="5" t="str">
        <f>IF(AND(D479&gt;6,D480&lt;=6),C479+(6-D479)*(C480-C479)/(D480-D479),"")</f>
        <v/>
      </c>
      <c r="Q480" s="5" t="str">
        <f>IF(AND(D479&gt;5,D480&lt;=5),C479+(5-D479)*(C480-C479)/(D480-D479),"")</f>
        <v/>
      </c>
      <c r="R480" s="5" t="str">
        <f>IF(AND(D479&gt;4,D480&lt;=4),C479+(4-D479)*(C480-C479)/(D480-D479),"")</f>
        <v/>
      </c>
      <c r="S480" s="5" t="str">
        <f>IF(AND(D479&gt;3,D480&lt;=3),C479+(3-D479)*(C480-C479)/(D480-D479),"")</f>
        <v/>
      </c>
    </row>
    <row r="481" spans="1:19" ht="20.100000000000001" customHeight="1">
      <c r="A481" t="s">
        <v>2</v>
      </c>
      <c r="B481">
        <v>136</v>
      </c>
      <c r="C481" s="5">
        <f>('Raw Data'!C136-'Raw Data'!$C$2)/60</f>
        <v>11.159633333333355</v>
      </c>
      <c r="D481" s="5">
        <f>'Raw Data'!J136</f>
        <v>4.2617399999999996</v>
      </c>
      <c r="E481" s="5">
        <f>$D$347-D481</f>
        <v>3.1447100000000008</v>
      </c>
      <c r="F481" s="8">
        <f>10^(-D481)</f>
        <v>5.4734354414953611E-5</v>
      </c>
      <c r="G481" s="5">
        <f>(D481-D480)/(C481-C480)</f>
        <v>-0.29076000000000646</v>
      </c>
      <c r="H481" s="5">
        <f>$B$9+$B$10*EXP(-$B$11*C481)</f>
        <v>4.362321709816821</v>
      </c>
      <c r="I481" s="5">
        <f>D481-H481</f>
        <v>-0.10058170981682135</v>
      </c>
      <c r="J481" s="5">
        <f t="shared" si="14"/>
        <v>1.0116680349675257E-2</v>
      </c>
      <c r="K481" s="5">
        <f>$B$17+$B$16*C481</f>
        <v>4.7077792241766199</v>
      </c>
      <c r="L481" s="5">
        <f>(D481-K481)^2</f>
        <v>0.19895098950408127</v>
      </c>
      <c r="M481" s="5">
        <f>$B$40+$B$41*EXP(-$B$42*C481)</f>
        <v>0</v>
      </c>
      <c r="N481" s="5">
        <f>(D481-M481)^2</f>
        <v>18.162427827599998</v>
      </c>
      <c r="O481" s="5">
        <f>(C481+C480)/2</f>
        <v>11.117966666666689</v>
      </c>
      <c r="P481" s="5" t="str">
        <f>IF(AND(D480&gt;6,D481&lt;=6),C480+(6-D480)*(C481-C480)/(D481-D480),"")</f>
        <v/>
      </c>
      <c r="Q481" s="5" t="str">
        <f>IF(AND(D480&gt;5,D481&lt;=5),C480+(5-D480)*(C481-C480)/(D481-D480),"")</f>
        <v/>
      </c>
      <c r="R481" s="5" t="str">
        <f>IF(AND(D480&gt;4,D481&lt;=4),C480+(4-D480)*(C481-C480)/(D481-D480),"")</f>
        <v/>
      </c>
      <c r="S481" s="5" t="str">
        <f>IF(AND(D480&gt;3,D481&lt;=3),C480+(3-D480)*(C481-C480)/(D481-D480),"")</f>
        <v/>
      </c>
    </row>
    <row r="482" spans="1:19" ht="20.100000000000001" customHeight="1">
      <c r="A482" t="s">
        <v>2</v>
      </c>
      <c r="B482">
        <v>137</v>
      </c>
      <c r="C482" s="5">
        <f>('Raw Data'!C137-'Raw Data'!$C$2)/60</f>
        <v>11.242966666666689</v>
      </c>
      <c r="D482" s="5">
        <f>'Raw Data'!J137</f>
        <v>4.2652000000000001</v>
      </c>
      <c r="E482" s="5">
        <f>$D$347-D482</f>
        <v>3.1412500000000003</v>
      </c>
      <c r="F482" s="8">
        <f>10^(-D482)</f>
        <v>5.4300021306573678E-5</v>
      </c>
      <c r="G482" s="5">
        <f>(D482-D481)/(C482-C481)</f>
        <v>4.1520000000005254E-2</v>
      </c>
      <c r="H482" s="5">
        <f>$B$9+$B$10*EXP(-$B$11*C482)</f>
        <v>4.3529916186318172</v>
      </c>
      <c r="I482" s="5">
        <f>D482-H482</f>
        <v>-8.7791618631817059E-2</v>
      </c>
      <c r="J482" s="5">
        <f t="shared" si="14"/>
        <v>7.7073683019944078E-3</v>
      </c>
      <c r="K482" s="5">
        <f>$B$17+$B$16*C482</f>
        <v>4.6937384008390133</v>
      </c>
      <c r="L482" s="5">
        <f>(D482-K482)^2</f>
        <v>0.18364516099365874</v>
      </c>
      <c r="M482" s="5">
        <f>$B$40+$B$41*EXP(-$B$42*C482)</f>
        <v>0</v>
      </c>
      <c r="N482" s="5">
        <f>(D482-M482)^2</f>
        <v>18.19193104</v>
      </c>
      <c r="O482" s="5">
        <f>(C482+C481)/2</f>
        <v>11.201300000000021</v>
      </c>
      <c r="P482" s="5" t="str">
        <f>IF(AND(D481&gt;6,D482&lt;=6),C481+(6-D481)*(C482-C481)/(D482-D481),"")</f>
        <v/>
      </c>
      <c r="Q482" s="5" t="str">
        <f>IF(AND(D481&gt;5,D482&lt;=5),C481+(5-D481)*(C482-C481)/(D482-D481),"")</f>
        <v/>
      </c>
      <c r="R482" s="5" t="str">
        <f>IF(AND(D481&gt;4,D482&lt;=4),C481+(4-D481)*(C482-C481)/(D482-D481),"")</f>
        <v/>
      </c>
      <c r="S482" s="5" t="str">
        <f>IF(AND(D481&gt;3,D482&lt;=3),C481+(3-D481)*(C482-C481)/(D482-D481),"")</f>
        <v/>
      </c>
    </row>
    <row r="483" spans="1:19" ht="20.100000000000001" customHeight="1">
      <c r="A483" t="s">
        <v>2</v>
      </c>
      <c r="B483">
        <v>138</v>
      </c>
      <c r="C483" s="5">
        <f>('Raw Data'!C138-'Raw Data'!$C$2)/60</f>
        <v>11.326050000000032</v>
      </c>
      <c r="D483" s="5">
        <f>'Raw Data'!J138</f>
        <v>4.25251</v>
      </c>
      <c r="E483" s="5">
        <f>$D$347-D483</f>
        <v>3.1539400000000004</v>
      </c>
      <c r="F483" s="8">
        <f>10^(-D483)</f>
        <v>5.5910065365403769E-5</v>
      </c>
      <c r="G483" s="5">
        <f>(D483-D482)/(C483-C482)</f>
        <v>-0.15273821464391441</v>
      </c>
      <c r="H483" s="5">
        <f>$B$9+$B$10*EXP(-$B$11*C483)</f>
        <v>4.3438085402004702</v>
      </c>
      <c r="I483" s="5">
        <f>D483-H483</f>
        <v>-9.1298540200470235E-2</v>
      </c>
      <c r="J483" s="5">
        <f t="shared" si="14"/>
        <v>8.3354234427368799E-3</v>
      </c>
      <c r="K483" s="5">
        <f>$B$17+$B$16*C483</f>
        <v>4.6797396999714174</v>
      </c>
      <c r="L483" s="5">
        <f>(D483-K483)^2</f>
        <v>0.18252521653766729</v>
      </c>
      <c r="M483" s="5">
        <f>$B$40+$B$41*EXP(-$B$42*C483)</f>
        <v>0</v>
      </c>
      <c r="N483" s="5">
        <f>(D483-M483)^2</f>
        <v>18.083841300100001</v>
      </c>
      <c r="O483" s="5">
        <f>(C483+C482)/2</f>
        <v>11.28450833333336</v>
      </c>
      <c r="P483" s="5" t="str">
        <f>IF(AND(D482&gt;6,D483&lt;=6),C482+(6-D482)*(C483-C482)/(D483-D482),"")</f>
        <v/>
      </c>
      <c r="Q483" s="5" t="str">
        <f>IF(AND(D482&gt;5,D483&lt;=5),C482+(5-D482)*(C483-C482)/(D483-D482),"")</f>
        <v/>
      </c>
      <c r="R483" s="5" t="str">
        <f>IF(AND(D482&gt;4,D483&lt;=4),C482+(4-D482)*(C483-C482)/(D483-D482),"")</f>
        <v/>
      </c>
      <c r="S483" s="5" t="str">
        <f>IF(AND(D482&gt;3,D483&lt;=3),C482+(3-D482)*(C483-C482)/(D483-D482),"")</f>
        <v/>
      </c>
    </row>
    <row r="484" spans="1:19" ht="20.100000000000001" customHeight="1">
      <c r="A484" t="s">
        <v>2</v>
      </c>
      <c r="B484">
        <v>139</v>
      </c>
      <c r="C484" s="5">
        <f>('Raw Data'!C139-'Raw Data'!$C$2)/60</f>
        <v>11.409383333333365</v>
      </c>
      <c r="D484" s="5">
        <f>'Raw Data'!J139</f>
        <v>4.2409800000000004</v>
      </c>
      <c r="E484" s="5">
        <f>$D$347-D484</f>
        <v>3.16547</v>
      </c>
      <c r="F484" s="8">
        <f>10^(-D484)</f>
        <v>5.7414290185626812E-5</v>
      </c>
      <c r="G484" s="5">
        <f>(D484-D483)/(C484-C483)</f>
        <v>-0.13835999999999712</v>
      </c>
      <c r="H484" s="5">
        <f>$B$9+$B$10*EXP(-$B$11*C484)</f>
        <v>4.3347156820023143</v>
      </c>
      <c r="I484" s="5">
        <f>D484-H484</f>
        <v>-9.3735682002313858E-2</v>
      </c>
      <c r="J484" s="5">
        <f t="shared" si="14"/>
        <v>8.7863780804389065E-3</v>
      </c>
      <c r="K484" s="5">
        <f>$B$17+$B$16*C484</f>
        <v>4.6656988766338108</v>
      </c>
      <c r="L484" s="5">
        <f>(D484-K484)^2</f>
        <v>0.18038612416908584</v>
      </c>
      <c r="M484" s="5">
        <f>$B$40+$B$41*EXP(-$B$42*C484)</f>
        <v>0</v>
      </c>
      <c r="N484" s="5">
        <f>(D484-M484)^2</f>
        <v>17.985911360400003</v>
      </c>
      <c r="O484" s="5">
        <f>(C484+C483)/2</f>
        <v>11.367716666666698</v>
      </c>
      <c r="P484" s="5" t="str">
        <f>IF(AND(D483&gt;6,D484&lt;=6),C483+(6-D483)*(C484-C483)/(D484-D483),"")</f>
        <v/>
      </c>
      <c r="Q484" s="5" t="str">
        <f>IF(AND(D483&gt;5,D484&lt;=5),C483+(5-D483)*(C484-C483)/(D484-D483),"")</f>
        <v/>
      </c>
      <c r="R484" s="5" t="str">
        <f>IF(AND(D483&gt;4,D484&lt;=4),C483+(4-D483)*(C484-C483)/(D484-D483),"")</f>
        <v/>
      </c>
      <c r="S484" s="5" t="str">
        <f>IF(AND(D483&gt;3,D484&lt;=3),C483+(3-D483)*(C484-C483)/(D484-D483),"")</f>
        <v/>
      </c>
    </row>
    <row r="485" spans="1:19" ht="20.100000000000001" customHeight="1">
      <c r="A485" t="s">
        <v>2</v>
      </c>
      <c r="B485">
        <v>140</v>
      </c>
      <c r="C485" s="5">
        <f>('Raw Data'!C140-'Raw Data'!$C$2)/60</f>
        <v>11.492716666666698</v>
      </c>
      <c r="D485" s="5">
        <f>'Raw Data'!J140</f>
        <v>4.24559</v>
      </c>
      <c r="E485" s="5">
        <f>$D$347-D485</f>
        <v>3.1608600000000004</v>
      </c>
      <c r="F485" s="8">
        <f>10^(-D485)</f>
        <v>5.6808065449664388E-5</v>
      </c>
      <c r="G485" s="5">
        <f>(D485-D484)/(C485-C484)</f>
        <v>5.5319999999994311E-2</v>
      </c>
      <c r="H485" s="5">
        <f>$B$9+$B$10*EXP(-$B$11*C485)</f>
        <v>4.3257393422585366</v>
      </c>
      <c r="I485" s="5">
        <f>D485-H485</f>
        <v>-8.0149342258536649E-2</v>
      </c>
      <c r="J485" s="5">
        <f t="shared" si="14"/>
        <v>6.423917064476049E-3</v>
      </c>
      <c r="K485" s="5">
        <f>$B$17+$B$16*C485</f>
        <v>4.6516580532962042</v>
      </c>
      <c r="L485" s="5">
        <f>(D485-K485)^2</f>
        <v>0.16489126390776895</v>
      </c>
      <c r="M485" s="5">
        <f>$B$40+$B$41*EXP(-$B$42*C485)</f>
        <v>0</v>
      </c>
      <c r="N485" s="5">
        <f>(D485-M485)^2</f>
        <v>18.025034448100001</v>
      </c>
      <c r="O485" s="5">
        <f>(C485+C484)/2</f>
        <v>11.451050000000031</v>
      </c>
      <c r="P485" s="5" t="str">
        <f>IF(AND(D484&gt;6,D485&lt;=6),C484+(6-D484)*(C485-C484)/(D485-D484),"")</f>
        <v/>
      </c>
      <c r="Q485" s="5" t="str">
        <f>IF(AND(D484&gt;5,D485&lt;=5),C484+(5-D484)*(C485-C484)/(D485-D484),"")</f>
        <v/>
      </c>
      <c r="R485" s="5" t="str">
        <f>IF(AND(D484&gt;4,D485&lt;=4),C484+(4-D484)*(C485-C484)/(D485-D484),"")</f>
        <v/>
      </c>
      <c r="S485" s="5" t="str">
        <f>IF(AND(D484&gt;3,D485&lt;=3),C484+(3-D484)*(C485-C484)/(D485-D484),"")</f>
        <v/>
      </c>
    </row>
    <row r="486" spans="1:19" ht="20.100000000000001" customHeight="1">
      <c r="A486" t="s">
        <v>2</v>
      </c>
      <c r="B486">
        <v>141</v>
      </c>
      <c r="C486" s="5">
        <f>('Raw Data'!C141-'Raw Data'!$C$2)/60</f>
        <v>11.575783333333311</v>
      </c>
      <c r="D486" s="5">
        <f>'Raw Data'!J141</f>
        <v>4.2340600000000004</v>
      </c>
      <c r="E486" s="5">
        <f>$D$347-D486</f>
        <v>3.17239</v>
      </c>
      <c r="F486" s="8">
        <f>10^(-D486)</f>
        <v>5.8336450392156633E-5</v>
      </c>
      <c r="G486" s="5">
        <f>(D486-D485)/(C486-C485)</f>
        <v>-0.13880417335482126</v>
      </c>
      <c r="H486" s="5">
        <f>$B$9+$B$10*EXP(-$B$11*C486)</f>
        <v>4.316906202192901</v>
      </c>
      <c r="I486" s="5">
        <f>D486-H486</f>
        <v>-8.284620219290062E-2</v>
      </c>
      <c r="J486" s="5">
        <f t="shared" si="14"/>
        <v>6.8634932177869716E-3</v>
      </c>
      <c r="K486" s="5">
        <f>$B$17+$B$16*C486</f>
        <v>4.6376621605932868</v>
      </c>
      <c r="L486" s="5">
        <f>(D486-K486)^2</f>
        <v>0.16289470403556899</v>
      </c>
      <c r="M486" s="5">
        <f>$B$40+$B$41*EXP(-$B$42*C486)</f>
        <v>0</v>
      </c>
      <c r="N486" s="5">
        <f>(D486-M486)^2</f>
        <v>17.927264083600004</v>
      </c>
      <c r="O486" s="5">
        <f>(C486+C485)/2</f>
        <v>11.534250000000004</v>
      </c>
      <c r="P486" s="5" t="str">
        <f>IF(AND(D485&gt;6,D486&lt;=6),C485+(6-D485)*(C486-C485)/(D486-D485),"")</f>
        <v/>
      </c>
      <c r="Q486" s="5" t="str">
        <f>IF(AND(D485&gt;5,D486&lt;=5),C485+(5-D485)*(C486-C485)/(D486-D485),"")</f>
        <v/>
      </c>
      <c r="R486" s="5" t="str">
        <f>IF(AND(D485&gt;4,D486&lt;=4),C485+(4-D485)*(C486-C485)/(D486-D485),"")</f>
        <v/>
      </c>
      <c r="S486" s="5" t="str">
        <f>IF(AND(D485&gt;3,D486&lt;=3),C485+(3-D485)*(C486-C485)/(D486-D485),"")</f>
        <v/>
      </c>
    </row>
    <row r="487" spans="1:19" ht="20.100000000000001" customHeight="1">
      <c r="A487" t="s">
        <v>2</v>
      </c>
      <c r="B487">
        <v>142</v>
      </c>
      <c r="C487" s="5">
        <f>('Raw Data'!C142-'Raw Data'!$C$2)/60</f>
        <v>11.659383333333365</v>
      </c>
      <c r="D487" s="5">
        <f>'Raw Data'!J142</f>
        <v>4.2363600000000003</v>
      </c>
      <c r="E487" s="5">
        <f>$D$347-D487</f>
        <v>3.1700900000000001</v>
      </c>
      <c r="F487" s="8">
        <f>10^(-D487)</f>
        <v>5.8028320357883749E-5</v>
      </c>
      <c r="G487" s="5">
        <f>(D487-D486)/(C487-C486)</f>
        <v>2.7511961722469943E-2</v>
      </c>
      <c r="H487" s="5">
        <f>$B$9+$B$10*EXP(-$B$11*C487)</f>
        <v>4.3081302648655253</v>
      </c>
      <c r="I487" s="5">
        <f>D487-H487</f>
        <v>-7.1770264865524958E-2</v>
      </c>
      <c r="J487" s="5">
        <f t="shared" si="14"/>
        <v>5.1509709188676065E-3</v>
      </c>
      <c r="K487" s="5">
        <f>$B$17+$B$16*C487</f>
        <v>4.6235764066209901</v>
      </c>
      <c r="L487" s="5">
        <f>(D487-K487)^2</f>
        <v>0.14993654555647168</v>
      </c>
      <c r="M487" s="5">
        <f>$B$40+$B$41*EXP(-$B$42*C487)</f>
        <v>0</v>
      </c>
      <c r="N487" s="5">
        <f>(D487-M487)^2</f>
        <v>17.946746049600002</v>
      </c>
      <c r="O487" s="5">
        <f>(C487+C486)/2</f>
        <v>11.617583333333338</v>
      </c>
      <c r="P487" s="5" t="str">
        <f>IF(AND(D486&gt;6,D487&lt;=6),C486+(6-D486)*(C487-C486)/(D487-D486),"")</f>
        <v/>
      </c>
      <c r="Q487" s="5" t="str">
        <f>IF(AND(D486&gt;5,D487&lt;=5),C486+(5-D486)*(C487-C486)/(D487-D486),"")</f>
        <v/>
      </c>
      <c r="R487" s="5" t="str">
        <f>IF(AND(D486&gt;4,D487&lt;=4),C486+(4-D486)*(C487-C486)/(D487-D486),"")</f>
        <v/>
      </c>
      <c r="S487" s="5" t="str">
        <f>IF(AND(D486&gt;3,D487&lt;=3),C486+(3-D486)*(C487-C486)/(D487-D486),"")</f>
        <v/>
      </c>
    </row>
    <row r="488" spans="1:19" ht="20.100000000000001" customHeight="1">
      <c r="A488" t="s">
        <v>2</v>
      </c>
      <c r="B488">
        <v>143</v>
      </c>
      <c r="C488" s="5">
        <f>('Raw Data'!C143-'Raw Data'!$C$2)/60</f>
        <v>11.742449999999979</v>
      </c>
      <c r="D488" s="5">
        <f>'Raw Data'!J143</f>
        <v>4.2248299999999999</v>
      </c>
      <c r="E488" s="5">
        <f>$D$347-D488</f>
        <v>3.1816200000000006</v>
      </c>
      <c r="F488" s="8">
        <f>10^(-D488)</f>
        <v>5.9589535484135327E-5</v>
      </c>
      <c r="G488" s="5">
        <f>(D488-D487)/(C488-C487)</f>
        <v>-0.138804173354829</v>
      </c>
      <c r="H488" s="5">
        <f>$B$9+$B$10*EXP(-$B$11*C488)</f>
        <v>4.2995220550523987</v>
      </c>
      <c r="I488" s="5">
        <f>D488-H488</f>
        <v>-7.4692055052398842E-2</v>
      </c>
      <c r="J488" s="5">
        <f t="shared" si="14"/>
        <v>5.5789030879505796E-3</v>
      </c>
      <c r="K488" s="5">
        <f>$B$17+$B$16*C488</f>
        <v>4.6095805139180728</v>
      </c>
      <c r="L488" s="5">
        <f>(D488-K488)^2</f>
        <v>0.14803295796022123</v>
      </c>
      <c r="M488" s="5">
        <f>$B$40+$B$41*EXP(-$B$42*C488)</f>
        <v>0</v>
      </c>
      <c r="N488" s="5">
        <f>(D488-M488)^2</f>
        <v>17.849188528899997</v>
      </c>
      <c r="O488" s="5">
        <f>(C488+C487)/2</f>
        <v>11.700916666666672</v>
      </c>
      <c r="P488" s="5" t="str">
        <f>IF(AND(D487&gt;6,D488&lt;=6),C487+(6-D487)*(C488-C487)/(D488-D487),"")</f>
        <v/>
      </c>
      <c r="Q488" s="5" t="str">
        <f>IF(AND(D487&gt;5,D488&lt;=5),C487+(5-D487)*(C488-C487)/(D488-D487),"")</f>
        <v/>
      </c>
      <c r="R488" s="5" t="str">
        <f>IF(AND(D487&gt;4,D488&lt;=4),C487+(4-D487)*(C488-C487)/(D488-D487),"")</f>
        <v/>
      </c>
      <c r="S488" s="5" t="str">
        <f>IF(AND(D487&gt;3,D488&lt;=3),C487+(3-D487)*(C488-C487)/(D488-D487),"")</f>
        <v/>
      </c>
    </row>
    <row r="489" spans="1:19" ht="20.100000000000001" customHeight="1">
      <c r="A489" t="s">
        <v>2</v>
      </c>
      <c r="B489">
        <v>144</v>
      </c>
      <c r="C489" s="5">
        <f>('Raw Data'!C144-'Raw Data'!$C$2)/60</f>
        <v>11.825783333333311</v>
      </c>
      <c r="D489" s="5">
        <f>'Raw Data'!J144</f>
        <v>4.2248299999999999</v>
      </c>
      <c r="E489" s="5">
        <f>$D$347-D489</f>
        <v>3.1816200000000006</v>
      </c>
      <c r="F489" s="8">
        <f>10^(-D489)</f>
        <v>5.9589535484135327E-5</v>
      </c>
      <c r="G489" s="5">
        <f>(D489-D488)/(C489-C488)</f>
        <v>0</v>
      </c>
      <c r="H489" s="5">
        <f>$B$9+$B$10*EXP(-$B$11*C489)</f>
        <v>4.290996696389243</v>
      </c>
      <c r="I489" s="5">
        <f>D489-H489</f>
        <v>-6.6166696389243107E-2</v>
      </c>
      <c r="J489" s="5">
        <f t="shared" si="14"/>
        <v>4.3780317110662771E-3</v>
      </c>
      <c r="K489" s="5">
        <f>$B$17+$B$16*C489</f>
        <v>4.5955396905804662</v>
      </c>
      <c r="L489" s="5">
        <f>(D489-K489)^2</f>
        <v>0.13742567469026509</v>
      </c>
      <c r="M489" s="5">
        <f>$B$40+$B$41*EXP(-$B$42*C489)</f>
        <v>0</v>
      </c>
      <c r="N489" s="5">
        <f>(D489-M489)^2</f>
        <v>17.849188528899997</v>
      </c>
      <c r="O489" s="5">
        <f>(C489+C488)/2</f>
        <v>11.784116666666645</v>
      </c>
      <c r="P489" s="5" t="str">
        <f>IF(AND(D488&gt;6,D489&lt;=6),C488+(6-D488)*(C489-C488)/(D489-D488),"")</f>
        <v/>
      </c>
      <c r="Q489" s="5" t="str">
        <f>IF(AND(D488&gt;5,D489&lt;=5),C488+(5-D488)*(C489-C488)/(D489-D488),"")</f>
        <v/>
      </c>
      <c r="R489" s="5" t="str">
        <f>IF(AND(D488&gt;4,D489&lt;=4),C488+(4-D488)*(C489-C488)/(D489-D488),"")</f>
        <v/>
      </c>
      <c r="S489" s="5" t="str">
        <f>IF(AND(D488&gt;3,D489&lt;=3),C488+(3-D488)*(C489-C488)/(D489-D488),"")</f>
        <v/>
      </c>
    </row>
    <row r="490" spans="1:19" ht="20.100000000000001" customHeight="1">
      <c r="A490" t="s">
        <v>2</v>
      </c>
      <c r="B490">
        <v>145</v>
      </c>
      <c r="C490" s="5">
        <f>('Raw Data'!C145-'Raw Data'!$C$2)/60</f>
        <v>11.909116666666645</v>
      </c>
      <c r="D490" s="5">
        <f>'Raw Data'!J145</f>
        <v>4.2167500000000002</v>
      </c>
      <c r="E490" s="5">
        <f>$D$347-D490</f>
        <v>3.1897000000000002</v>
      </c>
      <c r="F490" s="8">
        <f>10^(-D490)</f>
        <v>6.0708569564146269E-5</v>
      </c>
      <c r="G490" s="5">
        <f>(D490-D489)/(C490-C489)</f>
        <v>-9.6959999999995022E-2</v>
      </c>
      <c r="H490" s="5">
        <f>$B$9+$B$10*EXP(-$B$11*C490)</f>
        <v>4.2825805840810629</v>
      </c>
      <c r="I490" s="5">
        <f>D490-H490</f>
        <v>-6.5830584081062682E-2</v>
      </c>
      <c r="J490" s="5">
        <f t="shared" si="14"/>
        <v>4.3336658004538633E-3</v>
      </c>
      <c r="K490" s="5">
        <f>$B$17+$B$16*C490</f>
        <v>4.5814988672428596</v>
      </c>
      <c r="L490" s="5">
        <f>(D490-K490)^2</f>
        <v>0.13304173615494905</v>
      </c>
      <c r="M490" s="5">
        <f>$B$40+$B$41*EXP(-$B$42*C490)</f>
        <v>0</v>
      </c>
      <c r="N490" s="5">
        <f>(D490-M490)^2</f>
        <v>17.780980562500002</v>
      </c>
      <c r="O490" s="5">
        <f>(C490+C489)/2</f>
        <v>11.867449999999977</v>
      </c>
      <c r="P490" s="5" t="str">
        <f>IF(AND(D489&gt;6,D490&lt;=6),C489+(6-D489)*(C490-C489)/(D490-D489),"")</f>
        <v/>
      </c>
      <c r="Q490" s="5" t="str">
        <f>IF(AND(D489&gt;5,D490&lt;=5),C489+(5-D489)*(C490-C489)/(D490-D489),"")</f>
        <v/>
      </c>
      <c r="R490" s="5" t="str">
        <f>IF(AND(D489&gt;4,D490&lt;=4),C489+(4-D489)*(C490-C489)/(D490-D489),"")</f>
        <v/>
      </c>
      <c r="S490" s="5" t="str">
        <f>IF(AND(D489&gt;3,D490&lt;=3),C489+(3-D489)*(C490-C489)/(D490-D489),"")</f>
        <v/>
      </c>
    </row>
    <row r="491" spans="1:19" ht="20.100000000000001" customHeight="1">
      <c r="A491" t="s">
        <v>2</v>
      </c>
      <c r="B491">
        <v>146</v>
      </c>
      <c r="C491" s="5">
        <f>('Raw Data'!C146-'Raw Data'!$C$2)/60</f>
        <v>11.992449999999979</v>
      </c>
      <c r="D491" s="5">
        <f>'Raw Data'!J146</f>
        <v>4.2052199999999997</v>
      </c>
      <c r="E491" s="5">
        <f>$D$347-D491</f>
        <v>3.2012300000000007</v>
      </c>
      <c r="F491" s="8">
        <f>10^(-D491)</f>
        <v>6.2341895094027196E-5</v>
      </c>
      <c r="G491" s="5">
        <f>(D491-D490)/(C491-C490)</f>
        <v>-0.13836000000000484</v>
      </c>
      <c r="H491" s="5">
        <f>$B$9+$B$10*EXP(-$B$11*C491)</f>
        <v>4.2742723182141935</v>
      </c>
      <c r="I491" s="5">
        <f>D491-H491</f>
        <v>-6.9052318214193775E-2</v>
      </c>
      <c r="J491" s="5">
        <f t="shared" si="14"/>
        <v>4.7682226507542776E-3</v>
      </c>
      <c r="K491" s="5">
        <f>$B$17+$B$16*C491</f>
        <v>4.567458043905253</v>
      </c>
      <c r="L491" s="5">
        <f>(D491-K491)^2</f>
        <v>0.1312164004523042</v>
      </c>
      <c r="M491" s="5">
        <f>$B$40+$B$41*EXP(-$B$42*C491)</f>
        <v>0</v>
      </c>
      <c r="N491" s="5">
        <f>(D491-M491)^2</f>
        <v>17.683875248399996</v>
      </c>
      <c r="O491" s="5">
        <f>(C491+C490)/2</f>
        <v>11.950783333333312</v>
      </c>
      <c r="P491" s="5" t="str">
        <f>IF(AND(D490&gt;6,D491&lt;=6),C490+(6-D490)*(C491-C490)/(D491-D490),"")</f>
        <v/>
      </c>
      <c r="Q491" s="5" t="str">
        <f>IF(AND(D490&gt;5,D491&lt;=5),C490+(5-D490)*(C491-C490)/(D491-D490),"")</f>
        <v/>
      </c>
      <c r="R491" s="5" t="str">
        <f>IF(AND(D490&gt;4,D491&lt;=4),C490+(4-D490)*(C491-C490)/(D491-D490),"")</f>
        <v/>
      </c>
      <c r="S491" s="5" t="str">
        <f>IF(AND(D490&gt;3,D491&lt;=3),C490+(3-D490)*(C491-C490)/(D491-D490),"")</f>
        <v/>
      </c>
    </row>
    <row r="492" spans="1:19" ht="20.100000000000001" customHeight="1">
      <c r="A492" t="s">
        <v>2</v>
      </c>
      <c r="B492">
        <v>147</v>
      </c>
      <c r="C492" s="5">
        <f>('Raw Data'!C147-'Raw Data'!$C$2)/60</f>
        <v>12.075516666666712</v>
      </c>
      <c r="D492" s="5">
        <f>'Raw Data'!J147</f>
        <v>4.2063699999999997</v>
      </c>
      <c r="E492" s="5">
        <f>$D$347-D492</f>
        <v>3.2000800000000007</v>
      </c>
      <c r="F492" s="8">
        <f>10^(-D492)</f>
        <v>6.2177033818389981E-5</v>
      </c>
      <c r="G492" s="5">
        <f>(D492-D491)/(C492-C491)</f>
        <v>1.3844301765638835E-2</v>
      </c>
      <c r="H492" s="5">
        <f>$B$9+$B$10*EXP(-$B$11*C492)</f>
        <v>4.266096594233205</v>
      </c>
      <c r="I492" s="5">
        <f>D492-H492</f>
        <v>-5.9726594233205255E-2</v>
      </c>
      <c r="J492" s="5">
        <f t="shared" si="14"/>
        <v>3.567266058697947E-3</v>
      </c>
      <c r="K492" s="5">
        <f>$B$17+$B$16*C492</f>
        <v>4.5534621512023152</v>
      </c>
      <c r="L492" s="5">
        <f>(D492-K492)^2</f>
        <v>0.12047296142625105</v>
      </c>
      <c r="M492" s="5">
        <f>$B$40+$B$41*EXP(-$B$42*C492)</f>
        <v>0</v>
      </c>
      <c r="N492" s="5">
        <f>(D492-M492)^2</f>
        <v>17.693548576899996</v>
      </c>
      <c r="O492" s="5">
        <f>(C492+C491)/2</f>
        <v>12.033983333333346</v>
      </c>
      <c r="P492" s="5" t="str">
        <f>IF(AND(D491&gt;6,D492&lt;=6),C491+(6-D491)*(C492-C491)/(D492-D491),"")</f>
        <v/>
      </c>
      <c r="Q492" s="5" t="str">
        <f>IF(AND(D491&gt;5,D492&lt;=5),C491+(5-D491)*(C492-C491)/(D492-D491),"")</f>
        <v/>
      </c>
      <c r="R492" s="5" t="str">
        <f>IF(AND(D491&gt;4,D492&lt;=4),C491+(4-D491)*(C492-C491)/(D492-D491),"")</f>
        <v/>
      </c>
      <c r="S492" s="5" t="str">
        <f>IF(AND(D491&gt;3,D492&lt;=3),C491+(3-D491)*(C492-C491)/(D492-D491),"")</f>
        <v/>
      </c>
    </row>
    <row r="493" spans="1:19" ht="20.100000000000001" customHeight="1">
      <c r="A493" t="s">
        <v>2</v>
      </c>
      <c r="B493">
        <v>148</v>
      </c>
      <c r="C493" s="5">
        <f>('Raw Data'!C148-'Raw Data'!$C$2)/60</f>
        <v>12.158850000000045</v>
      </c>
      <c r="D493" s="5">
        <f>'Raw Data'!J148</f>
        <v>4.1948299999999996</v>
      </c>
      <c r="E493" s="5">
        <f>$D$347-D493</f>
        <v>3.2116200000000008</v>
      </c>
      <c r="F493" s="8">
        <f>10^(-D493)</f>
        <v>6.3851337661392467E-5</v>
      </c>
      <c r="G493" s="5">
        <f>(D493-D492)/(C493-C492)</f>
        <v>-0.1384800000000003</v>
      </c>
      <c r="H493" s="5">
        <f>$B$9+$B$10*EXP(-$B$11*C493)</f>
        <v>4.2579995588702317</v>
      </c>
      <c r="I493" s="5">
        <f>D493-H493</f>
        <v>-6.3169558870232123E-2</v>
      </c>
      <c r="J493" s="5">
        <f t="shared" si="14"/>
        <v>3.9903931678597218E-3</v>
      </c>
      <c r="K493" s="5">
        <f>$B$17+$B$16*C493</f>
        <v>4.5394213278647086</v>
      </c>
      <c r="L493" s="5">
        <f>(D493-K493)^2</f>
        <v>0.1187431832395634</v>
      </c>
      <c r="M493" s="5">
        <f>$B$40+$B$41*EXP(-$B$42*C493)</f>
        <v>0</v>
      </c>
      <c r="N493" s="5">
        <f>(D493-M493)^2</f>
        <v>17.596598728899998</v>
      </c>
      <c r="O493" s="5">
        <f>(C493+C492)/2</f>
        <v>12.117183333333379</v>
      </c>
      <c r="P493" s="5" t="str">
        <f>IF(AND(D492&gt;6,D493&lt;=6),C492+(6-D492)*(C493-C492)/(D493-D492),"")</f>
        <v/>
      </c>
      <c r="Q493" s="5" t="str">
        <f>IF(AND(D492&gt;5,D493&lt;=5),C492+(5-D492)*(C493-C492)/(D493-D492),"")</f>
        <v/>
      </c>
      <c r="R493" s="5" t="str">
        <f>IF(AND(D492&gt;4,D493&lt;=4),C492+(4-D492)*(C493-C492)/(D493-D492),"")</f>
        <v/>
      </c>
      <c r="S493" s="5" t="str">
        <f>IF(AND(D492&gt;3,D493&lt;=3),C492+(3-D492)*(C493-C492)/(D493-D492),"")</f>
        <v/>
      </c>
    </row>
    <row r="494" spans="1:19" ht="20.100000000000001" customHeight="1">
      <c r="A494" t="s">
        <v>2</v>
      </c>
      <c r="B494">
        <v>149</v>
      </c>
      <c r="C494" s="5">
        <f>('Raw Data'!C149-'Raw Data'!$C$2)/60</f>
        <v>12.242183333333378</v>
      </c>
      <c r="D494" s="5">
        <f>'Raw Data'!J149</f>
        <v>4.1971400000000001</v>
      </c>
      <c r="E494" s="5">
        <f>$D$347-D494</f>
        <v>3.2093100000000003</v>
      </c>
      <c r="F494" s="8">
        <f>10^(-D494)</f>
        <v>6.3512615836451127E-5</v>
      </c>
      <c r="G494" s="5">
        <f>(D494-D493)/(C494-C493)</f>
        <v>2.7720000000006136E-2</v>
      </c>
      <c r="H494" s="5">
        <f>$B$9+$B$10*EXP(-$B$11*C494)</f>
        <v>4.2500062812064296</v>
      </c>
      <c r="I494" s="5">
        <f>D494-H494</f>
        <v>-5.2866281206429555E-2</v>
      </c>
      <c r="J494" s="5">
        <f t="shared" si="14"/>
        <v>2.7948436885972868E-3</v>
      </c>
      <c r="K494" s="5">
        <f>$B$17+$B$16*C494</f>
        <v>4.5253805045271012</v>
      </c>
      <c r="L494" s="5">
        <f>(D494-K494)^2</f>
        <v>0.10774182881220586</v>
      </c>
      <c r="M494" s="5">
        <f>$B$40+$B$41*EXP(-$B$42*C494)</f>
        <v>0</v>
      </c>
      <c r="N494" s="5">
        <f>(D494-M494)^2</f>
        <v>17.615984179600002</v>
      </c>
      <c r="O494" s="5">
        <f>(C494+C493)/2</f>
        <v>12.200516666666712</v>
      </c>
      <c r="P494" s="5" t="str">
        <f>IF(AND(D493&gt;6,D494&lt;=6),C493+(6-D493)*(C494-C493)/(D494-D493),"")</f>
        <v/>
      </c>
      <c r="Q494" s="5" t="str">
        <f>IF(AND(D493&gt;5,D494&lt;=5),C493+(5-D493)*(C494-C493)/(D494-D493),"")</f>
        <v/>
      </c>
      <c r="R494" s="5" t="str">
        <f>IF(AND(D493&gt;4,D494&lt;=4),C493+(4-D493)*(C494-C493)/(D494-D493),"")</f>
        <v/>
      </c>
      <c r="S494" s="5" t="str">
        <f>IF(AND(D493&gt;3,D494&lt;=3),C493+(3-D493)*(C494-C493)/(D494-D493),"")</f>
        <v/>
      </c>
    </row>
    <row r="495" spans="1:19" ht="20.100000000000001" customHeight="1">
      <c r="A495" t="s">
        <v>2</v>
      </c>
      <c r="B495">
        <v>150</v>
      </c>
      <c r="C495" s="5">
        <f>('Raw Data'!C150-'Raw Data'!$C$2)/60</f>
        <v>12.325516666666712</v>
      </c>
      <c r="D495" s="5">
        <f>'Raw Data'!J150</f>
        <v>4.1786799999999999</v>
      </c>
      <c r="E495" s="5">
        <f>$D$347-D495</f>
        <v>3.2277700000000005</v>
      </c>
      <c r="F495" s="8">
        <f>10^(-D495)</f>
        <v>6.6270462266127111E-5</v>
      </c>
      <c r="G495" s="5">
        <f>(D495-D494)/(C495-C494)</f>
        <v>-0.22152000000000013</v>
      </c>
      <c r="H495" s="5">
        <f>$B$9+$B$10*EXP(-$B$11*C495)</f>
        <v>4.2421154316613237</v>
      </c>
      <c r="I495" s="5">
        <f>D495-H495</f>
        <v>-6.3435431661323705E-2</v>
      </c>
      <c r="J495" s="5">
        <f t="shared" si="14"/>
        <v>4.0240539900584698E-3</v>
      </c>
      <c r="K495" s="5">
        <f>$B$17+$B$16*C495</f>
        <v>4.5113396811894955</v>
      </c>
      <c r="L495" s="5">
        <f>(D495-K495)^2</f>
        <v>0.11066246348909679</v>
      </c>
      <c r="M495" s="5">
        <f>$B$40+$B$41*EXP(-$B$42*C495)</f>
        <v>0</v>
      </c>
      <c r="N495" s="5">
        <f>(D495-M495)^2</f>
        <v>17.4613665424</v>
      </c>
      <c r="O495" s="5">
        <f>(C495+C494)/2</f>
        <v>12.283850000000044</v>
      </c>
      <c r="P495" s="5" t="str">
        <f>IF(AND(D494&gt;6,D495&lt;=6),C494+(6-D494)*(C495-C494)/(D495-D494),"")</f>
        <v/>
      </c>
      <c r="Q495" s="5" t="str">
        <f>IF(AND(D494&gt;5,D495&lt;=5),C494+(5-D494)*(C495-C494)/(D495-D494),"")</f>
        <v/>
      </c>
      <c r="R495" s="5" t="str">
        <f>IF(AND(D494&gt;4,D495&lt;=4),C494+(4-D494)*(C495-C494)/(D495-D494),"")</f>
        <v/>
      </c>
      <c r="S495" s="5" t="str">
        <f>IF(AND(D494&gt;3,D495&lt;=3),C494+(3-D494)*(C495-C494)/(D495-D494),"")</f>
        <v/>
      </c>
    </row>
    <row r="496" spans="1:19" ht="20.100000000000001" customHeight="1">
      <c r="A496" t="s">
        <v>2</v>
      </c>
      <c r="B496">
        <v>151</v>
      </c>
      <c r="C496" s="5">
        <f>('Raw Data'!C151-'Raw Data'!$C$2)/60</f>
        <v>12.408600000000055</v>
      </c>
      <c r="D496" s="5">
        <f>'Raw Data'!J151</f>
        <v>4.1821400000000004</v>
      </c>
      <c r="E496" s="5">
        <f>$D$347-D496</f>
        <v>3.22431</v>
      </c>
      <c r="F496" s="8">
        <f>10^(-D496)</f>
        <v>6.5744586768416691E-5</v>
      </c>
      <c r="G496" s="5">
        <f>(D496-D495)/(C496-C495)</f>
        <v>4.1644934804413766E-2</v>
      </c>
      <c r="H496" s="5">
        <f>$B$9+$B$10*EXP(-$B$11*C496)</f>
        <v>4.2343489169696831</v>
      </c>
      <c r="I496" s="5">
        <f>D496-H496</f>
        <v>-5.2208916969682662E-2</v>
      </c>
      <c r="J496" s="5">
        <f t="shared" si="14"/>
        <v>2.7257710111472182E-3</v>
      </c>
      <c r="K496" s="5">
        <f>$B$17+$B$16*C496</f>
        <v>4.4973409803218996</v>
      </c>
      <c r="L496" s="5">
        <f>(D496-K496)^2</f>
        <v>9.9351657995886244E-2</v>
      </c>
      <c r="M496" s="5">
        <f>$B$40+$B$41*EXP(-$B$42*C496)</f>
        <v>0</v>
      </c>
      <c r="N496" s="5">
        <f>(D496-M496)^2</f>
        <v>17.490294979600005</v>
      </c>
      <c r="O496" s="5">
        <f>(C496+C495)/2</f>
        <v>12.367058333333382</v>
      </c>
      <c r="P496" s="5" t="str">
        <f>IF(AND(D495&gt;6,D496&lt;=6),C495+(6-D495)*(C496-C495)/(D496-D495),"")</f>
        <v/>
      </c>
      <c r="Q496" s="5" t="str">
        <f>IF(AND(D495&gt;5,D496&lt;=5),C495+(5-D495)*(C496-C495)/(D496-D495),"")</f>
        <v/>
      </c>
      <c r="R496" s="5" t="str">
        <f>IF(AND(D495&gt;4,D496&lt;=4),C495+(4-D495)*(C496-C495)/(D496-D495),"")</f>
        <v/>
      </c>
      <c r="S496" s="5" t="str">
        <f>IF(AND(D495&gt;3,D496&lt;=3),C495+(3-D495)*(C496-C495)/(D496-D495),"")</f>
        <v/>
      </c>
    </row>
    <row r="497" spans="1:19" ht="20.100000000000001" customHeight="1">
      <c r="A497" t="s">
        <v>2</v>
      </c>
      <c r="B497">
        <v>152</v>
      </c>
      <c r="C497" s="5">
        <f>('Raw Data'!C152-'Raw Data'!$C$2)/60</f>
        <v>12.492183333333378</v>
      </c>
      <c r="D497" s="5">
        <f>'Raw Data'!J152</f>
        <v>4.1729200000000004</v>
      </c>
      <c r="E497" s="5">
        <f>$D$347-D497</f>
        <v>3.23353</v>
      </c>
      <c r="F497" s="8">
        <f>10^(-D497)</f>
        <v>6.7155254608358285E-5</v>
      </c>
      <c r="G497" s="5">
        <f>(D497-D496)/(C497-C496)</f>
        <v>-0.11030907278166915</v>
      </c>
      <c r="H497" s="5">
        <f>$B$9+$B$10*EXP(-$B$11*C497)</f>
        <v>4.2266357835750643</v>
      </c>
      <c r="I497" s="5">
        <f>D497-H497</f>
        <v>-5.3715783575063902E-2</v>
      </c>
      <c r="J497" s="5">
        <f t="shared" si="14"/>
        <v>2.8853854050831049E-3</v>
      </c>
      <c r="K497" s="5">
        <f>$B$17+$B$16*C497</f>
        <v>4.4832580345142814</v>
      </c>
      <c r="L497" s="5">
        <f>(D497-K497)^2</f>
        <v>9.6309695666187065E-2</v>
      </c>
      <c r="M497" s="5">
        <f>$B$40+$B$41*EXP(-$B$42*C497)</f>
        <v>0</v>
      </c>
      <c r="N497" s="5">
        <f>(D497-M497)^2</f>
        <v>17.413261326400004</v>
      </c>
      <c r="O497" s="5">
        <f>(C497+C496)/2</f>
        <v>12.450391666666716</v>
      </c>
      <c r="P497" s="5" t="str">
        <f>IF(AND(D496&gt;6,D497&lt;=6),C496+(6-D496)*(C497-C496)/(D497-D496),"")</f>
        <v/>
      </c>
      <c r="Q497" s="5" t="str">
        <f>IF(AND(D496&gt;5,D497&lt;=5),C496+(5-D496)*(C497-C496)/(D497-D496),"")</f>
        <v/>
      </c>
      <c r="R497" s="5" t="str">
        <f>IF(AND(D496&gt;4,D497&lt;=4),C496+(4-D496)*(C497-C496)/(D497-D496),"")</f>
        <v/>
      </c>
      <c r="S497" s="5" t="str">
        <f>IF(AND(D496&gt;3,D497&lt;=3),C496+(3-D496)*(C497-C496)/(D497-D496),"")</f>
        <v/>
      </c>
    </row>
    <row r="498" spans="1:19" ht="20.100000000000001" customHeight="1">
      <c r="A498" t="s">
        <v>2</v>
      </c>
      <c r="B498">
        <v>153</v>
      </c>
      <c r="C498" s="5">
        <f>('Raw Data'!C153-'Raw Data'!$C$2)/60</f>
        <v>12.575266666666721</v>
      </c>
      <c r="D498" s="5">
        <f>'Raw Data'!J153</f>
        <v>4.1556100000000002</v>
      </c>
      <c r="E498" s="5">
        <f>$D$347-D498</f>
        <v>3.2508400000000002</v>
      </c>
      <c r="F498" s="8">
        <f>10^(-D498)</f>
        <v>6.9885970411007639E-5</v>
      </c>
      <c r="G498" s="5">
        <f>(D498-D497)/(C498-C497)</f>
        <v>-0.20834503510529265</v>
      </c>
      <c r="H498" s="5">
        <f>$B$9+$B$10*EXP(-$B$11*C498)</f>
        <v>4.2190670382041553</v>
      </c>
      <c r="I498" s="5">
        <f>D498-H498</f>
        <v>-6.3457038204155047E-2</v>
      </c>
      <c r="J498" s="5">
        <f t="shared" si="14"/>
        <v>4.0267956976435936E-3</v>
      </c>
      <c r="K498" s="5">
        <f>$B$17+$B$16*C498</f>
        <v>4.4692593336466864</v>
      </c>
      <c r="L498" s="5">
        <f>(D498-K498)^2</f>
        <v>9.8375904497010239E-2</v>
      </c>
      <c r="M498" s="5">
        <f>$B$40+$B$41*EXP(-$B$42*C498)</f>
        <v>0</v>
      </c>
      <c r="N498" s="5">
        <f>(D498-M498)^2</f>
        <v>17.269094472100001</v>
      </c>
      <c r="O498" s="5">
        <f>(C498+C497)/2</f>
        <v>12.53372500000005</v>
      </c>
      <c r="P498" s="5" t="str">
        <f>IF(AND(D497&gt;6,D498&lt;=6),C497+(6-D497)*(C498-C497)/(D498-D497),"")</f>
        <v/>
      </c>
      <c r="Q498" s="5" t="str">
        <f>IF(AND(D497&gt;5,D498&lt;=5),C497+(5-D497)*(C498-C497)/(D498-D497),"")</f>
        <v/>
      </c>
      <c r="R498" s="5" t="str">
        <f>IF(AND(D497&gt;4,D498&lt;=4),C497+(4-D497)*(C498-C497)/(D498-D497),"")</f>
        <v/>
      </c>
      <c r="S498" s="5" t="str">
        <f>IF(AND(D497&gt;3,D498&lt;=3),C497+(3-D497)*(C498-C497)/(D498-D497),"")</f>
        <v/>
      </c>
    </row>
    <row r="499" spans="1:19" ht="20.100000000000001" customHeight="1">
      <c r="A499" t="s">
        <v>2</v>
      </c>
      <c r="B499">
        <v>154</v>
      </c>
      <c r="C499" s="5">
        <f>('Raw Data'!C154-'Raw Data'!$C$2)/60</f>
        <v>12.658600000000055</v>
      </c>
      <c r="D499" s="5">
        <f>'Raw Data'!J154</f>
        <v>4.1625300000000003</v>
      </c>
      <c r="E499" s="5">
        <f>$D$347-D499</f>
        <v>3.2439200000000001</v>
      </c>
      <c r="F499" s="8">
        <f>10^(-D499)</f>
        <v>6.878123982704973E-5</v>
      </c>
      <c r="G499" s="5">
        <f>(D499-D498)/(C499-C498)</f>
        <v>8.303999999999985E-2</v>
      </c>
      <c r="H499" s="5">
        <f>$B$9+$B$10*EXP(-$B$11*C499)</f>
        <v>4.2115726528615784</v>
      </c>
      <c r="I499" s="5">
        <f>D499-H499</f>
        <v>-4.9042652861578162E-2</v>
      </c>
      <c r="J499" s="5">
        <f t="shared" si="14"/>
        <v>2.4051817997012607E-3</v>
      </c>
      <c r="K499" s="5">
        <f>$B$17+$B$16*C499</f>
        <v>4.4552185103090789</v>
      </c>
      <c r="L499" s="5">
        <f>(D499-K499)^2</f>
        <v>8.5666564066947615E-2</v>
      </c>
      <c r="M499" s="5">
        <f>$B$40+$B$41*EXP(-$B$42*C499)</f>
        <v>0</v>
      </c>
      <c r="N499" s="5">
        <f>(D499-M499)^2</f>
        <v>17.326656000900002</v>
      </c>
      <c r="O499" s="5">
        <f>(C499+C498)/2</f>
        <v>12.616933333333389</v>
      </c>
      <c r="P499" s="5" t="str">
        <f>IF(AND(D498&gt;6,D499&lt;=6),C498+(6-D498)*(C499-C498)/(D499-D498),"")</f>
        <v/>
      </c>
      <c r="Q499" s="5" t="str">
        <f>IF(AND(D498&gt;5,D499&lt;=5),C498+(5-D498)*(C499-C498)/(D499-D498),"")</f>
        <v/>
      </c>
      <c r="R499" s="5" t="str">
        <f>IF(AND(D498&gt;4,D499&lt;=4),C498+(4-D498)*(C499-C498)/(D499-D498),"")</f>
        <v/>
      </c>
      <c r="S499" s="5" t="str">
        <f>IF(AND(D498&gt;3,D499&lt;=3),C498+(3-D498)*(C499-C498)/(D499-D498),"")</f>
        <v/>
      </c>
    </row>
    <row r="500" spans="1:19" ht="20.100000000000001" customHeight="1">
      <c r="A500" t="s">
        <v>2</v>
      </c>
      <c r="B500">
        <v>155</v>
      </c>
      <c r="C500" s="5">
        <f>('Raw Data'!C155-'Raw Data'!$C$2)/60</f>
        <v>12.741933333333387</v>
      </c>
      <c r="D500" s="5">
        <f>'Raw Data'!J155</f>
        <v>4.1498400000000002</v>
      </c>
      <c r="E500" s="5">
        <f>$D$347-D500</f>
        <v>3.2566100000000002</v>
      </c>
      <c r="F500" s="8">
        <f>10^(-D500)</f>
        <v>7.0820664929984313E-5</v>
      </c>
      <c r="G500" s="5">
        <f>(D500-D499)/(C500-C499)</f>
        <v>-0.15228000000000325</v>
      </c>
      <c r="H500" s="5">
        <f>$B$9+$B$10*EXP(-$B$11*C500)</f>
        <v>4.2041743026905172</v>
      </c>
      <c r="I500" s="5">
        <f>D500-H500</f>
        <v>-5.4334302690516978E-2</v>
      </c>
      <c r="J500" s="5">
        <f t="shared" si="14"/>
        <v>2.9522164488647207E-3</v>
      </c>
      <c r="K500" s="5">
        <f>$B$17+$B$16*C500</f>
        <v>4.4411776869714723</v>
      </c>
      <c r="L500" s="5">
        <f>(D500-K500)^2</f>
        <v>8.4877647849887466E-2</v>
      </c>
      <c r="M500" s="5">
        <f>$B$40+$B$41*EXP(-$B$42*C500)</f>
        <v>0</v>
      </c>
      <c r="N500" s="5">
        <f>(D500-M500)^2</f>
        <v>17.221172025600001</v>
      </c>
      <c r="O500" s="5">
        <f>(C500+C499)/2</f>
        <v>12.700266666666721</v>
      </c>
      <c r="P500" s="5" t="str">
        <f>IF(AND(D499&gt;6,D500&lt;=6),C499+(6-D499)*(C500-C499)/(D500-D499),"")</f>
        <v/>
      </c>
      <c r="Q500" s="5" t="str">
        <f>IF(AND(D499&gt;5,D500&lt;=5),C499+(5-D499)*(C500-C499)/(D500-D499),"")</f>
        <v/>
      </c>
      <c r="R500" s="5" t="str">
        <f>IF(AND(D499&gt;4,D500&lt;=4),C499+(4-D499)*(C500-C499)/(D500-D499),"")</f>
        <v/>
      </c>
      <c r="S500" s="5" t="str">
        <f>IF(AND(D499&gt;3,D500&lt;=3),C499+(3-D499)*(C500-C499)/(D500-D499),"")</f>
        <v/>
      </c>
    </row>
    <row r="501" spans="1:19" ht="20.100000000000001" customHeight="1">
      <c r="A501" t="s">
        <v>2</v>
      </c>
      <c r="B501">
        <v>156</v>
      </c>
      <c r="C501" s="5">
        <f>('Raw Data'!C156-'Raw Data'!$C$2)/60</f>
        <v>12.825266666666721</v>
      </c>
      <c r="D501" s="5">
        <f>'Raw Data'!J156</f>
        <v>4.1429200000000002</v>
      </c>
      <c r="E501" s="5">
        <f>$D$347-D501</f>
        <v>3.2635300000000003</v>
      </c>
      <c r="F501" s="8">
        <f>10^(-D501)</f>
        <v>7.1958151761002614E-5</v>
      </c>
      <c r="G501" s="5">
        <f>(D501-D500)/(C501-C500)</f>
        <v>-8.303999999999985E-2</v>
      </c>
      <c r="H501" s="5">
        <f>$B$9+$B$10*EXP(-$B$11*C501)</f>
        <v>4.1968707570691466</v>
      </c>
      <c r="I501" s="5">
        <f>D501-H501</f>
        <v>-5.3950757069146427E-2</v>
      </c>
      <c r="J501" s="5">
        <f t="shared" si="14"/>
        <v>2.910684188334053E-3</v>
      </c>
      <c r="K501" s="5">
        <f>$B$17+$B$16*C501</f>
        <v>4.4271368636338657</v>
      </c>
      <c r="L501" s="5">
        <f>(D501-K501)^2</f>
        <v>8.0779225573871336E-2</v>
      </c>
      <c r="M501" s="5">
        <f>$B$40+$B$41*EXP(-$B$42*C501)</f>
        <v>0</v>
      </c>
      <c r="N501" s="5">
        <f>(D501-M501)^2</f>
        <v>17.163786126400002</v>
      </c>
      <c r="O501" s="5">
        <f>(C501+C500)/2</f>
        <v>12.783600000000053</v>
      </c>
      <c r="P501" s="5" t="str">
        <f>IF(AND(D500&gt;6,D501&lt;=6),C500+(6-D500)*(C501-C500)/(D501-D500),"")</f>
        <v/>
      </c>
      <c r="Q501" s="5" t="str">
        <f>IF(AND(D500&gt;5,D501&lt;=5),C500+(5-D500)*(C501-C500)/(D501-D500),"")</f>
        <v/>
      </c>
      <c r="R501" s="5" t="str">
        <f>IF(AND(D500&gt;4,D501&lt;=4),C500+(4-D500)*(C501-C500)/(D501-D500),"")</f>
        <v/>
      </c>
      <c r="S501" s="5" t="str">
        <f>IF(AND(D500&gt;3,D501&lt;=3),C500+(3-D500)*(C501-C500)/(D501-D500),"")</f>
        <v/>
      </c>
    </row>
    <row r="502" spans="1:19" ht="20.100000000000001" customHeight="1">
      <c r="A502" t="s">
        <v>2</v>
      </c>
      <c r="B502">
        <v>157</v>
      </c>
      <c r="C502" s="5">
        <f>('Raw Data'!C157-'Raw Data'!$C$2)/60</f>
        <v>12.908333333333333</v>
      </c>
      <c r="D502" s="5">
        <f>'Raw Data'!J157</f>
        <v>4.1498400000000002</v>
      </c>
      <c r="E502" s="5">
        <f>$D$347-D502</f>
        <v>3.2566100000000002</v>
      </c>
      <c r="F502" s="8">
        <f>10^(-D502)</f>
        <v>7.0820664929984313E-5</v>
      </c>
      <c r="G502" s="5">
        <f>(D502-D501)/(C502-C501)</f>
        <v>8.3306581059445092E-2</v>
      </c>
      <c r="H502" s="5">
        <f>$B$9+$B$10*EXP(-$B$11*C502)</f>
        <v>4.1896837250170185</v>
      </c>
      <c r="I502" s="5">
        <f>D502-H502</f>
        <v>-3.9843725017018272E-2</v>
      </c>
      <c r="J502" s="5">
        <f t="shared" si="14"/>
        <v>1.5875224232317676E-3</v>
      </c>
      <c r="K502" s="5">
        <f>$B$17+$B$16*C502</f>
        <v>4.4131409709309484</v>
      </c>
      <c r="L502" s="5">
        <f>(D502-K502)^2</f>
        <v>6.9327401293180019E-2</v>
      </c>
      <c r="M502" s="5">
        <f>$B$40+$B$41*EXP(-$B$42*C502)</f>
        <v>0</v>
      </c>
      <c r="N502" s="5">
        <f>(D502-M502)^2</f>
        <v>17.221172025600001</v>
      </c>
      <c r="O502" s="5">
        <f>(C502+C501)/2</f>
        <v>12.866800000000026</v>
      </c>
      <c r="P502" s="5" t="str">
        <f>IF(AND(D501&gt;6,D502&lt;=6),C501+(6-D501)*(C502-C501)/(D502-D501),"")</f>
        <v/>
      </c>
      <c r="Q502" s="5" t="str">
        <f>IF(AND(D501&gt;5,D502&lt;=5),C501+(5-D501)*(C502-C501)/(D502-D501),"")</f>
        <v/>
      </c>
      <c r="R502" s="5" t="str">
        <f>IF(AND(D501&gt;4,D502&lt;=4),C501+(4-D501)*(C502-C501)/(D502-D501),"")</f>
        <v/>
      </c>
      <c r="S502" s="5" t="str">
        <f>IF(AND(D501&gt;3,D502&lt;=3),C501+(3-D501)*(C502-C501)/(D502-D501),"")</f>
        <v/>
      </c>
    </row>
    <row r="503" spans="1:19" ht="20.100000000000001" customHeight="1">
      <c r="A503" t="s">
        <v>2</v>
      </c>
      <c r="B503">
        <v>158</v>
      </c>
      <c r="C503" s="5">
        <f>('Raw Data'!C158-'Raw Data'!$C$2)/60</f>
        <v>12.991933333333387</v>
      </c>
      <c r="D503" s="5">
        <f>'Raw Data'!J158</f>
        <v>4.1383099999999997</v>
      </c>
      <c r="E503" s="5">
        <f>$D$347-D503</f>
        <v>3.2681400000000007</v>
      </c>
      <c r="F503" s="8">
        <f>10^(-D503)</f>
        <v>7.2726049967117556E-5</v>
      </c>
      <c r="G503" s="5">
        <f>(D503-D502)/(C503-C502)</f>
        <v>-0.13791866028699828</v>
      </c>
      <c r="H503" s="5">
        <f>$B$9+$B$10*EXP(-$B$11*C503)</f>
        <v>4.1825432356337817</v>
      </c>
      <c r="I503" s="5">
        <f>D503-H503</f>
        <v>-4.4233235633782009E-2</v>
      </c>
      <c r="J503" s="5">
        <f t="shared" si="14"/>
        <v>1.9565791346336826E-3</v>
      </c>
      <c r="K503" s="5">
        <f>$B$17+$B$16*C503</f>
        <v>4.3990552169586525</v>
      </c>
      <c r="L503" s="5">
        <f>(D503-K503)^2</f>
        <v>6.7988068166814936E-2</v>
      </c>
      <c r="M503" s="5">
        <f>$B$40+$B$41*EXP(-$B$42*C503)</f>
        <v>0</v>
      </c>
      <c r="N503" s="5">
        <f>(D503-M503)^2</f>
        <v>17.125609656099996</v>
      </c>
      <c r="O503" s="5">
        <f>(C503+C502)/2</f>
        <v>12.95013333333336</v>
      </c>
      <c r="P503" s="5" t="str">
        <f>IF(AND(D502&gt;6,D503&lt;=6),C502+(6-D502)*(C503-C502)/(D503-D502),"")</f>
        <v/>
      </c>
      <c r="Q503" s="5" t="str">
        <f>IF(AND(D502&gt;5,D503&lt;=5),C502+(5-D502)*(C503-C502)/(D503-D502),"")</f>
        <v/>
      </c>
      <c r="R503" s="5" t="str">
        <f>IF(AND(D502&gt;4,D503&lt;=4),C502+(4-D502)*(C503-C502)/(D503-D502),"")</f>
        <v/>
      </c>
      <c r="S503" s="5" t="str">
        <f>IF(AND(D502&gt;3,D503&lt;=3),C502+(3-D502)*(C503-C502)/(D503-D502),"")</f>
        <v/>
      </c>
    </row>
    <row r="504" spans="1:19" ht="20.100000000000001" customHeight="1">
      <c r="A504" t="s">
        <v>2</v>
      </c>
      <c r="B504">
        <v>159</v>
      </c>
      <c r="C504" s="5">
        <f>('Raw Data'!C159-'Raw Data'!$C$2)/60</f>
        <v>13.074999999999999</v>
      </c>
      <c r="D504" s="5">
        <f>'Raw Data'!J159</f>
        <v>4.1429200000000002</v>
      </c>
      <c r="E504" s="5">
        <f>$D$347-D504</f>
        <v>3.2635300000000003</v>
      </c>
      <c r="F504" s="8">
        <f>10^(-D504)</f>
        <v>7.1958151761002614E-5</v>
      </c>
      <c r="G504" s="5">
        <f>(D504-D503)/(C504-C503)</f>
        <v>5.5497592295386859E-2</v>
      </c>
      <c r="H504" s="5">
        <f>$B$9+$B$10*EXP(-$B$11*C504)</f>
        <v>4.1755392167482359</v>
      </c>
      <c r="I504" s="5">
        <f>D504-H504</f>
        <v>-3.2619216748235758E-2</v>
      </c>
      <c r="J504" s="5">
        <f t="shared" si="14"/>
        <v>1.0640133012683841E-3</v>
      </c>
      <c r="K504" s="5">
        <f>$B$17+$B$16*C504</f>
        <v>4.3850593242557352</v>
      </c>
      <c r="L504" s="5">
        <f>(D504-K504)^2</f>
        <v>5.8631452351023995E-2</v>
      </c>
      <c r="M504" s="5">
        <f>$B$40+$B$41*EXP(-$B$42*C504)</f>
        <v>0</v>
      </c>
      <c r="N504" s="5">
        <f>(D504-M504)^2</f>
        <v>17.163786126400002</v>
      </c>
      <c r="O504" s="5">
        <f>(C504+C503)/2</f>
        <v>13.033466666666694</v>
      </c>
      <c r="P504" s="5" t="str">
        <f>IF(AND(D503&gt;6,D504&lt;=6),C503+(6-D503)*(C504-C503)/(D504-D503),"")</f>
        <v/>
      </c>
      <c r="Q504" s="5" t="str">
        <f>IF(AND(D503&gt;5,D504&lt;=5),C503+(5-D503)*(C504-C503)/(D504-D503),"")</f>
        <v/>
      </c>
      <c r="R504" s="5" t="str">
        <f>IF(AND(D503&gt;4,D504&lt;=4),C503+(4-D503)*(C504-C503)/(D504-D503),"")</f>
        <v/>
      </c>
      <c r="S504" s="5" t="str">
        <f>IF(AND(D503&gt;3,D504&lt;=3),C503+(3-D503)*(C504-C503)/(D504-D503),"")</f>
        <v/>
      </c>
    </row>
    <row r="505" spans="1:19" ht="20.100000000000001" customHeight="1">
      <c r="A505" t="s">
        <v>2</v>
      </c>
      <c r="B505">
        <v>160</v>
      </c>
      <c r="C505" s="5">
        <f>('Raw Data'!C160-'Raw Data'!$C$2)/60</f>
        <v>13.158066666666734</v>
      </c>
      <c r="D505" s="5">
        <f>'Raw Data'!J160</f>
        <v>4.1313899999999997</v>
      </c>
      <c r="E505" s="5">
        <f>$D$347-D505</f>
        <v>3.2750600000000007</v>
      </c>
      <c r="F505" s="8">
        <f>10^(-D505)</f>
        <v>7.3894140159314541E-5</v>
      </c>
      <c r="G505" s="5">
        <f>(D505-D504)/(C505-C504)</f>
        <v>-0.13880417335462714</v>
      </c>
      <c r="H505" s="5">
        <f>$B$9+$B$10*EXP(-$B$11*C505)</f>
        <v>4.1686246639773055</v>
      </c>
      <c r="I505" s="5">
        <f>D505-H505</f>
        <v>-3.7234663977305793E-2</v>
      </c>
      <c r="J505" s="5">
        <f t="shared" si="14"/>
        <v>1.3864202015028736E-3</v>
      </c>
      <c r="K505" s="5">
        <f>$B$17+$B$16*C505</f>
        <v>4.3710634315527965</v>
      </c>
      <c r="L505" s="5">
        <f>(D505-K505)^2</f>
        <v>5.7443353792293199E-2</v>
      </c>
      <c r="M505" s="5">
        <f>$B$40+$B$41*EXP(-$B$42*C505)</f>
        <v>0</v>
      </c>
      <c r="N505" s="5">
        <f>(D505-M505)^2</f>
        <v>17.068383332099998</v>
      </c>
      <c r="O505" s="5">
        <f>(C505+C504)/2</f>
        <v>13.116533333333367</v>
      </c>
      <c r="P505" s="5" t="str">
        <f>IF(AND(D504&gt;6,D505&lt;=6),C504+(6-D504)*(C505-C504)/(D505-D504),"")</f>
        <v/>
      </c>
      <c r="Q505" s="5" t="str">
        <f>IF(AND(D504&gt;5,D505&lt;=5),C504+(5-D504)*(C505-C504)/(D505-D504),"")</f>
        <v/>
      </c>
      <c r="R505" s="5" t="str">
        <f>IF(AND(D504&gt;4,D505&lt;=4),C504+(4-D504)*(C505-C504)/(D505-D504),"")</f>
        <v/>
      </c>
      <c r="S505" s="5" t="str">
        <f>IF(AND(D504&gt;3,D505&lt;=3),C504+(3-D504)*(C505-C504)/(D505-D504),"")</f>
        <v/>
      </c>
    </row>
    <row r="506" spans="1:19" ht="20.100000000000001" customHeight="1">
      <c r="A506" t="s">
        <v>2</v>
      </c>
      <c r="B506">
        <v>161</v>
      </c>
      <c r="C506" s="5">
        <f>('Raw Data'!C161-'Raw Data'!$C$2)/60</f>
        <v>13.241666666666667</v>
      </c>
      <c r="D506" s="5">
        <f>'Raw Data'!J161</f>
        <v>4.1313899999999997</v>
      </c>
      <c r="E506" s="5">
        <f>$D$347-D506</f>
        <v>3.2750600000000007</v>
      </c>
      <c r="F506" s="8">
        <f>10^(-D506)</f>
        <v>7.3894140159314541E-5</v>
      </c>
      <c r="G506" s="5">
        <f>(D506-D505)/(C506-C505)</f>
        <v>0</v>
      </c>
      <c r="H506" s="5">
        <f>$B$9+$B$10*EXP(-$B$11*C506)</f>
        <v>4.1617548893203393</v>
      </c>
      <c r="I506" s="5">
        <f>D506-H506</f>
        <v>-3.036488932033965E-2</v>
      </c>
      <c r="J506" s="5">
        <f t="shared" si="14"/>
        <v>9.2202650343647691E-4</v>
      </c>
      <c r="K506" s="5">
        <f>$B$17+$B$16*C506</f>
        <v>4.3569776775805211</v>
      </c>
      <c r="L506" s="5">
        <f>(D506-K506)^2</f>
        <v>5.0889800276173298E-2</v>
      </c>
      <c r="M506" s="5">
        <f>$B$40+$B$41*EXP(-$B$42*C506)</f>
        <v>0</v>
      </c>
      <c r="N506" s="5">
        <f>(D506-M506)^2</f>
        <v>17.068383332099998</v>
      </c>
      <c r="O506" s="5">
        <f>(C506+C505)/2</f>
        <v>13.199866666666701</v>
      </c>
      <c r="P506" s="5" t="str">
        <f>IF(AND(D505&gt;6,D506&lt;=6),C505+(6-D505)*(C506-C505)/(D506-D505),"")</f>
        <v/>
      </c>
      <c r="Q506" s="5" t="str">
        <f>IF(AND(D505&gt;5,D506&lt;=5),C505+(5-D505)*(C506-C505)/(D506-D505),"")</f>
        <v/>
      </c>
      <c r="R506" s="5" t="str">
        <f>IF(AND(D505&gt;4,D506&lt;=4),C505+(4-D505)*(C506-C505)/(D506-D505),"")</f>
        <v/>
      </c>
      <c r="S506" s="5" t="str">
        <f>IF(AND(D505&gt;3,D506&lt;=3),C505+(3-D505)*(C506-C505)/(D506-D505),"")</f>
        <v/>
      </c>
    </row>
    <row r="507" spans="1:19" ht="20.100000000000001" customHeight="1">
      <c r="A507" t="s">
        <v>2</v>
      </c>
      <c r="B507">
        <v>162</v>
      </c>
      <c r="C507" s="5">
        <f>('Raw Data'!C162-'Raw Data'!$C$2)/60</f>
        <v>13.3247333333334</v>
      </c>
      <c r="D507" s="5">
        <f>'Raw Data'!J162</f>
        <v>4.1279199999999996</v>
      </c>
      <c r="E507" s="5">
        <f>$D$347-D507</f>
        <v>3.2785300000000008</v>
      </c>
      <c r="F507" s="8">
        <f>10^(-D507)</f>
        <v>7.4486917124125414E-5</v>
      </c>
      <c r="G507" s="5">
        <f>(D507-D506)/(C507-C506)</f>
        <v>-4.1773675762407453E-2</v>
      </c>
      <c r="H507" s="5">
        <f>$B$9+$B$10*EXP(-$B$11*C507)</f>
        <v>4.1550164112056684</v>
      </c>
      <c r="I507" s="5">
        <f>D507-H507</f>
        <v>-2.7096411205668858E-2</v>
      </c>
      <c r="J507" s="5">
        <f t="shared" si="14"/>
        <v>7.3421550022669685E-4</v>
      </c>
      <c r="K507" s="5">
        <f>$B$17+$B$16*C507</f>
        <v>4.3429817848775834</v>
      </c>
      <c r="L507" s="5">
        <f>(D507-K507)^2</f>
        <v>4.6251571314732114E-2</v>
      </c>
      <c r="M507" s="5">
        <f>$B$40+$B$41*EXP(-$B$42*C507)</f>
        <v>0</v>
      </c>
      <c r="N507" s="5">
        <f>(D507-M507)^2</f>
        <v>17.039723526399996</v>
      </c>
      <c r="O507" s="5">
        <f>(C507+C506)/2</f>
        <v>13.283200000000033</v>
      </c>
      <c r="P507" s="5" t="str">
        <f>IF(AND(D506&gt;6,D507&lt;=6),C506+(6-D506)*(C507-C506)/(D507-D506),"")</f>
        <v/>
      </c>
      <c r="Q507" s="5" t="str">
        <f>IF(AND(D506&gt;5,D507&lt;=5),C506+(5-D506)*(C507-C506)/(D507-D506),"")</f>
        <v/>
      </c>
      <c r="R507" s="5" t="str">
        <f>IF(AND(D506&gt;4,D507&lt;=4),C506+(4-D506)*(C507-C506)/(D507-D506),"")</f>
        <v/>
      </c>
      <c r="S507" s="5" t="str">
        <f>IF(AND(D506&gt;3,D507&lt;=3),C506+(3-D506)*(C507-C506)/(D507-D506),"")</f>
        <v/>
      </c>
    </row>
    <row r="508" spans="1:19" ht="20.100000000000001" customHeight="1">
      <c r="A508" t="s">
        <v>2</v>
      </c>
      <c r="B508">
        <v>163</v>
      </c>
      <c r="C508" s="5">
        <f>('Raw Data'!C163-'Raw Data'!$C$2)/60</f>
        <v>13.408066666666734</v>
      </c>
      <c r="D508" s="5">
        <f>'Raw Data'!J163</f>
        <v>4.1210000000000004</v>
      </c>
      <c r="E508" s="5">
        <f>$D$347-D508</f>
        <v>3.28545</v>
      </c>
      <c r="F508" s="8">
        <f>10^(-D508)</f>
        <v>7.5683289502097276E-5</v>
      </c>
      <c r="G508" s="5">
        <f>(D508-D507)/(C508-C507)</f>
        <v>-8.3039999999989192E-2</v>
      </c>
      <c r="H508" s="5">
        <f>$B$9+$B$10*EXP(-$B$11*C508)</f>
        <v>4.1483427886966426</v>
      </c>
      <c r="I508" s="5">
        <f>D508-H508</f>
        <v>-2.7342788696642195E-2</v>
      </c>
      <c r="J508" s="5">
        <f t="shared" si="14"/>
        <v>7.4762809370922416E-4</v>
      </c>
      <c r="K508" s="5">
        <f>$B$17+$B$16*C508</f>
        <v>4.3289409615399768</v>
      </c>
      <c r="L508" s="5">
        <f>(D508-K508)^2</f>
        <v>4.3239443486169912E-2</v>
      </c>
      <c r="M508" s="5">
        <f>$B$40+$B$41*EXP(-$B$42*C508)</f>
        <v>0</v>
      </c>
      <c r="N508" s="5">
        <f>(D508-M508)^2</f>
        <v>16.982641000000005</v>
      </c>
      <c r="O508" s="5">
        <f>(C508+C507)/2</f>
        <v>13.366400000000066</v>
      </c>
      <c r="P508" s="5" t="str">
        <f>IF(AND(D507&gt;6,D508&lt;=6),C507+(6-D507)*(C508-C507)/(D508-D507),"")</f>
        <v/>
      </c>
      <c r="Q508" s="5" t="str">
        <f>IF(AND(D507&gt;5,D508&lt;=5),C507+(5-D507)*(C508-C507)/(D508-D507),"")</f>
        <v/>
      </c>
      <c r="R508" s="5" t="str">
        <f>IF(AND(D507&gt;4,D508&lt;=4),C507+(4-D507)*(C508-C507)/(D508-D507),"")</f>
        <v/>
      </c>
      <c r="S508" s="5" t="str">
        <f>IF(AND(D507&gt;3,D508&lt;=3),C507+(3-D507)*(C508-C507)/(D508-D507),"")</f>
        <v/>
      </c>
    </row>
    <row r="509" spans="1:19" ht="20.100000000000001" customHeight="1">
      <c r="A509" t="s">
        <v>2</v>
      </c>
      <c r="B509">
        <v>164</v>
      </c>
      <c r="C509" s="5">
        <f>('Raw Data'!C164-'Raw Data'!$C$2)/60</f>
        <v>13.491400000000066</v>
      </c>
      <c r="D509" s="5">
        <f>'Raw Data'!J164</f>
        <v>4.1129300000000004</v>
      </c>
      <c r="E509" s="5">
        <f>$D$347-D509</f>
        <v>3.29352</v>
      </c>
      <c r="F509" s="8">
        <f>10^(-D509)</f>
        <v>7.7102773403725416E-5</v>
      </c>
      <c r="G509" s="5">
        <f>(D509-D508)/(C509-C508)</f>
        <v>-9.6840000000001633E-2</v>
      </c>
      <c r="H509" s="5">
        <f>$B$9+$B$10*EXP(-$B$11*C509)</f>
        <v>4.1417546838722554</v>
      </c>
      <c r="I509" s="5">
        <f>D509-H509</f>
        <v>-2.8824683872255008E-2</v>
      </c>
      <c r="J509" s="5">
        <f t="shared" si="14"/>
        <v>8.3086240033543801E-4</v>
      </c>
      <c r="K509" s="5">
        <f>$B$17+$B$16*C509</f>
        <v>4.3149001382023702</v>
      </c>
      <c r="L509" s="5">
        <f>(D509-K509)^2</f>
        <v>4.079193672548434E-2</v>
      </c>
      <c r="M509" s="5">
        <f>$B$40+$B$41*EXP(-$B$42*C509)</f>
        <v>0</v>
      </c>
      <c r="N509" s="5">
        <f>(D509-M509)^2</f>
        <v>16.916193184900003</v>
      </c>
      <c r="O509" s="5">
        <f>(C509+C508)/2</f>
        <v>13.4497333333334</v>
      </c>
      <c r="P509" s="5" t="str">
        <f>IF(AND(D508&gt;6,D509&lt;=6),C508+(6-D508)*(C509-C508)/(D509-D508),"")</f>
        <v/>
      </c>
      <c r="Q509" s="5" t="str">
        <f>IF(AND(D508&gt;5,D509&lt;=5),C508+(5-D508)*(C509-C508)/(D509-D508),"")</f>
        <v/>
      </c>
      <c r="R509" s="5" t="str">
        <f>IF(AND(D508&gt;4,D509&lt;=4),C508+(4-D508)*(C509-C508)/(D509-D508),"")</f>
        <v/>
      </c>
      <c r="S509" s="5" t="str">
        <f>IF(AND(D508&gt;3,D509&lt;=3),C508+(3-D508)*(C509-C508)/(D509-D508),"")</f>
        <v/>
      </c>
    </row>
    <row r="510" spans="1:19" ht="20.100000000000001" customHeight="1">
      <c r="A510" t="s">
        <v>2</v>
      </c>
      <c r="B510">
        <v>165</v>
      </c>
      <c r="C510" s="5">
        <f>('Raw Data'!C165-'Raw Data'!$C$2)/60</f>
        <v>13.5747333333334</v>
      </c>
      <c r="D510" s="5">
        <f>'Raw Data'!J165</f>
        <v>4.1106199999999999</v>
      </c>
      <c r="E510" s="5">
        <f>$D$347-D510</f>
        <v>3.2958300000000005</v>
      </c>
      <c r="F510" s="8">
        <f>10^(-D510)</f>
        <v>7.7513973474316132E-5</v>
      </c>
      <c r="G510" s="5">
        <f>(D510-D509)/(C510-C509)</f>
        <v>-2.7720000000005542E-2</v>
      </c>
      <c r="H510" s="5">
        <f>$B$9+$B$10*EXP(-$B$11*C510)</f>
        <v>4.1352510008847299</v>
      </c>
      <c r="I510" s="5">
        <f>D510-H510</f>
        <v>-2.4631000884729914E-2</v>
      </c>
      <c r="J510" s="5">
        <f t="shared" si="14"/>
        <v>6.0668620458356585E-4</v>
      </c>
      <c r="K510" s="5">
        <f>$B$17+$B$16*C510</f>
        <v>4.3008593148647627</v>
      </c>
      <c r="L510" s="5">
        <f>(D510-K510)^2</f>
        <v>3.6190996920214345E-2</v>
      </c>
      <c r="M510" s="5">
        <f>$B$40+$B$41*EXP(-$B$42*C510)</f>
        <v>0</v>
      </c>
      <c r="N510" s="5">
        <f>(D510-M510)^2</f>
        <v>16.897196784399998</v>
      </c>
      <c r="O510" s="5">
        <f>(C510+C509)/2</f>
        <v>13.533066666666734</v>
      </c>
      <c r="P510" s="5" t="str">
        <f>IF(AND(D509&gt;6,D510&lt;=6),C509+(6-D509)*(C510-C509)/(D510-D509),"")</f>
        <v/>
      </c>
      <c r="Q510" s="5" t="str">
        <f>IF(AND(D509&gt;5,D510&lt;=5),C509+(5-D509)*(C510-C509)/(D510-D509),"")</f>
        <v/>
      </c>
      <c r="R510" s="5" t="str">
        <f>IF(AND(D509&gt;4,D510&lt;=4),C509+(4-D509)*(C510-C509)/(D510-D509),"")</f>
        <v/>
      </c>
      <c r="S510" s="5" t="str">
        <f>IF(AND(D509&gt;3,D510&lt;=3),C509+(3-D509)*(C510-C509)/(D510-D509),"")</f>
        <v/>
      </c>
    </row>
    <row r="511" spans="1:19" ht="20.100000000000001" customHeight="1">
      <c r="A511" t="s">
        <v>2</v>
      </c>
      <c r="B511">
        <v>166</v>
      </c>
      <c r="C511" s="5">
        <f>('Raw Data'!C166-'Raw Data'!$C$2)/60</f>
        <v>13.657816666666744</v>
      </c>
      <c r="D511" s="5">
        <f>'Raw Data'!J166</f>
        <v>4.1106199999999999</v>
      </c>
      <c r="E511" s="5">
        <f>$D$347-D511</f>
        <v>3.2958300000000005</v>
      </c>
      <c r="F511" s="8">
        <f>10^(-D511)</f>
        <v>7.7513973474316132E-5</v>
      </c>
      <c r="G511" s="5">
        <f>(D511-D510)/(C511-C510)</f>
        <v>0</v>
      </c>
      <c r="H511" s="5">
        <f>$B$9+$B$10*EXP(-$B$11*C511)</f>
        <v>4.1288497953892191</v>
      </c>
      <c r="I511" s="5">
        <f>D511-H511</f>
        <v>-1.8229795389219206E-2</v>
      </c>
      <c r="J511" s="5">
        <f t="shared" si="14"/>
        <v>3.3232543993279778E-4</v>
      </c>
      <c r="K511" s="5">
        <f>$B$17+$B$16*C511</f>
        <v>4.2868606139971677</v>
      </c>
      <c r="L511" s="5">
        <f>(D511-K511)^2</f>
        <v>3.1060754022098673E-2</v>
      </c>
      <c r="M511" s="5">
        <f>$B$40+$B$41*EXP(-$B$42*C511)</f>
        <v>0</v>
      </c>
      <c r="N511" s="5">
        <f>(D511-M511)^2</f>
        <v>16.897196784399998</v>
      </c>
      <c r="O511" s="5">
        <f>(C511+C510)/2</f>
        <v>13.616275000000073</v>
      </c>
      <c r="P511" s="5" t="str">
        <f>IF(AND(D510&gt;6,D511&lt;=6),C510+(6-D510)*(C511-C510)/(D511-D510),"")</f>
        <v/>
      </c>
      <c r="Q511" s="5" t="str">
        <f>IF(AND(D510&gt;5,D511&lt;=5),C510+(5-D510)*(C511-C510)/(D511-D510),"")</f>
        <v/>
      </c>
      <c r="R511" s="5" t="str">
        <f>IF(AND(D510&gt;4,D511&lt;=4),C510+(4-D510)*(C511-C510)/(D511-D510),"")</f>
        <v/>
      </c>
      <c r="S511" s="5" t="str">
        <f>IF(AND(D510&gt;3,D511&lt;=3),C510+(3-D510)*(C511-C510)/(D511-D510),"")</f>
        <v/>
      </c>
    </row>
    <row r="512" spans="1:19" ht="20.100000000000001" customHeight="1">
      <c r="A512" t="s">
        <v>2</v>
      </c>
      <c r="B512">
        <v>167</v>
      </c>
      <c r="C512" s="5">
        <f>('Raw Data'!C167-'Raw Data'!$C$2)/60</f>
        <v>13.741400000000066</v>
      </c>
      <c r="D512" s="5">
        <f>'Raw Data'!J167</f>
        <v>4.0956200000000003</v>
      </c>
      <c r="E512" s="5">
        <f>$D$347-D512</f>
        <v>3.3108300000000002</v>
      </c>
      <c r="F512" s="8">
        <f>10^(-D512)</f>
        <v>8.023798245012864E-5</v>
      </c>
      <c r="G512" s="5">
        <f>(D512-D511)/(C512-C511)</f>
        <v>-0.17946161515455544</v>
      </c>
      <c r="H512" s="5">
        <f>$B$9+$B$10*EXP(-$B$11*C512)</f>
        <v>4.1224925870617319</v>
      </c>
      <c r="I512" s="5">
        <f>D512-H512</f>
        <v>-2.6872587061731679E-2</v>
      </c>
      <c r="J512" s="5">
        <f t="shared" si="14"/>
        <v>7.2213593539034878E-4</v>
      </c>
      <c r="K512" s="5">
        <f>$B$17+$B$16*C512</f>
        <v>4.2727776681895495</v>
      </c>
      <c r="L512" s="5">
        <f>(D512-K512)^2</f>
        <v>3.1384839398358434E-2</v>
      </c>
      <c r="M512" s="5">
        <f>$B$40+$B$41*EXP(-$B$42*C512)</f>
        <v>0</v>
      </c>
      <c r="N512" s="5">
        <f>(D512-M512)^2</f>
        <v>16.774103184400001</v>
      </c>
      <c r="O512" s="5">
        <f>(C512+C511)/2</f>
        <v>13.699608333333405</v>
      </c>
      <c r="P512" s="5" t="str">
        <f>IF(AND(D511&gt;6,D512&lt;=6),C511+(6-D511)*(C512-C511)/(D512-D511),"")</f>
        <v/>
      </c>
      <c r="Q512" s="5" t="str">
        <f>IF(AND(D511&gt;5,D512&lt;=5),C511+(5-D511)*(C512-C511)/(D512-D511),"")</f>
        <v/>
      </c>
      <c r="R512" s="5" t="str">
        <f>IF(AND(D511&gt;4,D512&lt;=4),C511+(4-D511)*(C512-C511)/(D512-D511),"")</f>
        <v/>
      </c>
      <c r="S512" s="5" t="str">
        <f>IF(AND(D511&gt;3,D512&lt;=3),C511+(3-D511)*(C512-C511)/(D512-D511),"")</f>
        <v/>
      </c>
    </row>
    <row r="513" spans="1:19" ht="20.100000000000001" customHeight="1">
      <c r="A513" t="s">
        <v>2</v>
      </c>
      <c r="B513">
        <v>168</v>
      </c>
      <c r="C513" s="5">
        <f>('Raw Data'!C168-'Raw Data'!$C$2)/60</f>
        <v>13.82448333333341</v>
      </c>
      <c r="D513" s="5">
        <f>'Raw Data'!J168</f>
        <v>4.0898599999999998</v>
      </c>
      <c r="E513" s="5">
        <f>$D$347-D513</f>
        <v>3.3165900000000006</v>
      </c>
      <c r="F513" s="8">
        <f>10^(-D513)</f>
        <v>8.1309258400232584E-5</v>
      </c>
      <c r="G513" s="5">
        <f>(D513-D512)/(C513-C512)</f>
        <v>-6.9327983951852371E-2</v>
      </c>
      <c r="H513" s="5">
        <f>$B$9+$B$10*EXP(-$B$11*C513)</f>
        <v>4.1162543841630059</v>
      </c>
      <c r="I513" s="5">
        <f>D513-H513</f>
        <v>-2.6394384163006102E-2</v>
      </c>
      <c r="J513" s="5">
        <f t="shared" si="14"/>
        <v>6.9666351534434731E-4</v>
      </c>
      <c r="K513" s="5">
        <f>$B$17+$B$16*C513</f>
        <v>4.2587789673219536</v>
      </c>
      <c r="L513" s="5">
        <f>(D513-K513)^2</f>
        <v>2.8533617521115287E-2</v>
      </c>
      <c r="M513" s="5">
        <f>$B$40+$B$41*EXP(-$B$42*C513)</f>
        <v>0</v>
      </c>
      <c r="N513" s="5">
        <f>(D513-M513)^2</f>
        <v>16.7269548196</v>
      </c>
      <c r="O513" s="5">
        <f>(C513+C512)/2</f>
        <v>13.782941666666737</v>
      </c>
      <c r="P513" s="5" t="str">
        <f>IF(AND(D512&gt;6,D513&lt;=6),C512+(6-D512)*(C513-C512)/(D513-D512),"")</f>
        <v/>
      </c>
      <c r="Q513" s="5" t="str">
        <f>IF(AND(D512&gt;5,D513&lt;=5),C512+(5-D512)*(C513-C512)/(D513-D512),"")</f>
        <v/>
      </c>
      <c r="R513" s="5" t="str">
        <f>IF(AND(D512&gt;4,D513&lt;=4),C512+(4-D512)*(C513-C512)/(D513-D512),"")</f>
        <v/>
      </c>
      <c r="S513" s="5" t="str">
        <f>IF(AND(D512&gt;3,D513&lt;=3),C512+(3-D512)*(C513-C512)/(D513-D512),"")</f>
        <v/>
      </c>
    </row>
    <row r="514" spans="1:19" ht="20.100000000000001" customHeight="1">
      <c r="A514" t="s">
        <v>2</v>
      </c>
      <c r="B514">
        <v>169</v>
      </c>
      <c r="C514" s="5">
        <f>('Raw Data'!C169-'Raw Data'!$C$2)/60</f>
        <v>13.907816666666744</v>
      </c>
      <c r="D514" s="5">
        <f>'Raw Data'!J169</f>
        <v>4.0967799999999999</v>
      </c>
      <c r="E514" s="5">
        <f>$D$347-D514</f>
        <v>3.3096700000000006</v>
      </c>
      <c r="F514" s="8">
        <f>10^(-D514)</f>
        <v>8.002395286629775E-5</v>
      </c>
      <c r="G514" s="5">
        <f>(D514-D513)/(C514-C513)</f>
        <v>8.303999999999985E-2</v>
      </c>
      <c r="H514" s="5">
        <f>$B$9+$B$10*EXP(-$B$11*C514)</f>
        <v>4.1100774692217366</v>
      </c>
      <c r="I514" s="5">
        <f>D514-H514</f>
        <v>-1.3297469221736691E-2</v>
      </c>
      <c r="J514" s="5">
        <f t="shared" si="14"/>
        <v>1.7682268770303458E-4</v>
      </c>
      <c r="K514" s="5">
        <f>$B$17+$B$16*C514</f>
        <v>4.2447381439843479</v>
      </c>
      <c r="L514" s="5">
        <f>(D514-K514)^2</f>
        <v>2.1891612371293064E-2</v>
      </c>
      <c r="M514" s="5">
        <f>$B$40+$B$41*EXP(-$B$42*C514)</f>
        <v>0</v>
      </c>
      <c r="N514" s="5">
        <f>(D514-M514)^2</f>
        <v>16.783606368399997</v>
      </c>
      <c r="O514" s="5">
        <f>(C514+C513)/2</f>
        <v>13.866150000000076</v>
      </c>
      <c r="P514" s="5" t="str">
        <f>IF(AND(D513&gt;6,D514&lt;=6),C513+(6-D513)*(C514-C513)/(D514-D513),"")</f>
        <v/>
      </c>
      <c r="Q514" s="5" t="str">
        <f>IF(AND(D513&gt;5,D514&lt;=5),C513+(5-D513)*(C514-C513)/(D514-D513),"")</f>
        <v/>
      </c>
      <c r="R514" s="5" t="str">
        <f>IF(AND(D513&gt;4,D514&lt;=4),C513+(4-D513)*(C514-C513)/(D514-D513),"")</f>
        <v/>
      </c>
      <c r="S514" s="5" t="str">
        <f>IF(AND(D513&gt;3,D514&lt;=3),C513+(3-D513)*(C514-C513)/(D514-D513),"")</f>
        <v/>
      </c>
    </row>
    <row r="515" spans="1:19" ht="20.100000000000001" customHeight="1">
      <c r="A515" t="s">
        <v>2</v>
      </c>
      <c r="B515">
        <v>170</v>
      </c>
      <c r="C515" s="5">
        <f>('Raw Data'!C170-'Raw Data'!$C$2)/60</f>
        <v>13.990883333333356</v>
      </c>
      <c r="D515" s="5">
        <f>'Raw Data'!J170</f>
        <v>4.0944700000000003</v>
      </c>
      <c r="E515" s="5">
        <f>$D$347-D515</f>
        <v>3.3119800000000001</v>
      </c>
      <c r="F515" s="8">
        <f>10^(-D515)</f>
        <v>8.0450732002960678E-5</v>
      </c>
      <c r="G515" s="5">
        <f>(D515-D514)/(C515-C514)</f>
        <v>-2.7808988764058237E-2</v>
      </c>
      <c r="H515" s="5">
        <f>$B$9+$B$10*EXP(-$B$11*C515)</f>
        <v>4.1039990946941272</v>
      </c>
      <c r="I515" s="5">
        <f>D515-H515</f>
        <v>-9.5290946941268828E-3</v>
      </c>
      <c r="J515" s="5">
        <f t="shared" si="14"/>
        <v>9.0803645689637111E-5</v>
      </c>
      <c r="K515" s="5">
        <f>$B$17+$B$16*C515</f>
        <v>4.2307422512814306</v>
      </c>
      <c r="L515" s="5">
        <f>(D515-K515)^2</f>
        <v>1.8570126469309275E-2</v>
      </c>
      <c r="M515" s="5">
        <f>$B$40+$B$41*EXP(-$B$42*C515)</f>
        <v>0</v>
      </c>
      <c r="N515" s="5">
        <f>(D515-M515)^2</f>
        <v>16.764684580900003</v>
      </c>
      <c r="O515" s="5">
        <f>(C515+C514)/2</f>
        <v>13.949350000000049</v>
      </c>
      <c r="P515" s="5" t="str">
        <f>IF(AND(D514&gt;6,D515&lt;=6),C514+(6-D514)*(C515-C514)/(D515-D514),"")</f>
        <v/>
      </c>
      <c r="Q515" s="5" t="str">
        <f>IF(AND(D514&gt;5,D515&lt;=5),C514+(5-D514)*(C515-C514)/(D515-D514),"")</f>
        <v/>
      </c>
      <c r="R515" s="5" t="str">
        <f>IF(AND(D514&gt;4,D515&lt;=4),C514+(4-D514)*(C515-C514)/(D515-D514),"")</f>
        <v/>
      </c>
      <c r="S515" s="5" t="str">
        <f>IF(AND(D514&gt;3,D515&lt;=3),C514+(3-D514)*(C515-C514)/(D515-D514),"")</f>
        <v/>
      </c>
    </row>
    <row r="516" spans="1:19" ht="20.100000000000001" customHeight="1">
      <c r="A516" t="s">
        <v>2</v>
      </c>
      <c r="B516">
        <v>171</v>
      </c>
      <c r="C516" s="5">
        <f>('Raw Data'!C171-'Raw Data'!$C$2)/60</f>
        <v>14.07448333333341</v>
      </c>
      <c r="D516" s="5">
        <f>'Raw Data'!J171</f>
        <v>4.0794699999999997</v>
      </c>
      <c r="E516" s="5">
        <f>$D$347-D516</f>
        <v>3.3269800000000007</v>
      </c>
      <c r="F516" s="8">
        <f>10^(-D516)</f>
        <v>8.3277945036484068E-5</v>
      </c>
      <c r="G516" s="5">
        <f>(D516-D515)/(C516-C515)</f>
        <v>-0.17942583732046538</v>
      </c>
      <c r="H516" s="5">
        <f>$B$9+$B$10*EXP(-$B$11*C516)</f>
        <v>4.0979600832542262</v>
      </c>
      <c r="I516" s="5">
        <f>D516-H516</f>
        <v>-1.8490083254226519E-2</v>
      </c>
      <c r="J516" s="5">
        <f t="shared" si="14"/>
        <v>3.4188317874822794E-4</v>
      </c>
      <c r="K516" s="5">
        <f>$B$17+$B$16*C516</f>
        <v>4.2166564973091338</v>
      </c>
      <c r="L516" s="5">
        <f>(D516-K516)^2</f>
        <v>1.8820135043949065E-2</v>
      </c>
      <c r="M516" s="5">
        <f>$B$40+$B$41*EXP(-$B$42*C516)</f>
        <v>0</v>
      </c>
      <c r="N516" s="5">
        <f>(D516-M516)^2</f>
        <v>16.642075480899997</v>
      </c>
      <c r="O516" s="5">
        <f>(C516+C515)/2</f>
        <v>14.032683333333383</v>
      </c>
      <c r="P516" s="5" t="str">
        <f>IF(AND(D515&gt;6,D516&lt;=6),C515+(6-D515)*(C516-C515)/(D516-D515),"")</f>
        <v/>
      </c>
      <c r="Q516" s="5" t="str">
        <f>IF(AND(D515&gt;5,D516&lt;=5),C515+(5-D515)*(C516-C515)/(D516-D515),"")</f>
        <v/>
      </c>
      <c r="R516" s="5" t="str">
        <f>IF(AND(D515&gt;4,D516&lt;=4),C515+(4-D515)*(C516-C515)/(D516-D515),"")</f>
        <v/>
      </c>
      <c r="S516" s="5" t="str">
        <f>IF(AND(D515&gt;3,D516&lt;=3),C515+(3-D515)*(C516-C515)/(D516-D515),"")</f>
        <v/>
      </c>
    </row>
    <row r="517" spans="1:19" ht="20.100000000000001" customHeight="1">
      <c r="A517" t="s">
        <v>2</v>
      </c>
      <c r="B517">
        <v>172</v>
      </c>
      <c r="C517" s="5">
        <f>('Raw Data'!C172-'Raw Data'!$C$2)/60</f>
        <v>14.157550000000022</v>
      </c>
      <c r="D517" s="5">
        <f>'Raw Data'!J172</f>
        <v>4.0840899999999998</v>
      </c>
      <c r="E517" s="5">
        <f>$D$347-D517</f>
        <v>3.3223600000000006</v>
      </c>
      <c r="F517" s="8">
        <f>10^(-D517)</f>
        <v>8.2396734437580198E-5</v>
      </c>
      <c r="G517" s="5">
        <f>(D517-D516)/(C517-C516)</f>
        <v>5.5617977528127166E-2</v>
      </c>
      <c r="H517" s="5">
        <f>$B$9+$B$10*EXP(-$B$11*C517)</f>
        <v>4.0920364906396367</v>
      </c>
      <c r="I517" s="5">
        <f>D517-H517</f>
        <v>-7.9464906396369273E-3</v>
      </c>
      <c r="J517" s="5">
        <f t="shared" si="14"/>
        <v>6.3146713485837301E-5</v>
      </c>
      <c r="K517" s="5">
        <f>$B$17+$B$16*C517</f>
        <v>4.2026606046062174</v>
      </c>
      <c r="L517" s="5">
        <f>(D517-K517)^2</f>
        <v>1.405898827668399E-2</v>
      </c>
      <c r="M517" s="5">
        <f>$B$40+$B$41*EXP(-$B$42*C517)</f>
        <v>0</v>
      </c>
      <c r="N517" s="5">
        <f>(D517-M517)^2</f>
        <v>16.6797911281</v>
      </c>
      <c r="O517" s="5">
        <f>(C517+C516)/2</f>
        <v>14.116016666666717</v>
      </c>
      <c r="P517" s="5" t="str">
        <f>IF(AND(D516&gt;6,D517&lt;=6),C516+(6-D516)*(C517-C516)/(D517-D516),"")</f>
        <v/>
      </c>
      <c r="Q517" s="5" t="str">
        <f>IF(AND(D516&gt;5,D517&lt;=5),C516+(5-D516)*(C517-C516)/(D517-D516),"")</f>
        <v/>
      </c>
      <c r="R517" s="5" t="str">
        <f>IF(AND(D516&gt;4,D517&lt;=4),C516+(4-D516)*(C517-C516)/(D517-D516),"")</f>
        <v/>
      </c>
      <c r="S517" s="5" t="str">
        <f>IF(AND(D516&gt;3,D517&lt;=3),C516+(3-D516)*(C517-C516)/(D517-D516),"")</f>
        <v/>
      </c>
    </row>
    <row r="518" spans="1:19" ht="20.100000000000001" customHeight="1">
      <c r="A518" t="s">
        <v>2</v>
      </c>
      <c r="B518">
        <v>173</v>
      </c>
      <c r="C518" s="5">
        <f>('Raw Data'!C173-'Raw Data'!$C$2)/60</f>
        <v>14.240883333333356</v>
      </c>
      <c r="D518" s="5">
        <f>'Raw Data'!J173</f>
        <v>4.0829399999999998</v>
      </c>
      <c r="E518" s="5">
        <f>$D$347-D518</f>
        <v>3.3235100000000006</v>
      </c>
      <c r="F518" s="8">
        <f>10^(-D518)</f>
        <v>8.2615207882090225E-5</v>
      </c>
      <c r="G518" s="5">
        <f>(D518-D517)/(C518-C517)</f>
        <v>-1.3799999999999714E-2</v>
      </c>
      <c r="H518" s="5">
        <f>$B$9+$B$10*EXP(-$B$11*C518)</f>
        <v>4.0861699106293798</v>
      </c>
      <c r="I518" s="5">
        <f>D518-H518</f>
        <v>-3.2299106293800506E-3</v>
      </c>
      <c r="J518" s="5">
        <f t="shared" si="14"/>
        <v>1.0432322673782235E-5</v>
      </c>
      <c r="K518" s="5">
        <f>$B$17+$B$16*C518</f>
        <v>4.1886197812686099</v>
      </c>
      <c r="L518" s="5">
        <f>(D518-K518)^2</f>
        <v>1.1168216168981275E-2</v>
      </c>
      <c r="M518" s="5">
        <f>$B$40+$B$41*EXP(-$B$42*C518)</f>
        <v>0</v>
      </c>
      <c r="N518" s="5">
        <f>(D518-M518)^2</f>
        <v>16.6703990436</v>
      </c>
      <c r="O518" s="5">
        <f>(C518+C517)/2</f>
        <v>14.19921666666669</v>
      </c>
      <c r="P518" s="5" t="str">
        <f>IF(AND(D517&gt;6,D518&lt;=6),C517+(6-D517)*(C518-C517)/(D518-D517),"")</f>
        <v/>
      </c>
      <c r="Q518" s="5" t="str">
        <f>IF(AND(D517&gt;5,D518&lt;=5),C517+(5-D517)*(C518-C517)/(D518-D517),"")</f>
        <v/>
      </c>
      <c r="R518" s="5" t="str">
        <f>IF(AND(D517&gt;4,D518&lt;=4),C517+(4-D517)*(C518-C517)/(D518-D517),"")</f>
        <v/>
      </c>
      <c r="S518" s="5" t="str">
        <f>IF(AND(D517&gt;3,D518&lt;=3),C517+(3-D517)*(C518-C517)/(D518-D517),"")</f>
        <v/>
      </c>
    </row>
    <row r="519" spans="1:19" ht="20.100000000000001" customHeight="1">
      <c r="A519" t="s">
        <v>2</v>
      </c>
      <c r="B519">
        <v>174</v>
      </c>
      <c r="C519" s="5">
        <f>('Raw Data'!C174-'Raw Data'!$C$2)/60</f>
        <v>14.32421666666669</v>
      </c>
      <c r="D519" s="5">
        <f>'Raw Data'!J174</f>
        <v>4.0737100000000002</v>
      </c>
      <c r="E519" s="5">
        <f>$D$347-D519</f>
        <v>3.3327400000000003</v>
      </c>
      <c r="F519" s="8">
        <f>10^(-D519)</f>
        <v>8.4389808233531542E-5</v>
      </c>
      <c r="G519" s="5">
        <f>(D519-D518)/(C519-C518)</f>
        <v>-0.11075999999999474</v>
      </c>
      <c r="H519" s="5">
        <f>$B$9+$B$10*EXP(-$B$11*C519)</f>
        <v>4.0803785066331306</v>
      </c>
      <c r="I519" s="5">
        <f>D519-H519</f>
        <v>-6.6685066331304554E-3</v>
      </c>
      <c r="J519" s="5">
        <f t="shared" si="14"/>
        <v>4.4468980716104885E-5</v>
      </c>
      <c r="K519" s="5">
        <f>$B$17+$B$16*C519</f>
        <v>4.1745789579310024</v>
      </c>
      <c r="L519" s="5">
        <f>(D519-K519)^2</f>
        <v>1.0174546674086304E-2</v>
      </c>
      <c r="M519" s="5">
        <f>$B$40+$B$41*EXP(-$B$42*C519)</f>
        <v>0</v>
      </c>
      <c r="N519" s="5">
        <f>(D519-M519)^2</f>
        <v>16.595113164100002</v>
      </c>
      <c r="O519" s="5">
        <f>(C519+C518)/2</f>
        <v>14.282550000000022</v>
      </c>
      <c r="P519" s="5" t="str">
        <f>IF(AND(D518&gt;6,D519&lt;=6),C518+(6-D518)*(C519-C518)/(D519-D518),"")</f>
        <v/>
      </c>
      <c r="Q519" s="5" t="str">
        <f>IF(AND(D518&gt;5,D519&lt;=5),C518+(5-D518)*(C519-C518)/(D519-D518),"")</f>
        <v/>
      </c>
      <c r="R519" s="5" t="str">
        <f>IF(AND(D518&gt;4,D519&lt;=4),C518+(4-D518)*(C519-C518)/(D519-D518),"")</f>
        <v/>
      </c>
      <c r="S519" s="5" t="str">
        <f>IF(AND(D518&gt;3,D519&lt;=3),C518+(3-D518)*(C519-C518)/(D519-D518),"")</f>
        <v/>
      </c>
    </row>
    <row r="520" spans="1:19" ht="20.100000000000001" customHeight="1">
      <c r="A520" t="s">
        <v>2</v>
      </c>
      <c r="B520">
        <v>175</v>
      </c>
      <c r="C520" s="5">
        <f>('Raw Data'!C175-'Raw Data'!$C$2)/60</f>
        <v>14.407550000000022</v>
      </c>
      <c r="D520" s="5">
        <f>'Raw Data'!J175</f>
        <v>4.0748600000000001</v>
      </c>
      <c r="E520" s="5">
        <f>$D$347-D520</f>
        <v>3.3315900000000003</v>
      </c>
      <c r="F520" s="8">
        <f>10^(-D520)</f>
        <v>8.4166641911507218E-5</v>
      </c>
      <c r="G520" s="5">
        <f>(D520-D519)/(C520-C519)</f>
        <v>1.3800000000000008E-2</v>
      </c>
      <c r="H520" s="5">
        <f>$B$9+$B$10*EXP(-$B$11*C520)</f>
        <v>4.0746613153242039</v>
      </c>
      <c r="I520" s="5">
        <f>D520-H520</f>
        <v>1.986846757962013E-4</v>
      </c>
      <c r="J520" s="5">
        <f t="shared" si="14"/>
        <v>3.9475600396241623E-8</v>
      </c>
      <c r="K520" s="5">
        <f>$B$17+$B$16*C520</f>
        <v>4.1605381345933967</v>
      </c>
      <c r="L520" s="5">
        <f>(D520-K520)^2</f>
        <v>7.3407427474041784E-3</v>
      </c>
      <c r="M520" s="5">
        <f>$B$40+$B$41*EXP(-$B$42*C520)</f>
        <v>0</v>
      </c>
      <c r="N520" s="5">
        <f>(D520-M520)^2</f>
        <v>16.604484019600001</v>
      </c>
      <c r="O520" s="5">
        <f>(C520+C519)/2</f>
        <v>14.365883333333356</v>
      </c>
      <c r="P520" s="5" t="str">
        <f>IF(AND(D519&gt;6,D520&lt;=6),C519+(6-D519)*(C520-C519)/(D520-D519),"")</f>
        <v/>
      </c>
      <c r="Q520" s="5" t="str">
        <f>IF(AND(D519&gt;5,D520&lt;=5),C519+(5-D519)*(C520-C519)/(D520-D519),"")</f>
        <v/>
      </c>
      <c r="R520" s="5" t="str">
        <f>IF(AND(D519&gt;4,D520&lt;=4),C519+(4-D519)*(C520-C519)/(D520-D519),"")</f>
        <v/>
      </c>
      <c r="S520" s="5" t="str">
        <f>IF(AND(D519&gt;3,D520&lt;=3),C519+(3-D519)*(C520-C519)/(D520-D519),"")</f>
        <v/>
      </c>
    </row>
    <row r="521" spans="1:19" ht="20.100000000000001" customHeight="1">
      <c r="A521" t="s">
        <v>2</v>
      </c>
      <c r="B521">
        <v>176</v>
      </c>
      <c r="C521" s="5">
        <f>('Raw Data'!C176-'Raw Data'!$C$2)/60</f>
        <v>14.490633333333365</v>
      </c>
      <c r="D521" s="5">
        <f>'Raw Data'!J176</f>
        <v>4.0644799999999996</v>
      </c>
      <c r="E521" s="5">
        <f>$D$347-D521</f>
        <v>3.3419700000000008</v>
      </c>
      <c r="F521" s="8">
        <f>10^(-D521)</f>
        <v>8.6202527552268254E-5</v>
      </c>
      <c r="G521" s="5">
        <f>(D521-D520)/(C521-C520)</f>
        <v>-0.12493480441323061</v>
      </c>
      <c r="H521" s="5">
        <f>$B$9+$B$10*EXP(-$B$11*C521)</f>
        <v>4.0690342088837781</v>
      </c>
      <c r="I521" s="5">
        <f>D521-H521</f>
        <v>-4.5542088837784434E-3</v>
      </c>
      <c r="J521" s="5">
        <f t="shared" si="14"/>
        <v>2.0740818557086494E-5</v>
      </c>
      <c r="K521" s="5">
        <f>$B$17+$B$16*C521</f>
        <v>4.1465394337258008</v>
      </c>
      <c r="L521" s="5">
        <f>(D521-K521)^2</f>
        <v>6.7337506633991526E-3</v>
      </c>
      <c r="M521" s="5">
        <f>$B$40+$B$41*EXP(-$B$42*C521)</f>
        <v>0</v>
      </c>
      <c r="N521" s="5">
        <f>(D521-M521)^2</f>
        <v>16.519997670399999</v>
      </c>
      <c r="O521" s="5">
        <f>(C521+C520)/2</f>
        <v>14.449091666666693</v>
      </c>
      <c r="P521" s="5" t="str">
        <f>IF(AND(D520&gt;6,D521&lt;=6),C520+(6-D520)*(C521-C520)/(D521-D520),"")</f>
        <v/>
      </c>
      <c r="Q521" s="5" t="str">
        <f>IF(AND(D520&gt;5,D521&lt;=5),C520+(5-D520)*(C521-C520)/(D521-D520),"")</f>
        <v/>
      </c>
      <c r="R521" s="5" t="str">
        <f>IF(AND(D520&gt;4,D521&lt;=4),C520+(4-D520)*(C521-C520)/(D521-D520),"")</f>
        <v/>
      </c>
      <c r="S521" s="5" t="str">
        <f>IF(AND(D520&gt;3,D521&lt;=3),C520+(3-D520)*(C521-C520)/(D521-D520),"")</f>
        <v/>
      </c>
    </row>
    <row r="522" spans="1:19" ht="20.100000000000001" customHeight="1">
      <c r="A522" t="s">
        <v>2</v>
      </c>
      <c r="B522">
        <v>177</v>
      </c>
      <c r="C522" s="5">
        <f>('Raw Data'!C177-'Raw Data'!$C$2)/60</f>
        <v>14.57421666666669</v>
      </c>
      <c r="D522" s="5">
        <f>'Raw Data'!J177</f>
        <v>4.0644799999999996</v>
      </c>
      <c r="E522" s="5">
        <f>$D$347-D522</f>
        <v>3.3419700000000008</v>
      </c>
      <c r="F522" s="8">
        <f>10^(-D522)</f>
        <v>8.6202527552268254E-5</v>
      </c>
      <c r="G522" s="5">
        <f>(D522-D521)/(C522-C521)</f>
        <v>0</v>
      </c>
      <c r="H522" s="5">
        <f>$B$9+$B$10*EXP(-$B$11*C522)</f>
        <v>4.0634457790250869</v>
      </c>
      <c r="I522" s="5">
        <f>D522-H522</f>
        <v>1.0342209749127917E-3</v>
      </c>
      <c r="J522" s="5">
        <f t="shared" si="14"/>
        <v>1.0696130249495654E-6</v>
      </c>
      <c r="K522" s="5">
        <f>$B$17+$B$16*C522</f>
        <v>4.1324564879181827</v>
      </c>
      <c r="L522" s="5">
        <f>(D522-K522)^2</f>
        <v>4.6208029096908802E-3</v>
      </c>
      <c r="M522" s="5">
        <f>$B$40+$B$41*EXP(-$B$42*C522)</f>
        <v>0</v>
      </c>
      <c r="N522" s="5">
        <f>(D522-M522)^2</f>
        <v>16.519997670399999</v>
      </c>
      <c r="O522" s="5">
        <f>(C522+C521)/2</f>
        <v>14.532425000000028</v>
      </c>
      <c r="P522" s="5" t="str">
        <f>IF(AND(D521&gt;6,D522&lt;=6),C521+(6-D521)*(C522-C521)/(D522-D521),"")</f>
        <v/>
      </c>
      <c r="Q522" s="5" t="str">
        <f>IF(AND(D521&gt;5,D522&lt;=5),C521+(5-D521)*(C522-C521)/(D522-D521),"")</f>
        <v/>
      </c>
      <c r="R522" s="5" t="str">
        <f>IF(AND(D521&gt;4,D522&lt;=4),C521+(4-D521)*(C522-C521)/(D522-D521),"")</f>
        <v/>
      </c>
      <c r="S522" s="5" t="str">
        <f>IF(AND(D521&gt;3,D522&lt;=3),C521+(3-D521)*(C522-C521)/(D522-D521),"")</f>
        <v/>
      </c>
    </row>
    <row r="523" spans="1:19" ht="20.100000000000001" customHeight="1">
      <c r="A523" t="s">
        <v>2</v>
      </c>
      <c r="B523">
        <v>178</v>
      </c>
      <c r="C523" s="5">
        <f>('Raw Data'!C178-'Raw Data'!$C$2)/60</f>
        <v>14.657300000000031</v>
      </c>
      <c r="D523" s="5">
        <f>'Raw Data'!J178</f>
        <v>4.0656299999999996</v>
      </c>
      <c r="E523" s="5">
        <f>$D$347-D523</f>
        <v>3.3408200000000008</v>
      </c>
      <c r="F523" s="8">
        <f>10^(-D523)</f>
        <v>8.5974567548261575E-5</v>
      </c>
      <c r="G523" s="5">
        <f>(D523-D522)/(C523-C522)</f>
        <v>1.3841524573719595E-2</v>
      </c>
      <c r="H523" s="5">
        <f>$B$9+$B$10*EXP(-$B$11*C523)</f>
        <v>4.0579619632449617</v>
      </c>
      <c r="I523" s="5">
        <f>D523-H523</f>
        <v>7.6680367550379103E-3</v>
      </c>
      <c r="J523" s="5">
        <f t="shared" si="14"/>
        <v>5.8798787676612325E-5</v>
      </c>
      <c r="K523" s="5">
        <f>$B$17+$B$16*C523</f>
        <v>4.1184577870505876</v>
      </c>
      <c r="L523" s="5">
        <f>(D523-K523)^2</f>
        <v>2.7907750846622725E-3</v>
      </c>
      <c r="M523" s="5">
        <f>$B$40+$B$41*EXP(-$B$42*C523)</f>
        <v>0</v>
      </c>
      <c r="N523" s="5">
        <f>(D523-M523)^2</f>
        <v>16.529347296899996</v>
      </c>
      <c r="O523" s="5">
        <f>(C523+C522)/2</f>
        <v>14.61575833333336</v>
      </c>
      <c r="P523" s="5" t="str">
        <f>IF(AND(D522&gt;6,D523&lt;=6),C522+(6-D522)*(C523-C522)/(D523-D522),"")</f>
        <v/>
      </c>
      <c r="Q523" s="5" t="str">
        <f>IF(AND(D522&gt;5,D523&lt;=5),C522+(5-D522)*(C523-C522)/(D523-D522),"")</f>
        <v/>
      </c>
      <c r="R523" s="5" t="str">
        <f>IF(AND(D522&gt;4,D523&lt;=4),C522+(4-D522)*(C523-C522)/(D523-D522),"")</f>
        <v/>
      </c>
      <c r="S523" s="5" t="str">
        <f>IF(AND(D522&gt;3,D523&lt;=3),C522+(3-D522)*(C523-C522)/(D523-D522),"")</f>
        <v/>
      </c>
    </row>
    <row r="524" spans="1:19" ht="20.100000000000001" customHeight="1">
      <c r="A524" t="s">
        <v>2</v>
      </c>
      <c r="B524">
        <v>179</v>
      </c>
      <c r="C524" s="5">
        <f>('Raw Data'!C179-'Raw Data'!$C$2)/60</f>
        <v>14.740366666666644</v>
      </c>
      <c r="D524" s="5">
        <f>'Raw Data'!J179</f>
        <v>4.05525</v>
      </c>
      <c r="E524" s="5">
        <f>$D$347-D524</f>
        <v>3.3512000000000004</v>
      </c>
      <c r="F524" s="8">
        <f>10^(-D524)</f>
        <v>8.805418464556897E-5</v>
      </c>
      <c r="G524" s="5">
        <f>(D524-D523)/(C524-C523)</f>
        <v>-0.1249598715891623</v>
      </c>
      <c r="H524" s="5">
        <f>$B$9+$B$10*EXP(-$B$11*C524)</f>
        <v>4.0525492882118437</v>
      </c>
      <c r="I524" s="5">
        <f>D524-H524</f>
        <v>2.7007117881563403E-3</v>
      </c>
      <c r="J524" s="5">
        <f t="shared" si="14"/>
        <v>7.293844162686617E-6</v>
      </c>
      <c r="K524" s="5">
        <f>$B$17+$B$16*C524</f>
        <v>4.1044618943476703</v>
      </c>
      <c r="L524" s="5">
        <f>(D524-K524)^2</f>
        <v>2.4218105452862601E-3</v>
      </c>
      <c r="M524" s="5">
        <f>$B$40+$B$41*EXP(-$B$42*C524)</f>
        <v>0</v>
      </c>
      <c r="N524" s="5">
        <f>(D524-M524)^2</f>
        <v>16.445052562499999</v>
      </c>
      <c r="O524" s="5">
        <f>(C524+C523)/2</f>
        <v>14.698833333333337</v>
      </c>
      <c r="P524" s="5" t="str">
        <f>IF(AND(D523&gt;6,D524&lt;=6),C523+(6-D523)*(C524-C523)/(D524-D523),"")</f>
        <v/>
      </c>
      <c r="Q524" s="5" t="str">
        <f>IF(AND(D523&gt;5,D524&lt;=5),C523+(5-D523)*(C524-C523)/(D524-D523),"")</f>
        <v/>
      </c>
      <c r="R524" s="5" t="str">
        <f>IF(AND(D523&gt;4,D524&lt;=4),C523+(4-D523)*(C524-C523)/(D524-D523),"")</f>
        <v/>
      </c>
      <c r="S524" s="5" t="str">
        <f>IF(AND(D523&gt;3,D524&lt;=3),C523+(3-D523)*(C524-C523)/(D524-D523),"")</f>
        <v/>
      </c>
    </row>
    <row r="525" spans="1:19" ht="20.100000000000001" customHeight="1">
      <c r="A525" t="s">
        <v>2</v>
      </c>
      <c r="B525">
        <v>180</v>
      </c>
      <c r="C525" s="5">
        <f>('Raw Data'!C180-'Raw Data'!$C$2)/60</f>
        <v>14.823966666666699</v>
      </c>
      <c r="D525" s="5">
        <f>'Raw Data'!J180</f>
        <v>4.04948</v>
      </c>
      <c r="E525" s="5">
        <f>$D$347-D525</f>
        <v>3.3569700000000005</v>
      </c>
      <c r="F525" s="8">
        <f>10^(-D525)</f>
        <v>8.9231871143690794E-5</v>
      </c>
      <c r="G525" s="5">
        <f>(D525-D524)/(C525-C524)</f>
        <v>-6.9019138755935572E-2</v>
      </c>
      <c r="H525" s="5">
        <f>$B$9+$B$10*EXP(-$B$11*C525)</f>
        <v>4.0471716652475145</v>
      </c>
      <c r="I525" s="5">
        <f>D525-H525</f>
        <v>2.3083347524854858E-3</v>
      </c>
      <c r="J525" s="5">
        <f t="shared" si="14"/>
        <v>5.3284093295322289E-6</v>
      </c>
      <c r="K525" s="5">
        <f>$B$17+$B$16*C525</f>
        <v>4.0903761403753736</v>
      </c>
      <c r="L525" s="5">
        <f>(D525-K525)^2</f>
        <v>1.6724942976022619E-3</v>
      </c>
      <c r="M525" s="5">
        <f>$B$40+$B$41*EXP(-$B$42*C525)</f>
        <v>0</v>
      </c>
      <c r="N525" s="5">
        <f>(D525-M525)^2</f>
        <v>16.398288270399998</v>
      </c>
      <c r="O525" s="5">
        <f>(C525+C524)/2</f>
        <v>14.782166666666672</v>
      </c>
      <c r="P525" s="5" t="str">
        <f>IF(AND(D524&gt;6,D525&lt;=6),C524+(6-D524)*(C525-C524)/(D525-D524),"")</f>
        <v/>
      </c>
      <c r="Q525" s="5" t="str">
        <f>IF(AND(D524&gt;5,D525&lt;=5),C524+(5-D524)*(C525-C524)/(D525-D524),"")</f>
        <v/>
      </c>
      <c r="R525" s="5" t="str">
        <f>IF(AND(D524&gt;4,D525&lt;=4),C524+(4-D524)*(C525-C524)/(D525-D524),"")</f>
        <v/>
      </c>
      <c r="S525" s="5" t="str">
        <f>IF(AND(D524&gt;3,D525&lt;=3),C524+(3-D524)*(C525-C524)/(D525-D524),"")</f>
        <v/>
      </c>
    </row>
    <row r="526" spans="1:19" ht="20.100000000000001" customHeight="1">
      <c r="A526" t="s">
        <v>2</v>
      </c>
      <c r="B526">
        <v>181</v>
      </c>
      <c r="C526" s="5">
        <f>('Raw Data'!C181-'Raw Data'!$C$2)/60</f>
        <v>14.907033333333311</v>
      </c>
      <c r="D526" s="5">
        <f>'Raw Data'!J181</f>
        <v>4.0471700000000004</v>
      </c>
      <c r="E526" s="5">
        <f>$D$347-D526</f>
        <v>3.35928</v>
      </c>
      <c r="F526" s="8">
        <f>10^(-D526)</f>
        <v>8.9707757419805505E-5</v>
      </c>
      <c r="G526" s="5">
        <f>(D526-D525)/(C526-C525)</f>
        <v>-2.7808988764058237E-2</v>
      </c>
      <c r="H526" s="5">
        <f>$B$9+$B$10*EXP(-$B$11*C526)</f>
        <v>4.0418968205162926</v>
      </c>
      <c r="I526" s="5">
        <f>D526-H526</f>
        <v>5.2731794837077572E-3</v>
      </c>
      <c r="J526" s="5">
        <f t="shared" si="14"/>
        <v>2.7806421867396408E-5</v>
      </c>
      <c r="K526" s="5">
        <f>$B$17+$B$16*C526</f>
        <v>4.0763802476724571</v>
      </c>
      <c r="L526" s="5">
        <f>(D526-K526)^2</f>
        <v>8.5323856908626344E-4</v>
      </c>
      <c r="M526" s="5">
        <f>$B$40+$B$41*EXP(-$B$42*C526)</f>
        <v>0</v>
      </c>
      <c r="N526" s="5">
        <f>(D526-M526)^2</f>
        <v>16.379585008900005</v>
      </c>
      <c r="O526" s="5">
        <f>(C526+C525)/2</f>
        <v>14.865500000000004</v>
      </c>
      <c r="P526" s="5" t="str">
        <f>IF(AND(D525&gt;6,D526&lt;=6),C525+(6-D525)*(C526-C525)/(D526-D525),"")</f>
        <v/>
      </c>
      <c r="Q526" s="5" t="str">
        <f>IF(AND(D525&gt;5,D526&lt;=5),C525+(5-D525)*(C526-C525)/(D526-D525),"")</f>
        <v/>
      </c>
      <c r="R526" s="5" t="str">
        <f>IF(AND(D525&gt;4,D526&lt;=4),C525+(4-D525)*(C526-C525)/(D526-D525),"")</f>
        <v/>
      </c>
      <c r="S526" s="5" t="str">
        <f>IF(AND(D525&gt;3,D526&lt;=3),C525+(3-D525)*(C526-C525)/(D526-D525),"")</f>
        <v/>
      </c>
    </row>
    <row r="527" spans="1:19" ht="20.100000000000001" customHeight="1">
      <c r="A527" t="s">
        <v>2</v>
      </c>
      <c r="B527">
        <v>182</v>
      </c>
      <c r="C527" s="5">
        <f>('Raw Data'!C182-'Raw Data'!$C$2)/60</f>
        <v>14.990366666666644</v>
      </c>
      <c r="D527" s="5">
        <f>'Raw Data'!J182</f>
        <v>4.05525</v>
      </c>
      <c r="E527" s="5">
        <f>$D$347-D527</f>
        <v>3.3512000000000004</v>
      </c>
      <c r="F527" s="8">
        <f>10^(-D527)</f>
        <v>8.805418464556897E-5</v>
      </c>
      <c r="G527" s="5">
        <f>(D527-D526)/(C527-C526)</f>
        <v>9.695999999999709E-2</v>
      </c>
      <c r="H527" s="5">
        <f>$B$9+$B$10*EXP(-$B$11*C527)</f>
        <v>4.036672744407281</v>
      </c>
      <c r="I527" s="5">
        <f>D527-H527</f>
        <v>1.8577255592719055E-2</v>
      </c>
      <c r="J527" s="5">
        <f t="shared" si="14"/>
        <v>3.4511442535721141E-4</v>
      </c>
      <c r="K527" s="5">
        <f>$B$17+$B$16*C527</f>
        <v>4.0623394243348496</v>
      </c>
      <c r="L527" s="5">
        <f>(D527-K527)^2</f>
        <v>5.0259937399557738E-5</v>
      </c>
      <c r="M527" s="5">
        <f>$B$40+$B$41*EXP(-$B$42*C527)</f>
        <v>0</v>
      </c>
      <c r="N527" s="5">
        <f>(D527-M527)^2</f>
        <v>16.445052562499999</v>
      </c>
      <c r="O527" s="5">
        <f>(C527+C526)/2</f>
        <v>14.948699999999977</v>
      </c>
      <c r="P527" s="5" t="str">
        <f>IF(AND(D526&gt;6,D527&lt;=6),C526+(6-D526)*(C527-C526)/(D527-D526),"")</f>
        <v/>
      </c>
      <c r="Q527" s="5" t="str">
        <f>IF(AND(D526&gt;5,D527&lt;=5),C526+(5-D526)*(C527-C526)/(D527-D526),"")</f>
        <v/>
      </c>
      <c r="R527" s="5" t="str">
        <f>IF(AND(D526&gt;4,D527&lt;=4),C526+(4-D526)*(C527-C526)/(D527-D526),"")</f>
        <v/>
      </c>
      <c r="S527" s="5" t="str">
        <f>IF(AND(D526&gt;3,D527&lt;=3),C526+(3-D526)*(C527-C526)/(D527-D526),"")</f>
        <v/>
      </c>
    </row>
    <row r="528" spans="1:19" ht="20.100000000000001" customHeight="1">
      <c r="A528" t="s">
        <v>2</v>
      </c>
      <c r="B528">
        <v>183</v>
      </c>
      <c r="C528" s="5">
        <f>('Raw Data'!C183-'Raw Data'!$C$2)/60</f>
        <v>15.073699999999977</v>
      </c>
      <c r="D528" s="5">
        <f>'Raw Data'!J183</f>
        <v>4.0437099999999999</v>
      </c>
      <c r="E528" s="5">
        <f>$D$347-D528</f>
        <v>3.3627400000000005</v>
      </c>
      <c r="F528" s="8">
        <f>10^(-D528)</f>
        <v>9.0425308687528693E-5</v>
      </c>
      <c r="G528" s="5">
        <f>(D528-D527)/(C528-C527)</f>
        <v>-0.1384800000000003</v>
      </c>
      <c r="H528" s="5">
        <f>$B$9+$B$10*EXP(-$B$11*C528)</f>
        <v>4.0315156110857311</v>
      </c>
      <c r="I528" s="5">
        <f>D528-H528</f>
        <v>1.2194388914268828E-2</v>
      </c>
      <c r="J528" s="5">
        <f t="shared" si="14"/>
        <v>1.4870312099244247E-4</v>
      </c>
      <c r="K528" s="5">
        <f>$B$17+$B$16*C528</f>
        <v>4.048298600997243</v>
      </c>
      <c r="L528" s="5">
        <f>(D528-K528)^2</f>
        <v>2.1055259111900553E-5</v>
      </c>
      <c r="M528" s="5">
        <f>$B$40+$B$41*EXP(-$B$42*C528)</f>
        <v>0</v>
      </c>
      <c r="N528" s="5">
        <f>(D528-M528)^2</f>
        <v>16.3515905641</v>
      </c>
      <c r="O528" s="5">
        <f>(C528+C527)/2</f>
        <v>15.03203333333331</v>
      </c>
      <c r="P528" s="5" t="str">
        <f>IF(AND(D527&gt;6,D528&lt;=6),C527+(6-D527)*(C528-C527)/(D528-D527),"")</f>
        <v/>
      </c>
      <c r="Q528" s="5" t="str">
        <f>IF(AND(D527&gt;5,D528&lt;=5),C527+(5-D527)*(C528-C527)/(D528-D527),"")</f>
        <v/>
      </c>
      <c r="R528" s="5" t="str">
        <f>IF(AND(D527&gt;4,D528&lt;=4),C527+(4-D527)*(C528-C527)/(D528-D527),"")</f>
        <v/>
      </c>
      <c r="S528" s="5" t="str">
        <f>IF(AND(D527&gt;3,D528&lt;=3),C527+(3-D527)*(C528-C527)/(D528-D527),"")</f>
        <v/>
      </c>
    </row>
    <row r="529" spans="1:19" ht="20.100000000000001" customHeight="1">
      <c r="A529" t="s">
        <v>2</v>
      </c>
      <c r="B529">
        <v>184</v>
      </c>
      <c r="C529" s="5">
        <f>('Raw Data'!C184-'Raw Data'!$C$2)/60</f>
        <v>15.157033333333311</v>
      </c>
      <c r="D529" s="5">
        <f>'Raw Data'!J184</f>
        <v>4.0310199999999998</v>
      </c>
      <c r="E529" s="5">
        <f>$D$347-D529</f>
        <v>3.3754300000000006</v>
      </c>
      <c r="F529" s="8">
        <f>10^(-D529)</f>
        <v>9.3106499735286124E-5</v>
      </c>
      <c r="G529" s="5">
        <f>(D529-D528)/(C529-C528)</f>
        <v>-0.15228</v>
      </c>
      <c r="H529" s="5">
        <f>$B$9+$B$10*EXP(-$B$11*C529)</f>
        <v>4.0264245627278461</v>
      </c>
      <c r="I529" s="5">
        <f>D529-H529</f>
        <v>4.595437272153724E-3</v>
      </c>
      <c r="J529" s="5">
        <f t="shared" si="14"/>
        <v>2.1118043722299659E-5</v>
      </c>
      <c r="K529" s="5">
        <f>$B$17+$B$16*C529</f>
        <v>4.0342577776596364</v>
      </c>
      <c r="L529" s="5">
        <f>(D529-K529)^2</f>
        <v>1.0483204173241991E-5</v>
      </c>
      <c r="M529" s="5">
        <f>$B$40+$B$41*EXP(-$B$42*C529)</f>
        <v>0</v>
      </c>
      <c r="N529" s="5">
        <f>(D529-M529)^2</f>
        <v>16.249122240399998</v>
      </c>
      <c r="O529" s="5">
        <f>(C529+C528)/2</f>
        <v>15.115366666666645</v>
      </c>
      <c r="P529" s="5" t="str">
        <f>IF(AND(D528&gt;6,D529&lt;=6),C528+(6-D528)*(C529-C528)/(D529-D528),"")</f>
        <v/>
      </c>
      <c r="Q529" s="5" t="str">
        <f>IF(AND(D528&gt;5,D529&lt;=5),C528+(5-D528)*(C529-C528)/(D529-D528),"")</f>
        <v/>
      </c>
      <c r="R529" s="5" t="str">
        <f>IF(AND(D528&gt;4,D529&lt;=4),C528+(4-D528)*(C529-C528)/(D529-D528),"")</f>
        <v/>
      </c>
      <c r="S529" s="5" t="str">
        <f>IF(AND(D528&gt;3,D529&lt;=3),C528+(3-D528)*(C529-C528)/(D529-D528),"")</f>
        <v/>
      </c>
    </row>
    <row r="530" spans="1:19" ht="20.100000000000001" customHeight="1">
      <c r="A530" t="s">
        <v>2</v>
      </c>
      <c r="B530">
        <v>185</v>
      </c>
      <c r="C530" s="5">
        <f>('Raw Data'!C185-'Raw Data'!$C$2)/60</f>
        <v>15.240100000000044</v>
      </c>
      <c r="D530" s="5">
        <f>'Raw Data'!J185</f>
        <v>4.0448700000000004</v>
      </c>
      <c r="E530" s="5">
        <f>$D$347-D530</f>
        <v>3.36158</v>
      </c>
      <c r="F530" s="8">
        <f>10^(-D530)</f>
        <v>9.0184105075533428E-5</v>
      </c>
      <c r="G530" s="5">
        <f>(D530-D529)/(C530-C529)</f>
        <v>0.16673354735139873</v>
      </c>
      <c r="H530" s="5">
        <f>$B$9+$B$10*EXP(-$B$11*C530)</f>
        <v>4.0214147319382585</v>
      </c>
      <c r="I530" s="5">
        <f>D530-H530</f>
        <v>2.3455268061741918E-2</v>
      </c>
      <c r="J530" s="5">
        <f t="shared" si="14"/>
        <v>5.5014959984817048E-4</v>
      </c>
      <c r="K530" s="5">
        <f>$B$17+$B$16*C530</f>
        <v>4.0202618849566987</v>
      </c>
      <c r="L530" s="5">
        <f>(D530-K530)^2</f>
        <v>6.0555932598437326E-4</v>
      </c>
      <c r="M530" s="5">
        <f>$B$40+$B$41*EXP(-$B$42*C530)</f>
        <v>0</v>
      </c>
      <c r="N530" s="5">
        <f>(D530-M530)^2</f>
        <v>16.360973316900004</v>
      </c>
      <c r="O530" s="5">
        <f>(C530+C529)/2</f>
        <v>15.198566666666679</v>
      </c>
      <c r="P530" s="5" t="str">
        <f>IF(AND(D529&gt;6,D530&lt;=6),C529+(6-D529)*(C530-C529)/(D530-D529),"")</f>
        <v/>
      </c>
      <c r="Q530" s="5" t="str">
        <f>IF(AND(D529&gt;5,D530&lt;=5),C529+(5-D529)*(C530-C529)/(D530-D529),"")</f>
        <v/>
      </c>
      <c r="R530" s="5" t="str">
        <f>IF(AND(D529&gt;4,D530&lt;=4),C529+(4-D529)*(C530-C529)/(D530-D529),"")</f>
        <v/>
      </c>
      <c r="S530" s="5" t="str">
        <f>IF(AND(D529&gt;3,D530&lt;=3),C529+(3-D529)*(C530-C529)/(D530-D529),"")</f>
        <v/>
      </c>
    </row>
    <row r="531" spans="1:19" ht="20.100000000000001" customHeight="1">
      <c r="A531" t="s">
        <v>2</v>
      </c>
      <c r="B531">
        <v>186</v>
      </c>
      <c r="C531" s="5">
        <f>('Raw Data'!C186-'Raw Data'!$C$2)/60</f>
        <v>15.323699999999977</v>
      </c>
      <c r="D531" s="5">
        <f>'Raw Data'!J186</f>
        <v>4.0344800000000003</v>
      </c>
      <c r="E531" s="5">
        <f>$D$347-D531</f>
        <v>3.3719700000000001</v>
      </c>
      <c r="F531" s="8">
        <f>10^(-D531)</f>
        <v>9.2367672432531916E-5</v>
      </c>
      <c r="G531" s="5">
        <f>(D531-D530)/(C531-C530)</f>
        <v>-0.12428229665081866</v>
      </c>
      <c r="H531" s="5">
        <f>$B$9+$B$10*EXP(-$B$11*C531)</f>
        <v>4.0164373444290193</v>
      </c>
      <c r="I531" s="5">
        <f>D531-H531</f>
        <v>1.8042655570980948E-2</v>
      </c>
      <c r="J531" s="5">
        <f t="shared" si="14"/>
        <v>3.2553742005304984E-4</v>
      </c>
      <c r="K531" s="5">
        <f>$B$17+$B$16*C531</f>
        <v>4.0061761309844233</v>
      </c>
      <c r="L531" s="5">
        <f>(D531-K531)^2</f>
        <v>8.0110900125094091E-4</v>
      </c>
      <c r="M531" s="5">
        <f>$B$40+$B$41*EXP(-$B$42*C531)</f>
        <v>0</v>
      </c>
      <c r="N531" s="5">
        <f>(D531-M531)^2</f>
        <v>16.277028870400002</v>
      </c>
      <c r="O531" s="5">
        <f>(C531+C530)/2</f>
        <v>15.281900000000011</v>
      </c>
      <c r="P531" s="5" t="str">
        <f>IF(AND(D530&gt;6,D531&lt;=6),C530+(6-D530)*(C531-C530)/(D531-D530),"")</f>
        <v/>
      </c>
      <c r="Q531" s="5" t="str">
        <f>IF(AND(D530&gt;5,D531&lt;=5),C530+(5-D530)*(C531-C530)/(D531-D530),"")</f>
        <v/>
      </c>
      <c r="R531" s="5" t="str">
        <f>IF(AND(D530&gt;4,D531&lt;=4),C530+(4-D530)*(C531-C530)/(D531-D530),"")</f>
        <v/>
      </c>
      <c r="S531" s="5" t="str">
        <f>IF(AND(D530&gt;3,D531&lt;=3),C530+(3-D530)*(C531-C530)/(D531-D530),"")</f>
        <v/>
      </c>
    </row>
    <row r="532" spans="1:19" ht="20.100000000000001" customHeight="1">
      <c r="A532" t="s">
        <v>2</v>
      </c>
      <c r="B532">
        <v>187</v>
      </c>
      <c r="C532" s="5">
        <f>('Raw Data'!C187-'Raw Data'!$C$2)/60</f>
        <v>15.40676666666671</v>
      </c>
      <c r="D532" s="5">
        <f>'Raw Data'!J187</f>
        <v>4.0252499999999998</v>
      </c>
      <c r="E532" s="5">
        <f>$D$347-D532</f>
        <v>3.3812000000000006</v>
      </c>
      <c r="F532" s="8">
        <f>10^(-D532)</f>
        <v>9.4351758754684115E-5</v>
      </c>
      <c r="G532" s="5">
        <f>(D532-D531)/(C532-C531)</f>
        <v>-0.11111556982335245</v>
      </c>
      <c r="H532" s="5">
        <f>$B$9+$B$10*EXP(-$B$11*C532)</f>
        <v>4.0115550857707634</v>
      </c>
      <c r="I532" s="5">
        <f>D532-H532</f>
        <v>1.369491422923641E-2</v>
      </c>
      <c r="J532" s="5">
        <f t="shared" si="14"/>
        <v>1.8755067574614191E-4</v>
      </c>
      <c r="K532" s="5">
        <f>$B$17+$B$16*C532</f>
        <v>3.992180238281485</v>
      </c>
      <c r="L532" s="5">
        <f>(D532-K532)^2</f>
        <v>1.0936091401193419E-3</v>
      </c>
      <c r="M532" s="5">
        <f>$B$40+$B$41*EXP(-$B$42*C532)</f>
        <v>0</v>
      </c>
      <c r="N532" s="5">
        <f>(D532-M532)^2</f>
        <v>16.202637562499998</v>
      </c>
      <c r="O532" s="5">
        <f>(C532+C531)/2</f>
        <v>15.365233333333343</v>
      </c>
      <c r="P532" s="5" t="str">
        <f>IF(AND(D531&gt;6,D532&lt;=6),C531+(6-D531)*(C532-C531)/(D532-D531),"")</f>
        <v/>
      </c>
      <c r="Q532" s="5" t="str">
        <f>IF(AND(D531&gt;5,D532&lt;=5),C531+(5-D531)*(C532-C531)/(D532-D531),"")</f>
        <v/>
      </c>
      <c r="R532" s="5" t="str">
        <f>IF(AND(D531&gt;4,D532&lt;=4),C531+(4-D531)*(C532-C531)/(D532-D531),"")</f>
        <v/>
      </c>
      <c r="S532" s="5" t="str">
        <f>IF(AND(D531&gt;3,D532&lt;=3),C531+(3-D531)*(C532-C531)/(D532-D531),"")</f>
        <v/>
      </c>
    </row>
    <row r="533" spans="1:19" ht="20.100000000000001" customHeight="1">
      <c r="A533" t="s">
        <v>2</v>
      </c>
      <c r="B533">
        <v>188</v>
      </c>
      <c r="C533" s="5">
        <f>('Raw Data'!C188-'Raw Data'!$C$2)/60</f>
        <v>15.490100000000044</v>
      </c>
      <c r="D533" s="5">
        <f>'Raw Data'!J188</f>
        <v>4.0275600000000003</v>
      </c>
      <c r="E533" s="5">
        <f>$D$347-D533</f>
        <v>3.3788900000000002</v>
      </c>
      <c r="F533" s="8">
        <f>10^(-D533)</f>
        <v>9.3851236743989613E-5</v>
      </c>
      <c r="G533" s="5">
        <f>(D533-D532)/(C533-C532)</f>
        <v>2.7720000000005542E-2</v>
      </c>
      <c r="H533" s="5">
        <f>$B$9+$B$10*EXP(-$B$11*C533)</f>
        <v>4.0067198172246377</v>
      </c>
      <c r="I533" s="5">
        <f>D533-H533</f>
        <v>2.0840182775362592E-2</v>
      </c>
      <c r="J533" s="5">
        <f t="shared" si="14"/>
        <v>4.3431321811051969E-4</v>
      </c>
      <c r="K533" s="5">
        <f>$B$17+$B$16*C533</f>
        <v>3.9781394149438785</v>
      </c>
      <c r="L533" s="5">
        <f>(D533-K533)^2</f>
        <v>2.4423942272893684E-3</v>
      </c>
      <c r="M533" s="5">
        <f>$B$40+$B$41*EXP(-$B$42*C533)</f>
        <v>0</v>
      </c>
      <c r="N533" s="5">
        <f>(D533-M533)^2</f>
        <v>16.2212395536</v>
      </c>
      <c r="O533" s="5">
        <f>(C533+C532)/2</f>
        <v>15.448433333333377</v>
      </c>
      <c r="P533" s="5" t="str">
        <f>IF(AND(D532&gt;6,D533&lt;=6),C532+(6-D532)*(C533-C532)/(D533-D532),"")</f>
        <v/>
      </c>
      <c r="Q533" s="5" t="str">
        <f>IF(AND(D532&gt;5,D533&lt;=5),C532+(5-D532)*(C533-C532)/(D533-D532),"")</f>
        <v/>
      </c>
      <c r="R533" s="5" t="str">
        <f>IF(AND(D532&gt;4,D533&lt;=4),C532+(4-D532)*(C533-C532)/(D533-D532),"")</f>
        <v/>
      </c>
      <c r="S533" s="5" t="str">
        <f>IF(AND(D532&gt;3,D533&lt;=3),C532+(3-D532)*(C533-C532)/(D533-D532),"")</f>
        <v/>
      </c>
    </row>
    <row r="534" spans="1:19" ht="20.100000000000001" customHeight="1">
      <c r="A534" t="s">
        <v>2</v>
      </c>
      <c r="B534">
        <v>189</v>
      </c>
      <c r="C534" s="5">
        <f>('Raw Data'!C189-'Raw Data'!$C$2)/60</f>
        <v>15.573433333333378</v>
      </c>
      <c r="D534" s="5">
        <f>'Raw Data'!J189</f>
        <v>4.0321800000000003</v>
      </c>
      <c r="E534" s="5">
        <f>$D$347-D534</f>
        <v>3.3742700000000001</v>
      </c>
      <c r="F534" s="8">
        <f>10^(-D534)</f>
        <v>9.285814422107948E-5</v>
      </c>
      <c r="G534" s="5">
        <f>(D534-D533)/(C534-C533)</f>
        <v>5.5440000000000426E-2</v>
      </c>
      <c r="H534" s="5">
        <f>$B$9+$B$10*EXP(-$B$11*C534)</f>
        <v>4.001946509175994</v>
      </c>
      <c r="I534" s="5">
        <f>D534-H534</f>
        <v>3.0233490824006282E-2</v>
      </c>
      <c r="J534" s="5">
        <f t="shared" si="14"/>
        <v>9.14063967405272E-4</v>
      </c>
      <c r="K534" s="5">
        <f>$B$17+$B$16*C534</f>
        <v>3.9640985916062714</v>
      </c>
      <c r="L534" s="5">
        <f>(D534-K534)^2</f>
        <v>4.6350781688736988E-3</v>
      </c>
      <c r="M534" s="5">
        <f>$B$40+$B$41*EXP(-$B$42*C534)</f>
        <v>0</v>
      </c>
      <c r="N534" s="5">
        <f>(D534-M534)^2</f>
        <v>16.258475552400004</v>
      </c>
      <c r="O534" s="5">
        <f>(C534+C533)/2</f>
        <v>15.531766666666712</v>
      </c>
      <c r="P534" s="5" t="str">
        <f>IF(AND(D533&gt;6,D534&lt;=6),C533+(6-D533)*(C534-C533)/(D534-D533),"")</f>
        <v/>
      </c>
      <c r="Q534" s="5" t="str">
        <f>IF(AND(D533&gt;5,D534&lt;=5),C533+(5-D533)*(C534-C533)/(D534-D533),"")</f>
        <v/>
      </c>
      <c r="R534" s="5" t="str">
        <f>IF(AND(D533&gt;4,D534&lt;=4),C533+(4-D533)*(C534-C533)/(D534-D533),"")</f>
        <v/>
      </c>
      <c r="S534" s="5" t="str">
        <f>IF(AND(D533&gt;3,D534&lt;=3),C533+(3-D533)*(C534-C533)/(D534-D533),"")</f>
        <v/>
      </c>
    </row>
    <row r="535" spans="1:19" ht="20.100000000000001" customHeight="1">
      <c r="A535" t="s">
        <v>2</v>
      </c>
      <c r="B535">
        <v>190</v>
      </c>
      <c r="C535" s="5">
        <f>('Raw Data'!C190-'Raw Data'!$C$2)/60</f>
        <v>15.65676666666671</v>
      </c>
      <c r="D535" s="5">
        <f>'Raw Data'!J190</f>
        <v>4.0252499999999998</v>
      </c>
      <c r="E535" s="5">
        <f>$D$347-D535</f>
        <v>3.3812000000000006</v>
      </c>
      <c r="F535" s="8">
        <f>10^(-D535)</f>
        <v>9.4351758754684115E-5</v>
      </c>
      <c r="G535" s="5">
        <f>(D535-D534)/(C535-C534)</f>
        <v>-8.3160000000007742E-2</v>
      </c>
      <c r="H535" s="5">
        <f>$B$9+$B$10*EXP(-$B$11*C535)</f>
        <v>3.9972343676455102</v>
      </c>
      <c r="I535" s="5">
        <f>D535-H535</f>
        <v>2.8015632354489561E-2</v>
      </c>
      <c r="J535" s="5">
        <f t="shared" si="14"/>
        <v>7.8487565622192227E-4</v>
      </c>
      <c r="K535" s="5">
        <f>$B$17+$B$16*C535</f>
        <v>3.9500577682686648</v>
      </c>
      <c r="L535" s="5">
        <f>(D535-K535)^2</f>
        <v>5.6538717127387721E-3</v>
      </c>
      <c r="M535" s="5">
        <f>$B$40+$B$41*EXP(-$B$42*C535)</f>
        <v>0</v>
      </c>
      <c r="N535" s="5">
        <f>(D535-M535)^2</f>
        <v>16.202637562499998</v>
      </c>
      <c r="O535" s="5">
        <f>(C535+C534)/2</f>
        <v>15.615100000000044</v>
      </c>
      <c r="P535" s="5" t="str">
        <f>IF(AND(D534&gt;6,D535&lt;=6),C534+(6-D534)*(C535-C534)/(D535-D534),"")</f>
        <v/>
      </c>
      <c r="Q535" s="5" t="str">
        <f>IF(AND(D534&gt;5,D535&lt;=5),C534+(5-D534)*(C535-C534)/(D535-D534),"")</f>
        <v/>
      </c>
      <c r="R535" s="5" t="str">
        <f>IF(AND(D534&gt;4,D535&lt;=4),C534+(4-D534)*(C535-C534)/(D535-D534),"")</f>
        <v/>
      </c>
      <c r="S535" s="5" t="str">
        <f>IF(AND(D534&gt;3,D535&lt;=3),C534+(3-D534)*(C535-C534)/(D535-D534),"")</f>
        <v/>
      </c>
    </row>
    <row r="536" spans="1:19" ht="20.100000000000001" customHeight="1">
      <c r="A536" t="s">
        <v>2</v>
      </c>
      <c r="B536">
        <v>191</v>
      </c>
      <c r="C536" s="5">
        <f>('Raw Data'!C191-'Raw Data'!$C$2)/60</f>
        <v>15.739850000000054</v>
      </c>
      <c r="D536" s="5">
        <f>'Raw Data'!J191</f>
        <v>4.0264100000000003</v>
      </c>
      <c r="E536" s="5">
        <f>$D$347-D536</f>
        <v>3.3800400000000002</v>
      </c>
      <c r="F536" s="8">
        <f>10^(-D536)</f>
        <v>9.4100081593278151E-5</v>
      </c>
      <c r="G536" s="5">
        <f>(D536-D535)/(C536-C535)</f>
        <v>1.3961885656975169E-2</v>
      </c>
      <c r="H536" s="5">
        <f>$B$9+$B$10*EXP(-$B$11*C536)</f>
        <v>3.992596474575012</v>
      </c>
      <c r="I536" s="5">
        <f>D536-H536</f>
        <v>3.3813525424988278E-2</v>
      </c>
      <c r="J536" s="5">
        <f t="shared" si="14"/>
        <v>1.1433545016663288E-3</v>
      </c>
      <c r="K536" s="5">
        <f>$B$17+$B$16*C536</f>
        <v>3.9360590674010694</v>
      </c>
      <c r="L536" s="5">
        <f>(D536-K536)^2</f>
        <v>8.1632910214965541E-3</v>
      </c>
      <c r="M536" s="5">
        <f>$B$40+$B$41*EXP(-$B$42*C536)</f>
        <v>0</v>
      </c>
      <c r="N536" s="5">
        <f>(D536-M536)^2</f>
        <v>16.2119774881</v>
      </c>
      <c r="O536" s="5">
        <f>(C536+C535)/2</f>
        <v>15.698308333333383</v>
      </c>
      <c r="P536" s="5" t="str">
        <f>IF(AND(D535&gt;6,D536&lt;=6),C535+(6-D535)*(C536-C535)/(D536-D535),"")</f>
        <v/>
      </c>
      <c r="Q536" s="5" t="str">
        <f>IF(AND(D535&gt;5,D536&lt;=5),C535+(5-D535)*(C536-C535)/(D536-D535),"")</f>
        <v/>
      </c>
      <c r="R536" s="5" t="str">
        <f>IF(AND(D535&gt;4,D536&lt;=4),C535+(4-D535)*(C536-C535)/(D536-D535),"")</f>
        <v/>
      </c>
      <c r="S536" s="5" t="str">
        <f>IF(AND(D535&gt;3,D536&lt;=3),C535+(3-D535)*(C536-C535)/(D536-D535),"")</f>
        <v/>
      </c>
    </row>
    <row r="537" spans="1:19" ht="20.100000000000001" customHeight="1">
      <c r="A537" t="s">
        <v>2</v>
      </c>
      <c r="B537">
        <v>192</v>
      </c>
      <c r="C537" s="5">
        <f>('Raw Data'!C192-'Raw Data'!$C$2)/60</f>
        <v>15.823433333333378</v>
      </c>
      <c r="D537" s="5">
        <f>'Raw Data'!J192</f>
        <v>4.0160299999999998</v>
      </c>
      <c r="E537" s="5">
        <f>$D$347-D537</f>
        <v>3.3904200000000007</v>
      </c>
      <c r="F537" s="8">
        <f>10^(-D537)</f>
        <v>9.6376244697321271E-5</v>
      </c>
      <c r="G537" s="5">
        <f>(D537-D536)/(C537-C536)</f>
        <v>-0.12418743768695835</v>
      </c>
      <c r="H537" s="5">
        <f>$B$9+$B$10*EXP(-$B$11*C537)</f>
        <v>3.9879904589627273</v>
      </c>
      <c r="I537" s="5">
        <f>D537-H537</f>
        <v>2.8039541037272464E-2</v>
      </c>
      <c r="J537" s="5">
        <f t="shared" si="14"/>
        <v>7.8621586158088654E-4</v>
      </c>
      <c r="K537" s="5">
        <f>$B$17+$B$16*C537</f>
        <v>3.9219761215934512</v>
      </c>
      <c r="L537" s="5">
        <f>(D537-K537)^2</f>
        <v>8.8461320433138209E-3</v>
      </c>
      <c r="M537" s="5">
        <f>$B$40+$B$41*EXP(-$B$42*C537)</f>
        <v>0</v>
      </c>
      <c r="N537" s="5">
        <f>(D537-M537)^2</f>
        <v>16.128496960899998</v>
      </c>
      <c r="O537" s="5">
        <f>(C537+C536)/2</f>
        <v>15.781641666666715</v>
      </c>
      <c r="P537" s="5" t="str">
        <f>IF(AND(D536&gt;6,D537&lt;=6),C536+(6-D536)*(C537-C536)/(D537-D536),"")</f>
        <v/>
      </c>
      <c r="Q537" s="5" t="str">
        <f>IF(AND(D536&gt;5,D537&lt;=5),C536+(5-D536)*(C537-C536)/(D537-D536),"")</f>
        <v/>
      </c>
      <c r="R537" s="5" t="str">
        <f>IF(AND(D536&gt;4,D537&lt;=4),C536+(4-D536)*(C537-C536)/(D537-D536),"")</f>
        <v/>
      </c>
      <c r="S537" s="5" t="str">
        <f>IF(AND(D536&gt;3,D537&lt;=3),C536+(3-D536)*(C537-C536)/(D537-D536),"")</f>
        <v/>
      </c>
    </row>
    <row r="538" spans="1:19" ht="20.100000000000001" customHeight="1">
      <c r="A538" t="s">
        <v>2</v>
      </c>
      <c r="B538">
        <v>193</v>
      </c>
      <c r="C538" s="5">
        <f>('Raw Data'!C193-'Raw Data'!$C$2)/60</f>
        <v>15.906516666666722</v>
      </c>
      <c r="D538" s="5">
        <f>'Raw Data'!J193</f>
        <v>4.0137200000000002</v>
      </c>
      <c r="E538" s="5">
        <f>$D$347-D538</f>
        <v>3.3927300000000002</v>
      </c>
      <c r="F538" s="8">
        <f>10^(-D538)</f>
        <v>9.6890232935011302E-5</v>
      </c>
      <c r="G538" s="5">
        <f>(D538-D537)/(C538-C537)</f>
        <v>-2.7803410230683778E-2</v>
      </c>
      <c r="H538" s="5">
        <f>$B$9+$B$10*EXP(-$B$11*C538)</f>
        <v>3.9834706668678397</v>
      </c>
      <c r="I538" s="5">
        <f>D538-H538</f>
        <v>3.0249333132160494E-2</v>
      </c>
      <c r="J538" s="5">
        <f t="shared" si="14"/>
        <v>9.1502215494042262E-4</v>
      </c>
      <c r="K538" s="5">
        <f>$B$17+$B$16*C538</f>
        <v>3.9079774207258557</v>
      </c>
      <c r="L538" s="5">
        <f>(D538-K538)^2</f>
        <v>1.1181493071548719E-2</v>
      </c>
      <c r="M538" s="5">
        <f>$B$40+$B$41*EXP(-$B$42*C538)</f>
        <v>0</v>
      </c>
      <c r="N538" s="5">
        <f>(D538-M538)^2</f>
        <v>16.109948238400001</v>
      </c>
      <c r="O538" s="5">
        <f>(C538+C537)/2</f>
        <v>15.864975000000051</v>
      </c>
      <c r="P538" s="5" t="str">
        <f>IF(AND(D537&gt;6,D538&lt;=6),C537+(6-D537)*(C538-C537)/(D538-D537),"")</f>
        <v/>
      </c>
      <c r="Q538" s="5" t="str">
        <f>IF(AND(D537&gt;5,D538&lt;=5),C537+(5-D537)*(C538-C537)/(D538-D537),"")</f>
        <v/>
      </c>
      <c r="R538" s="5" t="str">
        <f>IF(AND(D537&gt;4,D538&lt;=4),C537+(4-D537)*(C538-C537)/(D538-D537),"")</f>
        <v/>
      </c>
      <c r="S538" s="5" t="str">
        <f>IF(AND(D537&gt;3,D538&lt;=3),C537+(3-D537)*(C538-C537)/(D538-D537),"")</f>
        <v/>
      </c>
    </row>
    <row r="539" spans="1:19" ht="20.100000000000001" customHeight="1">
      <c r="A539" t="s">
        <v>2</v>
      </c>
      <c r="B539">
        <v>194</v>
      </c>
      <c r="C539" s="5">
        <f>('Raw Data'!C194-'Raw Data'!$C$2)/60</f>
        <v>15.989850000000054</v>
      </c>
      <c r="D539" s="5">
        <f>'Raw Data'!J194</f>
        <v>4.0137200000000002</v>
      </c>
      <c r="E539" s="5">
        <f>$D$347-D539</f>
        <v>3.3927300000000002</v>
      </c>
      <c r="F539" s="8">
        <f>10^(-D539)</f>
        <v>9.6890232935011302E-5</v>
      </c>
      <c r="G539" s="5">
        <f>(D539-D538)/(C539-C538)</f>
        <v>0</v>
      </c>
      <c r="H539" s="5">
        <f>$B$9+$B$10*EXP(-$B$11*C539)</f>
        <v>3.9789952800015285</v>
      </c>
      <c r="I539" s="5">
        <f>D539-H539</f>
        <v>3.4724719998471709E-2</v>
      </c>
      <c r="J539" s="5">
        <f t="shared" ref="J539:J602" si="15">I539^2</f>
        <v>1.2058061789722611E-3</v>
      </c>
      <c r="K539" s="5">
        <f>$B$17+$B$16*C539</f>
        <v>3.8939365973882492</v>
      </c>
      <c r="L539" s="5">
        <f>(D539-K539)^2</f>
        <v>1.4348063541248842E-2</v>
      </c>
      <c r="M539" s="5">
        <f>$B$40+$B$41*EXP(-$B$42*C539)</f>
        <v>0</v>
      </c>
      <c r="N539" s="5">
        <f>(D539-M539)^2</f>
        <v>16.109948238400001</v>
      </c>
      <c r="O539" s="5">
        <f>(C539+C538)/2</f>
        <v>15.948183333333388</v>
      </c>
      <c r="P539" s="5" t="str">
        <f>IF(AND(D538&gt;6,D539&lt;=6),C538+(6-D538)*(C539-C538)/(D539-D538),"")</f>
        <v/>
      </c>
      <c r="Q539" s="5" t="str">
        <f>IF(AND(D538&gt;5,D539&lt;=5),C538+(5-D538)*(C539-C538)/(D539-D538),"")</f>
        <v/>
      </c>
      <c r="R539" s="5" t="str">
        <f>IF(AND(D538&gt;4,D539&lt;=4),C538+(4-D538)*(C539-C538)/(D539-D538),"")</f>
        <v/>
      </c>
      <c r="S539" s="5" t="str">
        <f>IF(AND(D538&gt;3,D539&lt;=3),C538+(3-D538)*(C539-C538)/(D539-D538),"")</f>
        <v/>
      </c>
    </row>
    <row r="540" spans="1:19" ht="20.100000000000001" customHeight="1">
      <c r="A540" t="s">
        <v>2</v>
      </c>
      <c r="B540">
        <v>195</v>
      </c>
      <c r="C540" s="5">
        <f>('Raw Data'!C195-'Raw Data'!$C$2)/60</f>
        <v>16.073183333333386</v>
      </c>
      <c r="D540" s="5">
        <f>'Raw Data'!J195</f>
        <v>4.0056399999999996</v>
      </c>
      <c r="E540" s="5">
        <f>$D$347-D540</f>
        <v>3.4008100000000008</v>
      </c>
      <c r="F540" s="8">
        <f>10^(-D540)</f>
        <v>9.8709738185280487E-5</v>
      </c>
      <c r="G540" s="5">
        <f>(D540-D539)/(C540-C539)</f>
        <v>-9.6960000000007748E-2</v>
      </c>
      <c r="H540" s="5">
        <f>$B$9+$B$10*EXP(-$B$11*C540)</f>
        <v>3.9745772420071606</v>
      </c>
      <c r="I540" s="5">
        <f>D540-H540</f>
        <v>3.1062757992839085E-2</v>
      </c>
      <c r="J540" s="5">
        <f t="shared" si="15"/>
        <v>9.6489493412168842E-4</v>
      </c>
      <c r="K540" s="5">
        <f>$B$17+$B$16*C540</f>
        <v>3.8798957740506426</v>
      </c>
      <c r="L540" s="5">
        <f>(D540-K540)^2</f>
        <v>1.5811610359602966E-2</v>
      </c>
      <c r="M540" s="5">
        <f>$B$40+$B$41*EXP(-$B$42*C540)</f>
        <v>0</v>
      </c>
      <c r="N540" s="5">
        <f>(D540-M540)^2</f>
        <v>16.045151809599997</v>
      </c>
      <c r="O540" s="5">
        <f>(C540+C539)/2</f>
        <v>16.031516666666718</v>
      </c>
      <c r="P540" s="5" t="str">
        <f>IF(AND(D539&gt;6,D540&lt;=6),C539+(6-D539)*(C540-C539)/(D540-D539),"")</f>
        <v/>
      </c>
      <c r="Q540" s="5" t="str">
        <f>IF(AND(D539&gt;5,D540&lt;=5),C539+(5-D539)*(C540-C539)/(D540-D539),"")</f>
        <v/>
      </c>
      <c r="R540" s="5" t="str">
        <f>IF(AND(D539&gt;4,D540&lt;=4),C539+(4-D539)*(C540-C539)/(D540-D539),"")</f>
        <v/>
      </c>
      <c r="S540" s="5" t="str">
        <f>IF(AND(D539&gt;3,D540&lt;=3),C539+(3-D539)*(C540-C539)/(D540-D539),"")</f>
        <v/>
      </c>
    </row>
    <row r="541" spans="1:19" ht="20.100000000000001" customHeight="1">
      <c r="A541" t="s">
        <v>2</v>
      </c>
      <c r="B541">
        <v>196</v>
      </c>
      <c r="C541" s="5">
        <f>('Raw Data'!C196-'Raw Data'!$C$2)/60</f>
        <v>16.156516666666722</v>
      </c>
      <c r="D541" s="5">
        <f>'Raw Data'!J196</f>
        <v>4.0021800000000001</v>
      </c>
      <c r="E541" s="5">
        <f>$D$347-D541</f>
        <v>3.4042700000000004</v>
      </c>
      <c r="F541" s="8">
        <f>10^(-D541)</f>
        <v>9.9499294181424681E-5</v>
      </c>
      <c r="G541" s="5">
        <f>(D541-D540)/(C541-C540)</f>
        <v>-4.1519999999993715E-2</v>
      </c>
      <c r="H541" s="5">
        <f>$B$9+$B$10*EXP(-$B$11*C541)</f>
        <v>3.9702158180000851</v>
      </c>
      <c r="I541" s="5">
        <f>D541-H541</f>
        <v>3.196418199991502E-2</v>
      </c>
      <c r="J541" s="5">
        <f t="shared" si="15"/>
        <v>1.0217089309236913E-3</v>
      </c>
      <c r="K541" s="5">
        <f>$B$17+$B$16*C541</f>
        <v>3.8658549507130355</v>
      </c>
      <c r="L541" s="5">
        <f>(D541-K541)^2</f>
        <v>1.8584519063093309E-2</v>
      </c>
      <c r="M541" s="5">
        <f>$B$40+$B$41*EXP(-$B$42*C541)</f>
        <v>0</v>
      </c>
      <c r="N541" s="5">
        <f>(D541-M541)^2</f>
        <v>16.017444752399999</v>
      </c>
      <c r="O541" s="5">
        <f>(C541+C540)/2</f>
        <v>16.114850000000054</v>
      </c>
      <c r="P541" s="5" t="str">
        <f>IF(AND(D540&gt;6,D541&lt;=6),C540+(6-D540)*(C541-C540)/(D541-D540),"")</f>
        <v/>
      </c>
      <c r="Q541" s="5" t="str">
        <f>IF(AND(D540&gt;5,D541&lt;=5),C540+(5-D540)*(C541-C540)/(D541-D540),"")</f>
        <v/>
      </c>
      <c r="R541" s="5" t="str">
        <f>IF(AND(D540&gt;4,D541&lt;=4),C540+(4-D540)*(C541-C540)/(D541-D540),"")</f>
        <v/>
      </c>
      <c r="S541" s="5" t="str">
        <f>IF(AND(D540&gt;3,D541&lt;=3),C540+(3-D540)*(C541-C540)/(D541-D540),"")</f>
        <v/>
      </c>
    </row>
    <row r="542" spans="1:19" ht="20.100000000000001" customHeight="1">
      <c r="A542" t="s">
        <v>2</v>
      </c>
      <c r="B542">
        <v>197</v>
      </c>
      <c r="C542" s="5">
        <f>('Raw Data'!C197-'Raw Data'!$C$2)/60</f>
        <v>16.239583333333332</v>
      </c>
      <c r="D542" s="5">
        <f>'Raw Data'!J197</f>
        <v>4.0010300000000001</v>
      </c>
      <c r="E542" s="5">
        <f>$D$347-D542</f>
        <v>3.4054200000000003</v>
      </c>
      <c r="F542" s="8">
        <f>10^(-D542)</f>
        <v>9.976311475240376E-5</v>
      </c>
      <c r="G542" s="5">
        <f>(D542-D541)/(C542-C541)</f>
        <v>-1.3844301765659262E-2</v>
      </c>
      <c r="H542" s="5">
        <f>$B$9+$B$10*EXP(-$B$11*C542)</f>
        <v>3.9659239718534613</v>
      </c>
      <c r="I542" s="5">
        <f>D542-H542</f>
        <v>3.5106028146538737E-2</v>
      </c>
      <c r="J542" s="5">
        <f t="shared" si="15"/>
        <v>1.23243321222557E-3</v>
      </c>
      <c r="K542" s="5">
        <f>$B$17+$B$16*C542</f>
        <v>3.8518590580101186</v>
      </c>
      <c r="L542" s="5">
        <f>(D542-K542)^2</f>
        <v>2.2251969934148578E-2</v>
      </c>
      <c r="M542" s="5">
        <f>$B$40+$B$41*EXP(-$B$42*C542)</f>
        <v>0</v>
      </c>
      <c r="N542" s="5">
        <f>(D542-M542)^2</f>
        <v>16.008241060900001</v>
      </c>
      <c r="O542" s="5">
        <f>(C542+C541)/2</f>
        <v>16.198050000000027</v>
      </c>
      <c r="P542" s="5" t="str">
        <f>IF(AND(D541&gt;6,D542&lt;=6),C541+(6-D541)*(C542-C541)/(D542-D541),"")</f>
        <v/>
      </c>
      <c r="Q542" s="5" t="str">
        <f>IF(AND(D541&gt;5,D542&lt;=5),C541+(5-D541)*(C542-C541)/(D542-D541),"")</f>
        <v/>
      </c>
      <c r="R542" s="5" t="str">
        <f>IF(AND(D541&gt;4,D542&lt;=4),C541+(4-D541)*(C542-C541)/(D542-D541),"")</f>
        <v/>
      </c>
      <c r="S542" s="5" t="str">
        <f>IF(AND(D541&gt;3,D542&lt;=3),C541+(3-D541)*(C542-C541)/(D542-D541),"")</f>
        <v/>
      </c>
    </row>
    <row r="543" spans="1:19" ht="20.100000000000001" customHeight="1">
      <c r="A543" t="s">
        <v>2</v>
      </c>
      <c r="B543">
        <v>198</v>
      </c>
      <c r="C543" s="5">
        <f>('Raw Data'!C198-'Raw Data'!$C$2)/60</f>
        <v>16.322916666666668</v>
      </c>
      <c r="D543" s="5">
        <f>'Raw Data'!J198</f>
        <v>4.0044899999999997</v>
      </c>
      <c r="E543" s="5">
        <f>$D$347-D543</f>
        <v>3.4019600000000008</v>
      </c>
      <c r="F543" s="8">
        <f>10^(-D543)</f>
        <v>9.8971465262879166E-5</v>
      </c>
      <c r="G543" s="5">
        <f>(D543-D542)/(C543-C542)</f>
        <v>4.1519999999993715E-2</v>
      </c>
      <c r="H543" s="5">
        <f>$B$9+$B$10*EXP(-$B$11*C543)</f>
        <v>3.9616734332953452</v>
      </c>
      <c r="I543" s="5">
        <f>D543-H543</f>
        <v>4.2816566704654502E-2</v>
      </c>
      <c r="J543" s="5">
        <f t="shared" si="15"/>
        <v>1.8332583843741284E-3</v>
      </c>
      <c r="K543" s="5">
        <f>$B$17+$B$16*C543</f>
        <v>3.8378182346725112</v>
      </c>
      <c r="L543" s="5">
        <f>(D543-K543)^2</f>
        <v>2.7779477357381399E-2</v>
      </c>
      <c r="M543" s="5">
        <f>$B$40+$B$41*EXP(-$B$42*C543)</f>
        <v>0</v>
      </c>
      <c r="N543" s="5">
        <f>(D543-M543)^2</f>
        <v>16.035940160099997</v>
      </c>
      <c r="O543" s="5">
        <f>(C543+C542)/2</f>
        <v>16.28125</v>
      </c>
      <c r="P543" s="5" t="str">
        <f>IF(AND(D542&gt;6,D543&lt;=6),C542+(6-D542)*(C543-C542)/(D543-D542),"")</f>
        <v/>
      </c>
      <c r="Q543" s="5" t="str">
        <f>IF(AND(D542&gt;5,D543&lt;=5),C542+(5-D542)*(C543-C542)/(D543-D542),"")</f>
        <v/>
      </c>
      <c r="R543" s="5" t="str">
        <f>IF(AND(D542&gt;4,D543&lt;=4),C542+(4-D542)*(C543-C542)/(D543-D542),"")</f>
        <v/>
      </c>
      <c r="S543" s="5" t="str">
        <f>IF(AND(D542&gt;3,D543&lt;=3),C542+(3-D542)*(C543-C542)/(D543-D542),"")</f>
        <v/>
      </c>
    </row>
    <row r="544" spans="1:19" ht="20.100000000000001" customHeight="1">
      <c r="A544" t="s">
        <v>2</v>
      </c>
      <c r="B544">
        <v>199</v>
      </c>
      <c r="C544" s="5">
        <f>('Raw Data'!C199-'Raw Data'!$C$2)/60</f>
        <v>16.40625</v>
      </c>
      <c r="D544" s="5">
        <f>'Raw Data'!J199</f>
        <v>3.99295</v>
      </c>
      <c r="E544" s="5">
        <f>$D$347-D544</f>
        <v>3.4135000000000004</v>
      </c>
      <c r="F544" s="8">
        <f>10^(-D544)</f>
        <v>1.0163656995605615E-4</v>
      </c>
      <c r="G544" s="5">
        <f>(D544-D543)/(C544-C543)</f>
        <v>-0.13847999999999791</v>
      </c>
      <c r="H544" s="5">
        <f>$B$9+$B$10*EXP(-$B$11*C544)</f>
        <v>3.9574773623394144</v>
      </c>
      <c r="I544" s="5">
        <f>D544-H544</f>
        <v>3.5472637660585615E-2</v>
      </c>
      <c r="J544" s="5">
        <f t="shared" si="15"/>
        <v>1.2583080225991969E-3</v>
      </c>
      <c r="K544" s="5">
        <f>$B$17+$B$16*C544</f>
        <v>3.8237774113349046</v>
      </c>
      <c r="L544" s="5">
        <f>(D544-K544)^2</f>
        <v>2.8619364755649575E-2</v>
      </c>
      <c r="M544" s="5">
        <f>$B$40+$B$41*EXP(-$B$42*C544)</f>
        <v>0</v>
      </c>
      <c r="N544" s="5">
        <f>(D544-M544)^2</f>
        <v>15.9436497025</v>
      </c>
      <c r="O544" s="5">
        <f>(C544+C543)/2</f>
        <v>16.364583333333336</v>
      </c>
      <c r="P544" s="5" t="str">
        <f>IF(AND(D543&gt;6,D544&lt;=6),C543+(6-D543)*(C544-C543)/(D544-D543),"")</f>
        <v/>
      </c>
      <c r="Q544" s="5" t="str">
        <f>IF(AND(D543&gt;5,D544&lt;=5),C543+(5-D543)*(C544-C543)/(D544-D543),"")</f>
        <v/>
      </c>
      <c r="R544" s="5">
        <f>IF(AND(D543&gt;4,D544&lt;=4),C543+(4-D543)*(C544-C543)/(D544-D543),"")</f>
        <v>16.355340121317155</v>
      </c>
      <c r="S544" s="5" t="str">
        <f>IF(AND(D543&gt;3,D544&lt;=3),C543+(3-D543)*(C544-C543)/(D544-D543),"")</f>
        <v/>
      </c>
    </row>
    <row r="545" spans="1:19" ht="20.100000000000001" customHeight="1">
      <c r="A545" t="s">
        <v>2</v>
      </c>
      <c r="B545">
        <v>200</v>
      </c>
      <c r="C545" s="5">
        <f>('Raw Data'!C200-'Raw Data'!$C$2)/60</f>
        <v>16.489316666666735</v>
      </c>
      <c r="D545" s="5">
        <f>'Raw Data'!J200</f>
        <v>3.9802599999999999</v>
      </c>
      <c r="E545" s="5">
        <f>$D$347-D545</f>
        <v>3.4261900000000005</v>
      </c>
      <c r="F545" s="8">
        <f>10^(-D545)</f>
        <v>1.0465018489910953E-4</v>
      </c>
      <c r="G545" s="5">
        <f>(D545-D544)/(C545-C544)</f>
        <v>-0.15276886035300583</v>
      </c>
      <c r="H545" s="5">
        <f>$B$9+$B$10*EXP(-$B$11*C545)</f>
        <v>3.9533482313643051</v>
      </c>
      <c r="I545" s="5">
        <f>D545-H545</f>
        <v>2.6911768635694777E-2</v>
      </c>
      <c r="J545" s="5">
        <f t="shared" si="15"/>
        <v>7.2424329110116516E-4</v>
      </c>
      <c r="K545" s="5">
        <f>$B$17+$B$16*C545</f>
        <v>3.8097815186319668</v>
      </c>
      <c r="L545" s="5">
        <f>(D545-K545)^2</f>
        <v>2.9062912609550816E-2</v>
      </c>
      <c r="M545" s="5">
        <f>$B$40+$B$41*EXP(-$B$42*C545)</f>
        <v>0</v>
      </c>
      <c r="N545" s="5">
        <f>(D545-M545)^2</f>
        <v>15.8424696676</v>
      </c>
      <c r="O545" s="5">
        <f>(C545+C544)/2</f>
        <v>16.447783333333369</v>
      </c>
      <c r="P545" s="5" t="str">
        <f>IF(AND(D544&gt;6,D545&lt;=6),C544+(6-D544)*(C545-C544)/(D545-D544),"")</f>
        <v/>
      </c>
      <c r="Q545" s="5" t="str">
        <f>IF(AND(D544&gt;5,D545&lt;=5),C544+(5-D544)*(C545-C544)/(D545-D544),"")</f>
        <v/>
      </c>
      <c r="R545" s="5" t="str">
        <f>IF(AND(D544&gt;4,D545&lt;=4),C544+(4-D544)*(C545-C544)/(D545-D544),"")</f>
        <v/>
      </c>
      <c r="S545" s="5" t="str">
        <f>IF(AND(D544&gt;3,D545&lt;=3),C544+(3-D544)*(C545-C544)/(D545-D544),"")</f>
        <v/>
      </c>
    </row>
    <row r="546" spans="1:19" ht="20.100000000000001" customHeight="1">
      <c r="A546" t="s">
        <v>2</v>
      </c>
      <c r="B546">
        <v>201</v>
      </c>
      <c r="C546" s="5">
        <f>('Raw Data'!C201-'Raw Data'!$C$2)/60</f>
        <v>16.572650000000067</v>
      </c>
      <c r="D546" s="5">
        <f>'Raw Data'!J201</f>
        <v>3.9975700000000001</v>
      </c>
      <c r="E546" s="5">
        <f>$D$347-D546</f>
        <v>3.4088800000000004</v>
      </c>
      <c r="F546" s="8">
        <f>10^(-D546)</f>
        <v>1.0056109646013487E-4</v>
      </c>
      <c r="G546" s="5">
        <f>(D546-D545)/(C546-C545)</f>
        <v>0.20772000000000485</v>
      </c>
      <c r="H546" s="5">
        <f>$B$9+$B$10*EXP(-$B$11*C546)</f>
        <v>3.9492588418984242</v>
      </c>
      <c r="I546" s="5">
        <f>D546-H546</f>
        <v>4.8311158101575824E-2</v>
      </c>
      <c r="J546" s="5">
        <f t="shared" si="15"/>
        <v>2.3339679971154555E-3</v>
      </c>
      <c r="K546" s="5">
        <f>$B$17+$B$16*C546</f>
        <v>3.7957406952943602</v>
      </c>
      <c r="L546" s="5">
        <f>(D546-K546)^2</f>
        <v>4.0735068237962024E-2</v>
      </c>
      <c r="M546" s="5">
        <f>$B$40+$B$41*EXP(-$B$42*C546)</f>
        <v>0</v>
      </c>
      <c r="N546" s="5">
        <f>(D546-M546)^2</f>
        <v>15.980565904900001</v>
      </c>
      <c r="O546" s="5">
        <f>(C546+C545)/2</f>
        <v>16.530983333333403</v>
      </c>
      <c r="P546" s="5" t="str">
        <f>IF(AND(D545&gt;6,D546&lt;=6),C545+(6-D545)*(C546-C545)/(D546-D545),"")</f>
        <v/>
      </c>
      <c r="Q546" s="5" t="str">
        <f>IF(AND(D545&gt;5,D546&lt;=5),C545+(5-D545)*(C546-C545)/(D546-D545),"")</f>
        <v/>
      </c>
      <c r="R546" s="5" t="str">
        <f>IF(AND(D545&gt;4,D546&lt;=4),C545+(4-D545)*(C546-C545)/(D546-D545),"")</f>
        <v/>
      </c>
      <c r="S546" s="5" t="str">
        <f>IF(AND(D545&gt;3,D546&lt;=3),C545+(3-D545)*(C546-C545)/(D546-D545),"")</f>
        <v/>
      </c>
    </row>
    <row r="547" spans="1:19" ht="20.100000000000001" customHeight="1">
      <c r="A547" t="s">
        <v>2</v>
      </c>
      <c r="B547">
        <v>202</v>
      </c>
      <c r="C547" s="5">
        <f>('Raw Data'!C202-'Raw Data'!$C$2)/60</f>
        <v>16.655983333333399</v>
      </c>
      <c r="D547" s="5">
        <f>'Raw Data'!J202</f>
        <v>3.99065</v>
      </c>
      <c r="E547" s="5">
        <f>$D$347-D547</f>
        <v>3.4158000000000004</v>
      </c>
      <c r="F547" s="8">
        <f>10^(-D547)</f>
        <v>1.0217625953505464E-4</v>
      </c>
      <c r="G547" s="5">
        <f>(D547-D546)/(C547-C546)</f>
        <v>-8.3040000000001626E-2</v>
      </c>
      <c r="H547" s="5">
        <f>$B$9+$B$10*EXP(-$B$11*C547)</f>
        <v>3.9452218550247231</v>
      </c>
      <c r="I547" s="5">
        <f>D547-H547</f>
        <v>4.5428144975276918E-2</v>
      </c>
      <c r="J547" s="5">
        <f t="shared" si="15"/>
        <v>2.0637163558947774E-3</v>
      </c>
      <c r="K547" s="5">
        <f>$B$17+$B$16*C547</f>
        <v>3.7816998719567536</v>
      </c>
      <c r="L547" s="5">
        <f>(D547-K547)^2</f>
        <v>4.3660156009289075E-2</v>
      </c>
      <c r="M547" s="5">
        <f>$B$40+$B$41*EXP(-$B$42*C547)</f>
        <v>0</v>
      </c>
      <c r="N547" s="5">
        <f>(D547-M547)^2</f>
        <v>15.9252874225</v>
      </c>
      <c r="O547" s="5">
        <f>(C547+C546)/2</f>
        <v>16.614316666666731</v>
      </c>
      <c r="P547" s="5" t="str">
        <f>IF(AND(D546&gt;6,D547&lt;=6),C546+(6-D546)*(C547-C546)/(D547-D546),"")</f>
        <v/>
      </c>
      <c r="Q547" s="5" t="str">
        <f>IF(AND(D546&gt;5,D547&lt;=5),C546+(5-D546)*(C547-C546)/(D547-D546),"")</f>
        <v/>
      </c>
      <c r="R547" s="5" t="str">
        <f>IF(AND(D546&gt;4,D547&lt;=4),C546+(4-D546)*(C547-C546)/(D547-D546),"")</f>
        <v/>
      </c>
      <c r="S547" s="5" t="str">
        <f>IF(AND(D546&gt;3,D547&lt;=3),C546+(3-D546)*(C547-C546)/(D547-D546),"")</f>
        <v/>
      </c>
    </row>
    <row r="548" spans="1:19" ht="20.100000000000001" customHeight="1">
      <c r="A548" t="s">
        <v>2</v>
      </c>
      <c r="B548">
        <v>203</v>
      </c>
      <c r="C548" s="5">
        <f>('Raw Data'!C203-'Raw Data'!$C$2)/60</f>
        <v>16.739316666666728</v>
      </c>
      <c r="D548" s="5">
        <f>'Raw Data'!J203</f>
        <v>3.9767999999999999</v>
      </c>
      <c r="E548" s="5">
        <f>$D$347-D548</f>
        <v>3.4296500000000005</v>
      </c>
      <c r="F548" s="8">
        <f>10^(-D548)</f>
        <v>1.0548725713234366E-4</v>
      </c>
      <c r="G548" s="5">
        <f>(D548-D547)/(C548-C547)</f>
        <v>-0.16620000000001112</v>
      </c>
      <c r="H548" s="5">
        <f>$B$9+$B$10*EXP(-$B$11*C548)</f>
        <v>3.9412365992415794</v>
      </c>
      <c r="I548" s="5">
        <f>D548-H548</f>
        <v>3.556340075842046E-2</v>
      </c>
      <c r="J548" s="5">
        <f t="shared" si="15"/>
        <v>1.2647554735040209E-3</v>
      </c>
      <c r="K548" s="5">
        <f>$B$17+$B$16*C548</f>
        <v>3.7676590486191479</v>
      </c>
      <c r="L548" s="5">
        <f>(D548-K548)^2</f>
        <v>4.3739937544487892E-2</v>
      </c>
      <c r="M548" s="5">
        <f>$B$40+$B$41*EXP(-$B$42*C548)</f>
        <v>0</v>
      </c>
      <c r="N548" s="5">
        <f>(D548-M548)^2</f>
        <v>15.814938239999998</v>
      </c>
      <c r="O548" s="5">
        <f>(C548+C547)/2</f>
        <v>16.697650000000063</v>
      </c>
      <c r="P548" s="5" t="str">
        <f>IF(AND(D547&gt;6,D548&lt;=6),C547+(6-D547)*(C548-C547)/(D548-D547),"")</f>
        <v/>
      </c>
      <c r="Q548" s="5" t="str">
        <f>IF(AND(D547&gt;5,D548&lt;=5),C547+(5-D547)*(C548-C547)/(D548-D547),"")</f>
        <v/>
      </c>
      <c r="R548" s="5" t="str">
        <f>IF(AND(D547&gt;4,D548&lt;=4),C547+(4-D547)*(C548-C547)/(D548-D547),"")</f>
        <v/>
      </c>
      <c r="S548" s="5" t="str">
        <f>IF(AND(D547&gt;3,D548&lt;=3),C547+(3-D547)*(C548-C547)/(D548-D547),"")</f>
        <v/>
      </c>
    </row>
    <row r="549" spans="1:19" ht="20.100000000000001" customHeight="1">
      <c r="A549" t="s">
        <v>2</v>
      </c>
      <c r="B549">
        <v>204</v>
      </c>
      <c r="C549" s="5">
        <f>('Raw Data'!C204-'Raw Data'!$C$2)/60</f>
        <v>16.822400000000076</v>
      </c>
      <c r="D549" s="5">
        <f>'Raw Data'!J204</f>
        <v>3.9802599999999999</v>
      </c>
      <c r="E549" s="5">
        <f>$D$347-D549</f>
        <v>3.4261900000000005</v>
      </c>
      <c r="F549" s="8">
        <f>10^(-D549)</f>
        <v>1.0465018489910953E-4</v>
      </c>
      <c r="G549" s="5">
        <f>(D549-D548)/(C549-C548)</f>
        <v>4.1644934804405752E-2</v>
      </c>
      <c r="H549" s="5">
        <f>$B$9+$B$10*EXP(-$B$11*C549)</f>
        <v>3.9373141384960277</v>
      </c>
      <c r="I549" s="5">
        <f>D549-H549</f>
        <v>4.2945861503972171E-2</v>
      </c>
      <c r="J549" s="5">
        <f t="shared" si="15"/>
        <v>1.8443470203183588E-3</v>
      </c>
      <c r="K549" s="5">
        <f>$B$17+$B$16*C549</f>
        <v>3.7536603477515511</v>
      </c>
      <c r="L549" s="5">
        <f>(D549-K549)^2</f>
        <v>5.1347402399117927E-2</v>
      </c>
      <c r="M549" s="5">
        <f>$B$40+$B$41*EXP(-$B$42*C549)</f>
        <v>0</v>
      </c>
      <c r="N549" s="5">
        <f>(D549-M549)^2</f>
        <v>15.8424696676</v>
      </c>
      <c r="O549" s="5">
        <f>(C549+C548)/2</f>
        <v>16.780858333333402</v>
      </c>
      <c r="P549" s="5" t="str">
        <f>IF(AND(D548&gt;6,D549&lt;=6),C548+(6-D548)*(C549-C548)/(D549-D548),"")</f>
        <v/>
      </c>
      <c r="Q549" s="5" t="str">
        <f>IF(AND(D548&gt;5,D549&lt;=5),C548+(5-D548)*(C549-C548)/(D549-D548),"")</f>
        <v/>
      </c>
      <c r="R549" s="5" t="str">
        <f>IF(AND(D548&gt;4,D549&lt;=4),C548+(4-D548)*(C549-C548)/(D549-D548),"")</f>
        <v/>
      </c>
      <c r="S549" s="5" t="str">
        <f>IF(AND(D548&gt;3,D549&lt;=3),C548+(3-D548)*(C549-C548)/(D549-D548),"")</f>
        <v/>
      </c>
    </row>
    <row r="550" spans="1:19" ht="20.100000000000001" customHeight="1">
      <c r="A550" t="s">
        <v>2</v>
      </c>
      <c r="B550">
        <v>205</v>
      </c>
      <c r="C550" s="5">
        <f>('Raw Data'!C205-'Raw Data'!$C$2)/60</f>
        <v>16.905983333333392</v>
      </c>
      <c r="D550" s="5">
        <f>'Raw Data'!J205</f>
        <v>3.98834</v>
      </c>
      <c r="E550" s="5">
        <f>$D$347-D550</f>
        <v>3.4181100000000004</v>
      </c>
      <c r="F550" s="8">
        <f>10^(-D550)</f>
        <v>1.0272118007784106E-4</v>
      </c>
      <c r="G550" s="5">
        <f>(D550-D549)/(C550-C549)</f>
        <v>9.6669990029931846E-2</v>
      </c>
      <c r="H550" s="5">
        <f>$B$9+$B$10*EXP(-$B$11*C550)</f>
        <v>3.9334186378542584</v>
      </c>
      <c r="I550" s="5">
        <f>D550-H550</f>
        <v>5.4921362145741615E-2</v>
      </c>
      <c r="J550" s="5">
        <f t="shared" si="15"/>
        <v>3.0163560199436999E-3</v>
      </c>
      <c r="K550" s="5">
        <f>$B$17+$B$16*C550</f>
        <v>3.7395774019439347</v>
      </c>
      <c r="L550" s="5">
        <f>(D550-K550)^2</f>
        <v>6.1882830191603483E-2</v>
      </c>
      <c r="M550" s="5">
        <f>$B$40+$B$41*EXP(-$B$42*C550)</f>
        <v>0</v>
      </c>
      <c r="N550" s="5">
        <f>(D550-M550)^2</f>
        <v>15.906855955599999</v>
      </c>
      <c r="O550" s="5">
        <f>(C550+C549)/2</f>
        <v>16.864191666666734</v>
      </c>
      <c r="P550" s="5" t="str">
        <f>IF(AND(D549&gt;6,D550&lt;=6),C549+(6-D549)*(C550-C549)/(D550-D549),"")</f>
        <v/>
      </c>
      <c r="Q550" s="5" t="str">
        <f>IF(AND(D549&gt;5,D550&lt;=5),C549+(5-D549)*(C550-C549)/(D550-D549),"")</f>
        <v/>
      </c>
      <c r="R550" s="5" t="str">
        <f>IF(AND(D549&gt;4,D550&lt;=4),C549+(4-D549)*(C550-C549)/(D550-D549),"")</f>
        <v/>
      </c>
      <c r="S550" s="5" t="str">
        <f>IF(AND(D549&gt;3,D550&lt;=3),C549+(3-D549)*(C550-C549)/(D550-D549),"")</f>
        <v/>
      </c>
    </row>
    <row r="551" spans="1:19" ht="20.100000000000001" customHeight="1">
      <c r="A551" t="s">
        <v>2</v>
      </c>
      <c r="B551">
        <v>206</v>
      </c>
      <c r="C551" s="5">
        <f>('Raw Data'!C206-'Raw Data'!$C$2)/60</f>
        <v>16.989066666666744</v>
      </c>
      <c r="D551" s="5">
        <f>'Raw Data'!J206</f>
        <v>3.9733399999999999</v>
      </c>
      <c r="E551" s="5">
        <f>$D$347-D551</f>
        <v>3.4331100000000006</v>
      </c>
      <c r="F551" s="8">
        <f>10^(-D551)</f>
        <v>1.0633102490963562E-4</v>
      </c>
      <c r="G551" s="5">
        <f>(D551-D550)/(C551-C550)</f>
        <v>-0.18054162487458422</v>
      </c>
      <c r="H551" s="5">
        <f>$B$9+$B$10*EXP(-$B$11*C551)</f>
        <v>3.9295960600585293</v>
      </c>
      <c r="I551" s="5">
        <f>D551-H551</f>
        <v>4.3743939941470522E-2</v>
      </c>
      <c r="J551" s="5">
        <f t="shared" si="15"/>
        <v>1.91353228160298E-3</v>
      </c>
      <c r="K551" s="5">
        <f>$B$17+$B$16*C551</f>
        <v>3.7255787010763375</v>
      </c>
      <c r="L551" s="5">
        <f>(D551-K551)^2</f>
        <v>6.1385661244340389E-2</v>
      </c>
      <c r="M551" s="5">
        <f>$B$40+$B$41*EXP(-$B$42*C551)</f>
        <v>0</v>
      </c>
      <c r="N551" s="5">
        <f>(D551-M551)^2</f>
        <v>15.787430755599999</v>
      </c>
      <c r="O551" s="5">
        <f>(C551+C550)/2</f>
        <v>16.94752500000007</v>
      </c>
      <c r="P551" s="5" t="str">
        <f>IF(AND(D550&gt;6,D551&lt;=6),C550+(6-D550)*(C551-C550)/(D551-D550),"")</f>
        <v/>
      </c>
      <c r="Q551" s="5" t="str">
        <f>IF(AND(D550&gt;5,D551&lt;=5),C550+(5-D550)*(C551-C550)/(D551-D550),"")</f>
        <v/>
      </c>
      <c r="R551" s="5" t="str">
        <f>IF(AND(D550&gt;4,D551&lt;=4),C550+(4-D550)*(C551-C550)/(D551-D550),"")</f>
        <v/>
      </c>
      <c r="S551" s="5" t="str">
        <f>IF(AND(D550&gt;3,D551&lt;=3),C550+(3-D550)*(C551-C550)/(D551-D550),"")</f>
        <v/>
      </c>
    </row>
    <row r="552" spans="1:19" ht="20.100000000000001" customHeight="1">
      <c r="A552" t="s">
        <v>2</v>
      </c>
      <c r="B552">
        <v>207</v>
      </c>
      <c r="C552" s="5">
        <f>('Raw Data'!C207-'Raw Data'!$C$2)/60</f>
        <v>17.072400000000076</v>
      </c>
      <c r="D552" s="5">
        <f>'Raw Data'!J207</f>
        <v>3.98488</v>
      </c>
      <c r="E552" s="5">
        <f>$D$347-D552</f>
        <v>3.4215700000000004</v>
      </c>
      <c r="F552" s="8">
        <f>10^(-D552)</f>
        <v>1.0354282265488094E-4</v>
      </c>
      <c r="G552" s="5">
        <f>(D552-D551)/(C552-C551)</f>
        <v>0.13848000000000324</v>
      </c>
      <c r="H552" s="5">
        <f>$B$9+$B$10*EXP(-$B$11*C552)</f>
        <v>3.9258110376275619</v>
      </c>
      <c r="I552" s="5">
        <f>D552-H552</f>
        <v>5.9068962372438083E-2</v>
      </c>
      <c r="J552" s="5">
        <f t="shared" si="15"/>
        <v>3.4891423157565062E-3</v>
      </c>
      <c r="K552" s="5">
        <f>$B$17+$B$16*C552</f>
        <v>3.7115378777387309</v>
      </c>
      <c r="L552" s="5">
        <f>(D552-K552)^2</f>
        <v>7.4715915802294572E-2</v>
      </c>
      <c r="M552" s="5">
        <f>$B$40+$B$41*EXP(-$B$42*C552)</f>
        <v>0</v>
      </c>
      <c r="N552" s="5">
        <f>(D552-M552)^2</f>
        <v>15.879268614399999</v>
      </c>
      <c r="O552" s="5">
        <f>(C552+C551)/2</f>
        <v>17.030733333333409</v>
      </c>
      <c r="P552" s="5" t="str">
        <f>IF(AND(D551&gt;6,D552&lt;=6),C551+(6-D551)*(C552-C551)/(D552-D551),"")</f>
        <v/>
      </c>
      <c r="Q552" s="5" t="str">
        <f>IF(AND(D551&gt;5,D552&lt;=5),C551+(5-D551)*(C552-C551)/(D552-D551),"")</f>
        <v/>
      </c>
      <c r="R552" s="5" t="str">
        <f>IF(AND(D551&gt;4,D552&lt;=4),C551+(4-D551)*(C552-C551)/(D552-D551),"")</f>
        <v/>
      </c>
      <c r="S552" s="5" t="str">
        <f>IF(AND(D551&gt;3,D552&lt;=3),C551+(3-D551)*(C552-C551)/(D552-D551),"")</f>
        <v/>
      </c>
    </row>
    <row r="553" spans="1:19" ht="20.100000000000001" customHeight="1">
      <c r="A553" t="s">
        <v>2</v>
      </c>
      <c r="B553">
        <v>208</v>
      </c>
      <c r="C553" s="5">
        <f>('Raw Data'!C208-'Raw Data'!$C$2)/60</f>
        <v>17.155733333333409</v>
      </c>
      <c r="D553" s="5">
        <f>'Raw Data'!J208</f>
        <v>3.9698799999999999</v>
      </c>
      <c r="E553" s="5">
        <f>$D$347-D553</f>
        <v>3.4365700000000006</v>
      </c>
      <c r="F553" s="8">
        <f>10^(-D553)</f>
        <v>1.0718154178706849E-4</v>
      </c>
      <c r="G553" s="5">
        <f>(D553-D552)/(C553-C552)</f>
        <v>-0.18000000000000405</v>
      </c>
      <c r="H553" s="5">
        <f>$B$9+$B$10*EXP(-$B$11*C553)</f>
        <v>3.9220745175435829</v>
      </c>
      <c r="I553" s="5">
        <f>D553-H553</f>
        <v>4.7805482456416915E-2</v>
      </c>
      <c r="J553" s="5">
        <f t="shared" si="15"/>
        <v>2.2853641528907853E-3</v>
      </c>
      <c r="K553" s="5">
        <f>$B$17+$B$16*C553</f>
        <v>3.6974970544011243</v>
      </c>
      <c r="L553" s="5">
        <f>(D553-K553)^2</f>
        <v>7.4192469053119992E-2</v>
      </c>
      <c r="M553" s="5">
        <f>$B$40+$B$41*EXP(-$B$42*C553)</f>
        <v>0</v>
      </c>
      <c r="N553" s="5">
        <f>(D553-M553)^2</f>
        <v>15.759947214399999</v>
      </c>
      <c r="O553" s="5">
        <f>(C553+C552)/2</f>
        <v>17.114066666666744</v>
      </c>
      <c r="P553" s="5" t="str">
        <f>IF(AND(D552&gt;6,D553&lt;=6),C552+(6-D552)*(C553-C552)/(D553-D552),"")</f>
        <v/>
      </c>
      <c r="Q553" s="5" t="str">
        <f>IF(AND(D552&gt;5,D553&lt;=5),C552+(5-D552)*(C553-C552)/(D553-D552),"")</f>
        <v/>
      </c>
      <c r="R553" s="5" t="str">
        <f>IF(AND(D552&gt;4,D553&lt;=4),C552+(4-D552)*(C553-C552)/(D553-D552),"")</f>
        <v/>
      </c>
      <c r="S553" s="5" t="str">
        <f>IF(AND(D552&gt;3,D553&lt;=3),C552+(3-D552)*(C553-C552)/(D553-D552),"")</f>
        <v/>
      </c>
    </row>
    <row r="554" spans="1:19" ht="20.100000000000001" customHeight="1">
      <c r="A554" t="s">
        <v>2</v>
      </c>
      <c r="B554">
        <v>209</v>
      </c>
      <c r="C554" s="5">
        <f>('Raw Data'!C209-'Raw Data'!$C$2)/60</f>
        <v>17.239066666666744</v>
      </c>
      <c r="D554" s="5">
        <f>'Raw Data'!J209</f>
        <v>3.9756499999999999</v>
      </c>
      <c r="E554" s="5">
        <f>$D$347-D554</f>
        <v>3.4308000000000005</v>
      </c>
      <c r="F554" s="8">
        <f>10^(-D554)</f>
        <v>1.0576695467830743E-4</v>
      </c>
      <c r="G554" s="5">
        <f>(D554-D553)/(C554-C553)</f>
        <v>6.9239999999998664E-2</v>
      </c>
      <c r="H554" s="5">
        <f>$B$9+$B$10*EXP(-$B$11*C554)</f>
        <v>3.9183858782838121</v>
      </c>
      <c r="I554" s="5">
        <f>D554-H554</f>
        <v>5.7264121716187777E-2</v>
      </c>
      <c r="J554" s="5">
        <f t="shared" si="15"/>
        <v>3.2791796359263685E-3</v>
      </c>
      <c r="K554" s="5">
        <f>$B$17+$B$16*C554</f>
        <v>3.6834562310635173</v>
      </c>
      <c r="L554" s="5">
        <f>(D554-K554)^2</f>
        <v>8.5377198605306598E-2</v>
      </c>
      <c r="M554" s="5">
        <f>$B$40+$B$41*EXP(-$B$42*C554)</f>
        <v>0</v>
      </c>
      <c r="N554" s="5">
        <f>(D554-M554)^2</f>
        <v>15.805792922499998</v>
      </c>
      <c r="O554" s="5">
        <f>(C554+C553)/2</f>
        <v>17.197400000000076</v>
      </c>
      <c r="P554" s="5" t="str">
        <f>IF(AND(D553&gt;6,D554&lt;=6),C553+(6-D553)*(C554-C553)/(D554-D553),"")</f>
        <v/>
      </c>
      <c r="Q554" s="5" t="str">
        <f>IF(AND(D553&gt;5,D554&lt;=5),C553+(5-D553)*(C554-C553)/(D554-D553),"")</f>
        <v/>
      </c>
      <c r="R554" s="5" t="str">
        <f>IF(AND(D553&gt;4,D554&lt;=4),C553+(4-D553)*(C554-C553)/(D554-D553),"")</f>
        <v/>
      </c>
      <c r="S554" s="5" t="str">
        <f>IF(AND(D553&gt;3,D554&lt;=3),C553+(3-D553)*(C554-C553)/(D554-D553),"")</f>
        <v/>
      </c>
    </row>
    <row r="555" spans="1:19" ht="20.100000000000001" customHeight="1">
      <c r="A555" t="s">
        <v>2</v>
      </c>
      <c r="B555">
        <v>210</v>
      </c>
      <c r="C555" s="5">
        <f>('Raw Data'!C210-'Raw Data'!$C$2)/60</f>
        <v>17.322133333333358</v>
      </c>
      <c r="D555" s="5">
        <f>'Raw Data'!J210</f>
        <v>3.9721899999999999</v>
      </c>
      <c r="E555" s="5">
        <f>$D$347-D555</f>
        <v>3.4342600000000005</v>
      </c>
      <c r="F555" s="8">
        <f>10^(-D555)</f>
        <v>1.0661295969053265E-4</v>
      </c>
      <c r="G555" s="5">
        <f>(D555-D554)/(C555-C554)</f>
        <v>-4.1653290529721658E-2</v>
      </c>
      <c r="H555" s="5">
        <f>$B$9+$B$10*EXP(-$B$11*C555)</f>
        <v>3.9147560839396593</v>
      </c>
      <c r="I555" s="5">
        <f>D555-H555</f>
        <v>5.743391606034054E-2</v>
      </c>
      <c r="J555" s="5">
        <f t="shared" si="15"/>
        <v>3.2986547140262429E-3</v>
      </c>
      <c r="K555" s="5">
        <f>$B$17+$B$16*C555</f>
        <v>3.6694603383605999</v>
      </c>
      <c r="L555" s="5">
        <f>(D555-K555)^2</f>
        <v>9.1645248036305582E-2</v>
      </c>
      <c r="M555" s="5">
        <f>$B$40+$B$41*EXP(-$B$42*C555)</f>
        <v>0</v>
      </c>
      <c r="N555" s="5">
        <f>(D555-M555)^2</f>
        <v>15.778293396099999</v>
      </c>
      <c r="O555" s="5">
        <f>(C555+C554)/2</f>
        <v>17.280600000000049</v>
      </c>
      <c r="P555" s="5" t="str">
        <f>IF(AND(D554&gt;6,D555&lt;=6),C554+(6-D554)*(C555-C554)/(D555-D554),"")</f>
        <v/>
      </c>
      <c r="Q555" s="5" t="str">
        <f>IF(AND(D554&gt;5,D555&lt;=5),C554+(5-D554)*(C555-C554)/(D555-D554),"")</f>
        <v/>
      </c>
      <c r="R555" s="5" t="str">
        <f>IF(AND(D554&gt;4,D555&lt;=4),C554+(4-D554)*(C555-C554)/(D555-D554),"")</f>
        <v/>
      </c>
      <c r="S555" s="5" t="str">
        <f>IF(AND(D554&gt;3,D555&lt;=3),C554+(3-D554)*(C555-C554)/(D555-D554),"")</f>
        <v/>
      </c>
    </row>
    <row r="556" spans="1:19" ht="20.100000000000001" customHeight="1">
      <c r="A556" t="s">
        <v>2</v>
      </c>
      <c r="B556">
        <v>211</v>
      </c>
      <c r="C556" s="5">
        <f>('Raw Data'!C211-'Raw Data'!$C$2)/60</f>
        <v>17.405733333333409</v>
      </c>
      <c r="D556" s="5">
        <f>'Raw Data'!J211</f>
        <v>3.9687299999999999</v>
      </c>
      <c r="E556" s="5">
        <f>$D$347-D556</f>
        <v>3.4377200000000006</v>
      </c>
      <c r="F556" s="8">
        <f>10^(-D556)</f>
        <v>1.0746573169801522E-4</v>
      </c>
      <c r="G556" s="5">
        <f>(D556-D555)/(C556-C555)</f>
        <v>-4.1387559808587764E-2</v>
      </c>
      <c r="H556" s="5">
        <f>$B$9+$B$10*EXP(-$B$11*C556)</f>
        <v>3.911149795865561</v>
      </c>
      <c r="I556" s="5">
        <f>D556-H556</f>
        <v>5.7580204134438873E-2</v>
      </c>
      <c r="J556" s="5">
        <f t="shared" si="15"/>
        <v>3.3154799081636516E-3</v>
      </c>
      <c r="K556" s="5">
        <f>$B$17+$B$16*C556</f>
        <v>3.6553745843883041</v>
      </c>
      <c r="L556" s="5">
        <f>(D556-K556)^2</f>
        <v>9.8191616493178591E-2</v>
      </c>
      <c r="M556" s="5">
        <f>$B$40+$B$41*EXP(-$B$42*C556)</f>
        <v>0</v>
      </c>
      <c r="N556" s="5">
        <f>(D556-M556)^2</f>
        <v>15.750817812899999</v>
      </c>
      <c r="O556" s="5">
        <f>(C556+C555)/2</f>
        <v>17.363933333333385</v>
      </c>
      <c r="P556" s="5" t="str">
        <f>IF(AND(D555&gt;6,D556&lt;=6),C555+(6-D555)*(C556-C555)/(D556-D555),"")</f>
        <v/>
      </c>
      <c r="Q556" s="5" t="str">
        <f>IF(AND(D555&gt;5,D556&lt;=5),C555+(5-D555)*(C556-C555)/(D556-D555),"")</f>
        <v/>
      </c>
      <c r="R556" s="5" t="str">
        <f>IF(AND(D555&gt;4,D556&lt;=4),C555+(4-D555)*(C556-C555)/(D556-D555),"")</f>
        <v/>
      </c>
      <c r="S556" s="5" t="str">
        <f>IF(AND(D555&gt;3,D556&lt;=3),C555+(3-D555)*(C556-C555)/(D556-D555),"")</f>
        <v/>
      </c>
    </row>
    <row r="557" spans="1:19" ht="20.100000000000001" customHeight="1">
      <c r="A557" t="s">
        <v>2</v>
      </c>
      <c r="B557">
        <v>212</v>
      </c>
      <c r="C557" s="5">
        <f>('Raw Data'!C212-'Raw Data'!$C$2)/60</f>
        <v>17.488800000000026</v>
      </c>
      <c r="D557" s="5">
        <f>'Raw Data'!J212</f>
        <v>3.9687299999999999</v>
      </c>
      <c r="E557" s="5">
        <f>$D$347-D557</f>
        <v>3.4377200000000006</v>
      </c>
      <c r="F557" s="8">
        <f>10^(-D557)</f>
        <v>1.0746573169801522E-4</v>
      </c>
      <c r="G557" s="5">
        <f>(D557-D556)/(C557-C556)</f>
        <v>0</v>
      </c>
      <c r="H557" s="5">
        <f>$B$9+$B$10*EXP(-$B$11*C557)</f>
        <v>3.9076124319088263</v>
      </c>
      <c r="I557" s="5">
        <f>D557-H557</f>
        <v>6.1117568091173524E-2</v>
      </c>
      <c r="J557" s="5">
        <f t="shared" si="15"/>
        <v>3.7353571293792321E-3</v>
      </c>
      <c r="K557" s="5">
        <f>$B$17+$B$16*C557</f>
        <v>3.6413786916853859</v>
      </c>
      <c r="L557" s="5">
        <f>(D557-K557)^2</f>
        <v>0.10715887905528948</v>
      </c>
      <c r="M557" s="5">
        <f>$B$40+$B$41*EXP(-$B$42*C557)</f>
        <v>0</v>
      </c>
      <c r="N557" s="5">
        <f>(D557-M557)^2</f>
        <v>15.750817812899999</v>
      </c>
      <c r="O557" s="5">
        <f>(C557+C556)/2</f>
        <v>17.447266666666717</v>
      </c>
      <c r="P557" s="5" t="str">
        <f>IF(AND(D556&gt;6,D557&lt;=6),C556+(6-D556)*(C557-C556)/(D557-D556),"")</f>
        <v/>
      </c>
      <c r="Q557" s="5" t="str">
        <f>IF(AND(D556&gt;5,D557&lt;=5),C556+(5-D556)*(C557-C556)/(D557-D556),"")</f>
        <v/>
      </c>
      <c r="R557" s="5" t="str">
        <f>IF(AND(D556&gt;4,D557&lt;=4),C556+(4-D556)*(C557-C556)/(D557-D556),"")</f>
        <v/>
      </c>
      <c r="S557" s="5" t="str">
        <f>IF(AND(D556&gt;3,D557&lt;=3),C556+(3-D556)*(C557-C556)/(D557-D556),"")</f>
        <v/>
      </c>
    </row>
    <row r="558" spans="1:19" ht="20.100000000000001" customHeight="1">
      <c r="A558" t="s">
        <v>2</v>
      </c>
      <c r="B558">
        <v>213</v>
      </c>
      <c r="C558" s="5">
        <f>('Raw Data'!C213-'Raw Data'!$C$2)/60</f>
        <v>17.572133333333358</v>
      </c>
      <c r="D558" s="5">
        <f>'Raw Data'!J213</f>
        <v>3.9606499999999998</v>
      </c>
      <c r="E558" s="5">
        <f>$D$347-D558</f>
        <v>3.4458000000000006</v>
      </c>
      <c r="F558" s="8">
        <f>10^(-D558)</f>
        <v>1.0948383462877909E-4</v>
      </c>
      <c r="G558" s="5">
        <f>(D558-D557)/(C558-C557)</f>
        <v>-9.6960000000002419E-2</v>
      </c>
      <c r="H558" s="5">
        <f>$B$9+$B$10*EXP(-$B$11*C558)</f>
        <v>3.9041091139010224</v>
      </c>
      <c r="I558" s="5">
        <f>D558-H558</f>
        <v>5.6540886098977339E-2</v>
      </c>
      <c r="J558" s="5">
        <f t="shared" si="15"/>
        <v>3.1968718008575287E-3</v>
      </c>
      <c r="K558" s="5">
        <f>$B$17+$B$16*C558</f>
        <v>3.6273378683477797</v>
      </c>
      <c r="L558" s="5">
        <f>(D558-K558)^2</f>
        <v>0.11109697710654688</v>
      </c>
      <c r="M558" s="5">
        <f>$B$40+$B$41*EXP(-$B$42*C558)</f>
        <v>0</v>
      </c>
      <c r="N558" s="5">
        <f>(D558-M558)^2</f>
        <v>15.686748422499999</v>
      </c>
      <c r="O558" s="5">
        <f>(C558+C557)/2</f>
        <v>17.53046666666669</v>
      </c>
      <c r="P558" s="5" t="str">
        <f>IF(AND(D557&gt;6,D558&lt;=6),C557+(6-D557)*(C558-C557)/(D558-D557),"")</f>
        <v/>
      </c>
      <c r="Q558" s="5" t="str">
        <f>IF(AND(D557&gt;5,D558&lt;=5),C557+(5-D557)*(C558-C557)/(D558-D557),"")</f>
        <v/>
      </c>
      <c r="R558" s="5" t="str">
        <f>IF(AND(D557&gt;4,D558&lt;=4),C557+(4-D557)*(C558-C557)/(D558-D557),"")</f>
        <v/>
      </c>
      <c r="S558" s="5" t="str">
        <f>IF(AND(D557&gt;3,D558&lt;=3),C557+(3-D557)*(C558-C557)/(D558-D557),"")</f>
        <v/>
      </c>
    </row>
    <row r="559" spans="1:19" ht="20.100000000000001" customHeight="1">
      <c r="A559" t="s">
        <v>2</v>
      </c>
      <c r="B559">
        <v>214</v>
      </c>
      <c r="C559" s="5">
        <f>('Raw Data'!C214-'Raw Data'!$C$2)/60</f>
        <v>17.655466666666694</v>
      </c>
      <c r="D559" s="5">
        <f>'Raw Data'!J214</f>
        <v>3.9664199999999998</v>
      </c>
      <c r="E559" s="5">
        <f>$D$347-D559</f>
        <v>3.4400300000000006</v>
      </c>
      <c r="F559" s="8">
        <f>10^(-D559)</f>
        <v>1.0803886174910844E-4</v>
      </c>
      <c r="G559" s="5">
        <f>(D559-D558)/(C559-C558)</f>
        <v>6.9239999999998664E-2</v>
      </c>
      <c r="H559" s="5">
        <f>$B$9+$B$10*EXP(-$B$11*C559)</f>
        <v>3.9006506884001255</v>
      </c>
      <c r="I559" s="5">
        <f>D559-H559</f>
        <v>6.5769311599874314E-2</v>
      </c>
      <c r="J559" s="5">
        <f t="shared" si="15"/>
        <v>4.3256023483213618E-3</v>
      </c>
      <c r="K559" s="5">
        <f>$B$17+$B$16*C559</f>
        <v>3.6132970450101722</v>
      </c>
      <c r="L559" s="5">
        <f>(D559-K559)^2</f>
        <v>0.1246958213407478</v>
      </c>
      <c r="M559" s="5">
        <f>$B$40+$B$41*EXP(-$B$42*C559)</f>
        <v>0</v>
      </c>
      <c r="N559" s="5">
        <f>(D559-M559)^2</f>
        <v>15.732487616399998</v>
      </c>
      <c r="O559" s="5">
        <f>(C559+C558)/2</f>
        <v>17.613800000000026</v>
      </c>
      <c r="P559" s="5" t="str">
        <f>IF(AND(D558&gt;6,D559&lt;=6),C558+(6-D558)*(C559-C558)/(D559-D558),"")</f>
        <v/>
      </c>
      <c r="Q559" s="5" t="str">
        <f>IF(AND(D558&gt;5,D559&lt;=5),C558+(5-D558)*(C559-C558)/(D559-D558),"")</f>
        <v/>
      </c>
      <c r="R559" s="5" t="str">
        <f>IF(AND(D558&gt;4,D559&lt;=4),C558+(4-D558)*(C559-C558)/(D559-D558),"")</f>
        <v/>
      </c>
      <c r="S559" s="5" t="str">
        <f>IF(AND(D558&gt;3,D559&lt;=3),C558+(3-D558)*(C559-C558)/(D559-D558),"")</f>
        <v/>
      </c>
    </row>
    <row r="560" spans="1:19" ht="20.100000000000001" customHeight="1">
      <c r="A560" t="s">
        <v>2</v>
      </c>
      <c r="B560">
        <v>215</v>
      </c>
      <c r="C560" s="5">
        <f>('Raw Data'!C215-'Raw Data'!$C$2)/60</f>
        <v>17.738800000000026</v>
      </c>
      <c r="D560" s="5">
        <f>'Raw Data'!J215</f>
        <v>3.9560399999999998</v>
      </c>
      <c r="E560" s="5">
        <f>$D$347-D560</f>
        <v>3.4504100000000006</v>
      </c>
      <c r="F560" s="8">
        <f>10^(-D560)</f>
        <v>1.1065218648541455E-4</v>
      </c>
      <c r="G560" s="5">
        <f>(D560-D559)/(C560-C559)</f>
        <v>-0.12456000000000245</v>
      </c>
      <c r="H560" s="5">
        <f>$B$9+$B$10*EXP(-$B$11*C560)</f>
        <v>3.8972365801408668</v>
      </c>
      <c r="I560" s="5">
        <f>D560-H560</f>
        <v>5.8803419859132955E-2</v>
      </c>
      <c r="J560" s="5">
        <f t="shared" si="15"/>
        <v>3.4578421871294721E-3</v>
      </c>
      <c r="K560" s="5">
        <f>$B$17+$B$16*C560</f>
        <v>3.5992562216725656</v>
      </c>
      <c r="L560" s="5">
        <f>(D560-K560)^2</f>
        <v>0.12729466447759966</v>
      </c>
      <c r="M560" s="5">
        <f>$B$40+$B$41*EXP(-$B$42*C560)</f>
        <v>0</v>
      </c>
      <c r="N560" s="5">
        <f>(D560-M560)^2</f>
        <v>15.650252481599999</v>
      </c>
      <c r="O560" s="5">
        <f>(C560+C559)/2</f>
        <v>17.697133333333362</v>
      </c>
      <c r="P560" s="5" t="str">
        <f>IF(AND(D559&gt;6,D560&lt;=6),C559+(6-D559)*(C560-C559)/(D560-D559),"")</f>
        <v/>
      </c>
      <c r="Q560" s="5" t="str">
        <f>IF(AND(D559&gt;5,D560&lt;=5),C559+(5-D559)*(C560-C559)/(D560-D559),"")</f>
        <v/>
      </c>
      <c r="R560" s="5" t="str">
        <f>IF(AND(D559&gt;4,D560&lt;=4),C559+(4-D559)*(C560-C559)/(D560-D559),"")</f>
        <v/>
      </c>
      <c r="S560" s="5" t="str">
        <f>IF(AND(D559&gt;3,D560&lt;=3),C559+(3-D559)*(C560-C559)/(D560-D559),"")</f>
        <v/>
      </c>
    </row>
    <row r="561" spans="1:19" ht="20.100000000000001" customHeight="1">
      <c r="A561" t="s">
        <v>2</v>
      </c>
      <c r="B561">
        <v>216</v>
      </c>
      <c r="C561" s="5">
        <f>('Raw Data'!C216-'Raw Data'!$C$2)/60</f>
        <v>17.821883333333361</v>
      </c>
      <c r="D561" s="5">
        <f>'Raw Data'!J216</f>
        <v>3.9433500000000001</v>
      </c>
      <c r="E561" s="5">
        <f>$D$347-D561</f>
        <v>3.4631000000000003</v>
      </c>
      <c r="F561" s="8">
        <f>10^(-D561)</f>
        <v>1.1393312249907727E-4</v>
      </c>
      <c r="G561" s="5">
        <f>(D561-D560)/(C561-C560)</f>
        <v>-0.15273821464392537</v>
      </c>
      <c r="H561" s="5">
        <f>$B$9+$B$10*EXP(-$B$11*C561)</f>
        <v>3.8938762674390706</v>
      </c>
      <c r="I561" s="5">
        <f>D561-H561</f>
        <v>4.9473732560929573E-2</v>
      </c>
      <c r="J561" s="5">
        <f t="shared" si="15"/>
        <v>2.447650213510383E-3</v>
      </c>
      <c r="K561" s="5">
        <f>$B$17+$B$16*C561</f>
        <v>3.5852575208049715</v>
      </c>
      <c r="L561" s="5">
        <f>(D561-K561)^2</f>
        <v>0.128230223656042</v>
      </c>
      <c r="M561" s="5">
        <f>$B$40+$B$41*EXP(-$B$42*C561)</f>
        <v>0</v>
      </c>
      <c r="N561" s="5">
        <f>(D561-M561)^2</f>
        <v>15.550009222500002</v>
      </c>
      <c r="O561" s="5">
        <f>(C561+C560)/2</f>
        <v>17.780341666666693</v>
      </c>
      <c r="P561" s="5" t="str">
        <f>IF(AND(D560&gt;6,D561&lt;=6),C560+(6-D560)*(C561-C560)/(D561-D560),"")</f>
        <v/>
      </c>
      <c r="Q561" s="5" t="str">
        <f>IF(AND(D560&gt;5,D561&lt;=5),C560+(5-D560)*(C561-C560)/(D561-D560),"")</f>
        <v/>
      </c>
      <c r="R561" s="5" t="str">
        <f>IF(AND(D560&gt;4,D561&lt;=4),C560+(4-D560)*(C561-C560)/(D561-D560),"")</f>
        <v/>
      </c>
      <c r="S561" s="5" t="str">
        <f>IF(AND(D560&gt;3,D561&lt;=3),C560+(3-D560)*(C561-C560)/(D561-D560),"")</f>
        <v/>
      </c>
    </row>
    <row r="562" spans="1:19" ht="20.100000000000001" customHeight="1">
      <c r="A562" t="s">
        <v>2</v>
      </c>
      <c r="B562">
        <v>217</v>
      </c>
      <c r="C562" s="5">
        <f>('Raw Data'!C217-'Raw Data'!$C$2)/60</f>
        <v>17.905466666666694</v>
      </c>
      <c r="D562" s="5">
        <f>'Raw Data'!J217</f>
        <v>3.9594999999999998</v>
      </c>
      <c r="E562" s="5">
        <f>$D$347-D562</f>
        <v>3.4469500000000006</v>
      </c>
      <c r="F562" s="8">
        <f>10^(-D562)</f>
        <v>1.0977412902737125E-4</v>
      </c>
      <c r="G562" s="5">
        <f>(D562-D561)/(C562-C561)</f>
        <v>0.1932203389830468</v>
      </c>
      <c r="H562" s="5">
        <f>$B$9+$B$10*EXP(-$B$11*C562)</f>
        <v>3.8905390510497817</v>
      </c>
      <c r="I562" s="5">
        <f>D562-H562</f>
        <v>6.8960948950218093E-2</v>
      </c>
      <c r="J562" s="5">
        <f t="shared" si="15"/>
        <v>4.7556124801145854E-3</v>
      </c>
      <c r="K562" s="5">
        <f>$B$17+$B$16*C562</f>
        <v>3.571174574997352</v>
      </c>
      <c r="L562" s="5">
        <f>(D562-K562)^2</f>
        <v>0.15079663570348703</v>
      </c>
      <c r="M562" s="5">
        <f>$B$40+$B$41*EXP(-$B$42*C562)</f>
        <v>0</v>
      </c>
      <c r="N562" s="5">
        <f>(D562-M562)^2</f>
        <v>15.677640249999998</v>
      </c>
      <c r="O562" s="5">
        <f>(C562+C561)/2</f>
        <v>17.863675000000029</v>
      </c>
      <c r="P562" s="5" t="str">
        <f>IF(AND(D561&gt;6,D562&lt;=6),C561+(6-D561)*(C562-C561)/(D562-D561),"")</f>
        <v/>
      </c>
      <c r="Q562" s="5" t="str">
        <f>IF(AND(D561&gt;5,D562&lt;=5),C561+(5-D561)*(C562-C561)/(D562-D561),"")</f>
        <v/>
      </c>
      <c r="R562" s="5" t="str">
        <f>IF(AND(D561&gt;4,D562&lt;=4),C561+(4-D561)*(C562-C561)/(D562-D561),"")</f>
        <v/>
      </c>
      <c r="S562" s="5" t="str">
        <f>IF(AND(D561&gt;3,D562&lt;=3),C561+(3-D561)*(C562-C561)/(D562-D561),"")</f>
        <v/>
      </c>
    </row>
    <row r="563" spans="1:19" ht="20.100000000000001" customHeight="1">
      <c r="A563" t="s">
        <v>2</v>
      </c>
      <c r="B563">
        <v>218</v>
      </c>
      <c r="C563" s="5">
        <f>('Raw Data'!C218-'Raw Data'!$C$2)/60</f>
        <v>17.988550000000028</v>
      </c>
      <c r="D563" s="5">
        <f>'Raw Data'!J218</f>
        <v>3.9491200000000002</v>
      </c>
      <c r="E563" s="5">
        <f>$D$347-D563</f>
        <v>3.4573300000000002</v>
      </c>
      <c r="F563" s="8">
        <f>10^(-D563)</f>
        <v>1.1242942770554393E-4</v>
      </c>
      <c r="G563" s="5">
        <f>(D563-D562)/(C563-C562)</f>
        <v>-0.12493480441323328</v>
      </c>
      <c r="H563" s="5">
        <f>$B$9+$B$10*EXP(-$B$11*C563)</f>
        <v>3.8872643065580341</v>
      </c>
      <c r="I563" s="5">
        <f>D563-H563</f>
        <v>6.1855693441966064E-2</v>
      </c>
      <c r="J563" s="5">
        <f t="shared" si="15"/>
        <v>3.8261268111864834E-3</v>
      </c>
      <c r="K563" s="5">
        <f>$B$17+$B$16*C563</f>
        <v>3.5571758741297579</v>
      </c>
      <c r="L563" s="5">
        <f>(D563-K563)^2</f>
        <v>0.15362019780418834</v>
      </c>
      <c r="M563" s="5">
        <f>$B$40+$B$41*EXP(-$B$42*C563)</f>
        <v>0</v>
      </c>
      <c r="N563" s="5">
        <f>(D563-M563)^2</f>
        <v>15.595548774400001</v>
      </c>
      <c r="O563" s="5">
        <f>(C563+C562)/2</f>
        <v>17.947008333333361</v>
      </c>
      <c r="P563" s="5" t="str">
        <f>IF(AND(D562&gt;6,D563&lt;=6),C562+(6-D562)*(C563-C562)/(D563-D562),"")</f>
        <v/>
      </c>
      <c r="Q563" s="5" t="str">
        <f>IF(AND(D562&gt;5,D563&lt;=5),C562+(5-D562)*(C563-C562)/(D563-D562),"")</f>
        <v/>
      </c>
      <c r="R563" s="5" t="str">
        <f>IF(AND(D562&gt;4,D563&lt;=4),C562+(4-D562)*(C563-C562)/(D563-D562),"")</f>
        <v/>
      </c>
      <c r="S563" s="5" t="str">
        <f>IF(AND(D562&gt;3,D563&lt;=3),C562+(3-D562)*(C563-C562)/(D563-D562),"")</f>
        <v/>
      </c>
    </row>
    <row r="564" spans="1:19" ht="20.100000000000001" customHeight="1">
      <c r="A564" t="s">
        <v>2</v>
      </c>
      <c r="B564">
        <v>219</v>
      </c>
      <c r="C564" s="5">
        <f>('Raw Data'!C219-'Raw Data'!$C$2)/60</f>
        <v>18.071883333333361</v>
      </c>
      <c r="D564" s="5">
        <f>'Raw Data'!J219</f>
        <v>3.9398900000000001</v>
      </c>
      <c r="E564" s="5">
        <f>$D$347-D564</f>
        <v>3.4665600000000003</v>
      </c>
      <c r="F564" s="8">
        <f>10^(-D564)</f>
        <v>1.1484444676841885E-4</v>
      </c>
      <c r="G564" s="5">
        <f>(D564-D563)/(C564-C563)</f>
        <v>-0.11076000000000243</v>
      </c>
      <c r="H564" s="5">
        <f>$B$9+$B$10*EXP(-$B$11*C564)</f>
        <v>3.8840217351783748</v>
      </c>
      <c r="I564" s="5">
        <f>D564-H564</f>
        <v>5.5868264821625324E-2</v>
      </c>
      <c r="J564" s="5">
        <f t="shared" si="15"/>
        <v>3.1212630141792576E-3</v>
      </c>
      <c r="K564" s="5">
        <f>$B$17+$B$16*C564</f>
        <v>3.5431350507921513</v>
      </c>
      <c r="L564" s="5">
        <f>(D564-K564)^2</f>
        <v>0.1574144897209227</v>
      </c>
      <c r="M564" s="5">
        <f>$B$40+$B$41*EXP(-$B$42*C564)</f>
        <v>0</v>
      </c>
      <c r="N564" s="5">
        <f>(D564-M564)^2</f>
        <v>15.5227332121</v>
      </c>
      <c r="O564" s="5">
        <f>(C564+C563)/2</f>
        <v>18.030216666666696</v>
      </c>
      <c r="P564" s="5" t="str">
        <f>IF(AND(D563&gt;6,D564&lt;=6),C563+(6-D563)*(C564-C563)/(D564-D563),"")</f>
        <v/>
      </c>
      <c r="Q564" s="5" t="str">
        <f>IF(AND(D563&gt;5,D564&lt;=5),C563+(5-D563)*(C564-C563)/(D564-D563),"")</f>
        <v/>
      </c>
      <c r="R564" s="5" t="str">
        <f>IF(AND(D563&gt;4,D564&lt;=4),C563+(4-D563)*(C564-C563)/(D564-D563),"")</f>
        <v/>
      </c>
      <c r="S564" s="5" t="str">
        <f>IF(AND(D563&gt;3,D564&lt;=3),C563+(3-D563)*(C564-C563)/(D564-D563),"")</f>
        <v/>
      </c>
    </row>
    <row r="565" spans="1:19" ht="20.100000000000001" customHeight="1">
      <c r="A565" t="s">
        <v>2</v>
      </c>
      <c r="B565">
        <v>220</v>
      </c>
      <c r="C565" s="5">
        <f>('Raw Data'!C220-'Raw Data'!$C$2)/60</f>
        <v>18.155216666666696</v>
      </c>
      <c r="D565" s="5">
        <f>'Raw Data'!J220</f>
        <v>3.9433500000000001</v>
      </c>
      <c r="E565" s="5">
        <f>$D$347-D565</f>
        <v>3.4631000000000003</v>
      </c>
      <c r="F565" s="8">
        <f>10^(-D565)</f>
        <v>1.1393312249907727E-4</v>
      </c>
      <c r="G565" s="5">
        <f>(D565-D564)/(C565-C564)</f>
        <v>4.1519999999999044E-2</v>
      </c>
      <c r="H565" s="5">
        <f>$B$9+$B$10*EXP(-$B$11*C565)</f>
        <v>3.8808207150246479</v>
      </c>
      <c r="I565" s="5">
        <f>D565-H565</f>
        <v>6.2529284975352262E-2</v>
      </c>
      <c r="J565" s="5">
        <f t="shared" si="15"/>
        <v>3.9099114795288145E-3</v>
      </c>
      <c r="K565" s="5">
        <f>$B$17+$B$16*C565</f>
        <v>3.5290942274545443</v>
      </c>
      <c r="L565" s="5">
        <f>(D565-K565)^2</f>
        <v>0.17160784508723248</v>
      </c>
      <c r="M565" s="5">
        <f>$B$40+$B$41*EXP(-$B$42*C565)</f>
        <v>0</v>
      </c>
      <c r="N565" s="5">
        <f>(D565-M565)^2</f>
        <v>15.550009222500002</v>
      </c>
      <c r="O565" s="5">
        <f>(C565+C564)/2</f>
        <v>18.113550000000028</v>
      </c>
      <c r="P565" s="5" t="str">
        <f>IF(AND(D564&gt;6,D565&lt;=6),C564+(6-D564)*(C565-C564)/(D565-D564),"")</f>
        <v/>
      </c>
      <c r="Q565" s="5" t="str">
        <f>IF(AND(D564&gt;5,D565&lt;=5),C564+(5-D564)*(C565-C564)/(D565-D564),"")</f>
        <v/>
      </c>
      <c r="R565" s="5" t="str">
        <f>IF(AND(D564&gt;4,D565&lt;=4),C564+(4-D564)*(C565-C564)/(D565-D564),"")</f>
        <v/>
      </c>
      <c r="S565" s="5" t="str">
        <f>IF(AND(D564&gt;3,D565&lt;=3),C564+(3-D564)*(C565-C564)/(D565-D564),"")</f>
        <v/>
      </c>
    </row>
    <row r="566" spans="1:19" ht="20.100000000000001" customHeight="1">
      <c r="A566" t="s">
        <v>2</v>
      </c>
      <c r="B566">
        <v>221</v>
      </c>
      <c r="C566" s="5">
        <f>('Raw Data'!C221-'Raw Data'!$C$2)/60</f>
        <v>18.23828333333331</v>
      </c>
      <c r="D566" s="5">
        <f>'Raw Data'!J221</f>
        <v>3.9433500000000001</v>
      </c>
      <c r="E566" s="5">
        <f>$D$347-D566</f>
        <v>3.4631000000000003</v>
      </c>
      <c r="F566" s="8">
        <f>10^(-D566)</f>
        <v>1.1393312249907727E-4</v>
      </c>
      <c r="G566" s="5">
        <f>(D566-D565)/(C566-C565)</f>
        <v>0</v>
      </c>
      <c r="H566" s="5">
        <f>$B$9+$B$10*EXP(-$B$11*C566)</f>
        <v>3.877670760791867</v>
      </c>
      <c r="I566" s="5">
        <f>D566-H566</f>
        <v>6.5679239208133122E-2</v>
      </c>
      <c r="J566" s="5">
        <f t="shared" si="15"/>
        <v>4.3137624629591715E-3</v>
      </c>
      <c r="K566" s="5">
        <f>$B$17+$B$16*C566</f>
        <v>3.5150983347516269</v>
      </c>
      <c r="L566" s="5">
        <f>(D566-K566)^2</f>
        <v>0.18339948878800472</v>
      </c>
      <c r="M566" s="5">
        <f>$B$40+$B$41*EXP(-$B$42*C566)</f>
        <v>0</v>
      </c>
      <c r="N566" s="5">
        <f>(D566-M566)^2</f>
        <v>15.550009222500002</v>
      </c>
      <c r="O566" s="5">
        <f>(C566+C565)/2</f>
        <v>18.196750000000002</v>
      </c>
      <c r="P566" s="5" t="str">
        <f>IF(AND(D565&gt;6,D566&lt;=6),C565+(6-D565)*(C566-C565)/(D566-D565),"")</f>
        <v/>
      </c>
      <c r="Q566" s="5" t="str">
        <f>IF(AND(D565&gt;5,D566&lt;=5),C565+(5-D565)*(C566-C565)/(D566-D565),"")</f>
        <v/>
      </c>
      <c r="R566" s="5" t="str">
        <f>IF(AND(D565&gt;4,D566&lt;=4),C565+(4-D565)*(C566-C565)/(D566-D565),"")</f>
        <v/>
      </c>
      <c r="S566" s="5" t="str">
        <f>IF(AND(D565&gt;3,D566&lt;=3),C565+(3-D565)*(C566-C565)/(D566-D565),"")</f>
        <v/>
      </c>
    </row>
    <row r="567" spans="1:19" ht="20.100000000000001" customHeight="1">
      <c r="A567" t="s">
        <v>2</v>
      </c>
      <c r="B567">
        <v>222</v>
      </c>
      <c r="C567" s="5">
        <f>('Raw Data'!C222-'Raw Data'!$C$2)/60</f>
        <v>18.321616666666646</v>
      </c>
      <c r="D567" s="5">
        <f>'Raw Data'!J222</f>
        <v>3.9387300000000001</v>
      </c>
      <c r="E567" s="5">
        <f>$D$347-D567</f>
        <v>3.4677200000000004</v>
      </c>
      <c r="F567" s="8">
        <f>10^(-D567)</f>
        <v>1.1515160616590825E-4</v>
      </c>
      <c r="G567" s="5">
        <f>(D567-D566)/(C567-C566)</f>
        <v>-5.5439999999999247E-2</v>
      </c>
      <c r="H567" s="5">
        <f>$B$9+$B$10*EXP(-$B$11*C567)</f>
        <v>3.8745511238185641</v>
      </c>
      <c r="I567" s="5">
        <f>D567-H567</f>
        <v>6.4178876181435918E-2</v>
      </c>
      <c r="J567" s="5">
        <f t="shared" si="15"/>
        <v>4.1189281479120828E-3</v>
      </c>
      <c r="K567" s="5">
        <f>$B$17+$B$16*C567</f>
        <v>3.5010575114140194</v>
      </c>
      <c r="L567" s="5">
        <f>(D567-K567)^2</f>
        <v>0.19155720726504533</v>
      </c>
      <c r="M567" s="5">
        <f>$B$40+$B$41*EXP(-$B$42*C567)</f>
        <v>0</v>
      </c>
      <c r="N567" s="5">
        <f>(D567-M567)^2</f>
        <v>15.513594012900001</v>
      </c>
      <c r="O567" s="5">
        <f>(C567+C566)/2</f>
        <v>18.279949999999978</v>
      </c>
      <c r="P567" s="5" t="str">
        <f>IF(AND(D566&gt;6,D567&lt;=6),C566+(6-D566)*(C567-C566)/(D567-D566),"")</f>
        <v/>
      </c>
      <c r="Q567" s="5" t="str">
        <f>IF(AND(D566&gt;5,D567&lt;=5),C566+(5-D566)*(C567-C566)/(D567-D566),"")</f>
        <v/>
      </c>
      <c r="R567" s="5" t="str">
        <f>IF(AND(D566&gt;4,D567&lt;=4),C566+(4-D566)*(C567-C566)/(D567-D566),"")</f>
        <v/>
      </c>
      <c r="S567" s="5" t="str">
        <f>IF(AND(D566&gt;3,D567&lt;=3),C566+(3-D566)*(C567-C566)/(D567-D566),"")</f>
        <v/>
      </c>
    </row>
    <row r="568" spans="1:19" ht="20.100000000000001" customHeight="1">
      <c r="A568" t="s">
        <v>2</v>
      </c>
      <c r="B568">
        <v>223</v>
      </c>
      <c r="C568" s="5">
        <f>('Raw Data'!C223-'Raw Data'!$C$2)/60</f>
        <v>18.404683333333377</v>
      </c>
      <c r="D568" s="5">
        <f>'Raw Data'!J223</f>
        <v>3.9422000000000001</v>
      </c>
      <c r="E568" s="5">
        <f>$D$347-D568</f>
        <v>3.4642500000000003</v>
      </c>
      <c r="F568" s="8">
        <f>10^(-D568)</f>
        <v>1.1423521410363005E-4</v>
      </c>
      <c r="G568" s="5">
        <f>(D568-D567)/(C568-C567)</f>
        <v>4.1773675762408348E-2</v>
      </c>
      <c r="H568" s="5">
        <f>$B$9+$B$10*EXP(-$B$11*C568)</f>
        <v>3.871481254459145</v>
      </c>
      <c r="I568" s="5">
        <f>D568-H568</f>
        <v>7.071874554085511E-2</v>
      </c>
      <c r="J568" s="5">
        <f t="shared" si="15"/>
        <v>5.0011409708722145E-3</v>
      </c>
      <c r="K568" s="5">
        <f>$B$17+$B$16*C568</f>
        <v>3.4870616187110821</v>
      </c>
      <c r="L568" s="5">
        <f>(D568-K568)^2</f>
        <v>0.20715094612229654</v>
      </c>
      <c r="M568" s="5">
        <f>$B$40+$B$41*EXP(-$B$42*C568)</f>
        <v>0</v>
      </c>
      <c r="N568" s="5">
        <f>(D568-M568)^2</f>
        <v>15.540940840000001</v>
      </c>
      <c r="O568" s="5">
        <f>(C568+C567)/2</f>
        <v>18.363150000000012</v>
      </c>
      <c r="P568" s="5" t="str">
        <f>IF(AND(D567&gt;6,D568&lt;=6),C567+(6-D567)*(C568-C567)/(D568-D567),"")</f>
        <v/>
      </c>
      <c r="Q568" s="5" t="str">
        <f>IF(AND(D567&gt;5,D568&lt;=5),C567+(5-D567)*(C568-C567)/(D568-D567),"")</f>
        <v/>
      </c>
      <c r="R568" s="5" t="str">
        <f>IF(AND(D567&gt;4,D568&lt;=4),C567+(4-D567)*(C568-C567)/(D568-D567),"")</f>
        <v/>
      </c>
      <c r="S568" s="5" t="str">
        <f>IF(AND(D567&gt;3,D568&lt;=3),C567+(3-D567)*(C568-C567)/(D568-D567),"")</f>
        <v/>
      </c>
    </row>
    <row r="569" spans="1:19" ht="20.100000000000001" customHeight="1">
      <c r="A569" t="s">
        <v>2</v>
      </c>
      <c r="B569">
        <v>224</v>
      </c>
      <c r="C569" s="5">
        <f>('Raw Data'!C224-'Raw Data'!$C$2)/60</f>
        <v>18.48828333333331</v>
      </c>
      <c r="D569" s="5">
        <f>'Raw Data'!J224</f>
        <v>3.93181</v>
      </c>
      <c r="E569" s="5">
        <f>$D$347-D569</f>
        <v>3.4746400000000004</v>
      </c>
      <c r="F569" s="8">
        <f>10^(-D569)</f>
        <v>1.1700111486105867E-4</v>
      </c>
      <c r="G569" s="5">
        <f>(D569-D568)/(C569-C568)</f>
        <v>-0.12428229665081866</v>
      </c>
      <c r="H569" s="5">
        <f>$B$9+$B$10*EXP(-$B$11*C569)</f>
        <v>3.8684312653384896</v>
      </c>
      <c r="I569" s="5">
        <f>D569-H569</f>
        <v>6.337873466151045E-2</v>
      </c>
      <c r="J569" s="5">
        <f t="shared" si="15"/>
        <v>4.0168640072941464E-3</v>
      </c>
      <c r="K569" s="5">
        <f>$B$17+$B$16*C569</f>
        <v>3.4729758647388063</v>
      </c>
      <c r="L569" s="5">
        <f>(D569-K569)^2</f>
        <v>0.21052876368088747</v>
      </c>
      <c r="M569" s="5">
        <f>$B$40+$B$41*EXP(-$B$42*C569)</f>
        <v>0</v>
      </c>
      <c r="N569" s="5">
        <f>(D569-M569)^2</f>
        <v>15.4591298761</v>
      </c>
      <c r="O569" s="5">
        <f>(C569+C568)/2</f>
        <v>18.446483333333344</v>
      </c>
      <c r="P569" s="5" t="str">
        <f>IF(AND(D568&gt;6,D569&lt;=6),C568+(6-D568)*(C569-C568)/(D569-D568),"")</f>
        <v/>
      </c>
      <c r="Q569" s="5" t="str">
        <f>IF(AND(D568&gt;5,D569&lt;=5),C568+(5-D568)*(C569-C568)/(D569-D568),"")</f>
        <v/>
      </c>
      <c r="R569" s="5" t="str">
        <f>IF(AND(D568&gt;4,D569&lt;=4),C568+(4-D568)*(C569-C568)/(D569-D568),"")</f>
        <v/>
      </c>
      <c r="S569" s="5" t="str">
        <f>IF(AND(D568&gt;3,D569&lt;=3),C568+(3-D568)*(C569-C568)/(D569-D568),"")</f>
        <v/>
      </c>
    </row>
    <row r="570" spans="1:19" ht="20.100000000000001" customHeight="1">
      <c r="A570" t="s">
        <v>2</v>
      </c>
      <c r="B570">
        <v>225</v>
      </c>
      <c r="C570" s="5">
        <f>('Raw Data'!C225-'Raw Data'!$C$2)/60</f>
        <v>18.571350000000045</v>
      </c>
      <c r="D570" s="5">
        <f>'Raw Data'!J225</f>
        <v>3.9329700000000001</v>
      </c>
      <c r="E570" s="5">
        <f>$D$347-D570</f>
        <v>3.4734800000000003</v>
      </c>
      <c r="F570" s="8">
        <f>10^(-D570)</f>
        <v>1.1668902201977812E-4</v>
      </c>
      <c r="G570" s="5">
        <f>(D570-D569)/(C570-C569)</f>
        <v>1.3964686998384011E-2</v>
      </c>
      <c r="H570" s="5">
        <f>$B$9+$B$10*EXP(-$B$11*C570)</f>
        <v>3.8654395682354883</v>
      </c>
      <c r="I570" s="5">
        <f>D570-H570</f>
        <v>6.7530431764511789E-2</v>
      </c>
      <c r="J570" s="5">
        <f t="shared" si="15"/>
        <v>4.560359214301383E-3</v>
      </c>
      <c r="K570" s="5">
        <f>$B$17+$B$16*C570</f>
        <v>3.4589799720358685</v>
      </c>
      <c r="L570" s="5">
        <f>(D570-K570)^2</f>
        <v>0.22466654660943824</v>
      </c>
      <c r="M570" s="5">
        <f>$B$40+$B$41*EXP(-$B$42*C570)</f>
        <v>0</v>
      </c>
      <c r="N570" s="5">
        <f>(D570-M570)^2</f>
        <v>15.468253020900001</v>
      </c>
      <c r="O570" s="5">
        <f>(C570+C569)/2</f>
        <v>18.529816666666676</v>
      </c>
      <c r="P570" s="5" t="str">
        <f>IF(AND(D569&gt;6,D570&lt;=6),C569+(6-D569)*(C570-C569)/(D570-D569),"")</f>
        <v/>
      </c>
      <c r="Q570" s="5" t="str">
        <f>IF(AND(D569&gt;5,D570&lt;=5),C569+(5-D569)*(C570-C569)/(D570-D569),"")</f>
        <v/>
      </c>
      <c r="R570" s="5" t="str">
        <f>IF(AND(D569&gt;4,D570&lt;=4),C569+(4-D569)*(C570-C569)/(D570-D569),"")</f>
        <v/>
      </c>
      <c r="S570" s="5" t="str">
        <f>IF(AND(D569&gt;3,D570&lt;=3),C569+(3-D569)*(C570-C569)/(D570-D569),"")</f>
        <v/>
      </c>
    </row>
    <row r="571" spans="1:19" ht="20.100000000000001" customHeight="1">
      <c r="A571" t="s">
        <v>2</v>
      </c>
      <c r="B571">
        <v>226</v>
      </c>
      <c r="C571" s="5">
        <f>('Raw Data'!C226-'Raw Data'!$C$2)/60</f>
        <v>18.654683333333377</v>
      </c>
      <c r="D571" s="5">
        <f>'Raw Data'!J226</f>
        <v>3.9364300000000001</v>
      </c>
      <c r="E571" s="5">
        <f>$D$347-D571</f>
        <v>3.4700200000000003</v>
      </c>
      <c r="F571" s="8">
        <f>10^(-D571)</f>
        <v>1.157630605064035E-4</v>
      </c>
      <c r="G571" s="5">
        <f>(D571-D570)/(C571-C570)</f>
        <v>4.1520000000000813E-2</v>
      </c>
      <c r="H571" s="5">
        <f>$B$9+$B$10*EXP(-$B$11*C571)</f>
        <v>3.8624766652198486</v>
      </c>
      <c r="I571" s="5">
        <f>D571-H571</f>
        <v>7.3953334780151536E-2</v>
      </c>
      <c r="J571" s="5">
        <f t="shared" si="15"/>
        <v>5.4690957251051706E-3</v>
      </c>
      <c r="K571" s="5">
        <f>$B$17+$B$16*C571</f>
        <v>3.4449391486982619</v>
      </c>
      <c r="L571" s="5">
        <f>(D571-K571)^2</f>
        <v>0.24156325691330732</v>
      </c>
      <c r="M571" s="5">
        <f>$B$40+$B$41*EXP(-$B$42*C571)</f>
        <v>0</v>
      </c>
      <c r="N571" s="5">
        <f>(D571-M571)^2</f>
        <v>15.495481144900001</v>
      </c>
      <c r="O571" s="5">
        <f>(C571+C570)/2</f>
        <v>18.613016666666709</v>
      </c>
      <c r="P571" s="5" t="str">
        <f>IF(AND(D570&gt;6,D571&lt;=6),C570+(6-D570)*(C571-C570)/(D571-D570),"")</f>
        <v/>
      </c>
      <c r="Q571" s="5" t="str">
        <f>IF(AND(D570&gt;5,D571&lt;=5),C570+(5-D570)*(C571-C570)/(D571-D570),"")</f>
        <v/>
      </c>
      <c r="R571" s="5" t="str">
        <f>IF(AND(D570&gt;4,D571&lt;=4),C570+(4-D570)*(C571-C570)/(D571-D570),"")</f>
        <v/>
      </c>
      <c r="S571" s="5" t="str">
        <f>IF(AND(D570&gt;3,D571&lt;=3),C570+(3-D570)*(C571-C570)/(D571-D570),"")</f>
        <v/>
      </c>
    </row>
    <row r="572" spans="1:19" ht="20.100000000000001" customHeight="1">
      <c r="A572" t="s">
        <v>2</v>
      </c>
      <c r="B572">
        <v>227</v>
      </c>
      <c r="C572" s="5">
        <f>('Raw Data'!C227-'Raw Data'!$C$2)/60</f>
        <v>18.738016666666713</v>
      </c>
      <c r="D572" s="5">
        <f>'Raw Data'!J227</f>
        <v>3.92835</v>
      </c>
      <c r="E572" s="5">
        <f>$D$347-D572</f>
        <v>3.4781000000000004</v>
      </c>
      <c r="F572" s="8">
        <f>10^(-D572)</f>
        <v>1.1793697928023795E-4</v>
      </c>
      <c r="G572" s="5">
        <f>(D572-D571)/(C572-C571)</f>
        <v>-9.6959999999998284E-2</v>
      </c>
      <c r="H572" s="5">
        <f>$B$9+$B$10*EXP(-$B$11*C572)</f>
        <v>3.8595517296806974</v>
      </c>
      <c r="I572" s="5">
        <f>D572-H572</f>
        <v>6.8798270319302635E-2</v>
      </c>
      <c r="J572" s="5">
        <f t="shared" si="15"/>
        <v>4.7332019989278383E-3</v>
      </c>
      <c r="K572" s="5">
        <f>$B$17+$B$16*C572</f>
        <v>3.4308983253606549</v>
      </c>
      <c r="L572" s="5">
        <f>(D572-K572)^2</f>
        <v>0.24745816860148889</v>
      </c>
      <c r="M572" s="5">
        <f>$B$40+$B$41*EXP(-$B$42*C572)</f>
        <v>0</v>
      </c>
      <c r="N572" s="5">
        <f>(D572-M572)^2</f>
        <v>15.4319337225</v>
      </c>
      <c r="O572" s="5">
        <f>(C572+C571)/2</f>
        <v>18.696350000000045</v>
      </c>
      <c r="P572" s="5" t="str">
        <f>IF(AND(D571&gt;6,D572&lt;=6),C571+(6-D571)*(C572-C571)/(D572-D571),"")</f>
        <v/>
      </c>
      <c r="Q572" s="5" t="str">
        <f>IF(AND(D571&gt;5,D572&lt;=5),C571+(5-D571)*(C572-C571)/(D572-D571),"")</f>
        <v/>
      </c>
      <c r="R572" s="5" t="str">
        <f>IF(AND(D571&gt;4,D572&lt;=4),C571+(4-D571)*(C572-C571)/(D572-D571),"")</f>
        <v/>
      </c>
      <c r="S572" s="5" t="str">
        <f>IF(AND(D571&gt;3,D572&lt;=3),C571+(3-D571)*(C572-C571)/(D572-D571),"")</f>
        <v/>
      </c>
    </row>
    <row r="573" spans="1:19" ht="20.100000000000001" customHeight="1">
      <c r="A573" t="s">
        <v>2</v>
      </c>
      <c r="B573">
        <v>228</v>
      </c>
      <c r="C573" s="5">
        <f>('Raw Data'!C228-'Raw Data'!$C$2)/60</f>
        <v>18.821350000000045</v>
      </c>
      <c r="D573" s="5">
        <f>'Raw Data'!J228</f>
        <v>3.9295100000000001</v>
      </c>
      <c r="E573" s="5">
        <f>$D$347-D573</f>
        <v>3.4769400000000004</v>
      </c>
      <c r="F573" s="8">
        <f>10^(-D573)</f>
        <v>1.1762239008167091E-4</v>
      </c>
      <c r="G573" s="5">
        <f>(D573-D572)/(C573-C572)</f>
        <v>1.3920000000000796E-2</v>
      </c>
      <c r="H573" s="5">
        <f>$B$9+$B$10*EXP(-$B$11*C573)</f>
        <v>3.8566642750920628</v>
      </c>
      <c r="I573" s="5">
        <f>D573-H573</f>
        <v>7.2845724907937282E-2</v>
      </c>
      <c r="J573" s="5">
        <f t="shared" si="15"/>
        <v>5.3064996373628744E-3</v>
      </c>
      <c r="K573" s="5">
        <f>$B$17+$B$16*C573</f>
        <v>3.4168575020230483</v>
      </c>
      <c r="L573" s="5">
        <f>(D573-K573)^2</f>
        <v>0.26281258368200855</v>
      </c>
      <c r="M573" s="5">
        <f>$B$40+$B$41*EXP(-$B$42*C573)</f>
        <v>0</v>
      </c>
      <c r="N573" s="5">
        <f>(D573-M573)^2</f>
        <v>15.441048840100001</v>
      </c>
      <c r="O573" s="5">
        <f>(C573+C572)/2</f>
        <v>18.779683333333381</v>
      </c>
      <c r="P573" s="5" t="str">
        <f>IF(AND(D572&gt;6,D573&lt;=6),C572+(6-D572)*(C573-C572)/(D573-D572),"")</f>
        <v/>
      </c>
      <c r="Q573" s="5" t="str">
        <f>IF(AND(D572&gt;5,D573&lt;=5),C572+(5-D572)*(C573-C572)/(D573-D572),"")</f>
        <v/>
      </c>
      <c r="R573" s="5" t="str">
        <f>IF(AND(D572&gt;4,D573&lt;=4),C572+(4-D572)*(C573-C572)/(D573-D572),"")</f>
        <v/>
      </c>
      <c r="S573" s="5" t="str">
        <f>IF(AND(D572&gt;3,D573&lt;=3),C572+(3-D572)*(C573-C572)/(D573-D572),"")</f>
        <v/>
      </c>
    </row>
    <row r="574" spans="1:19" ht="20.100000000000001" customHeight="1">
      <c r="A574" t="s">
        <v>2</v>
      </c>
      <c r="B574">
        <v>229</v>
      </c>
      <c r="C574" s="5">
        <f>('Raw Data'!C229-'Raw Data'!$C$2)/60</f>
        <v>18.90443333333339</v>
      </c>
      <c r="D574" s="5">
        <f>'Raw Data'!J229</f>
        <v>3.92143</v>
      </c>
      <c r="E574" s="5">
        <f>$D$347-D574</f>
        <v>3.4850200000000005</v>
      </c>
      <c r="F574" s="8">
        <f>10^(-D574)</f>
        <v>1.1983122527403068E-4</v>
      </c>
      <c r="G574" s="5">
        <f>(D574-D573)/(C574-C573)</f>
        <v>-9.7251755265784584E-2</v>
      </c>
      <c r="H574" s="5">
        <f>$B$9+$B$10*EXP(-$B$11*C574)</f>
        <v>3.853822317663286</v>
      </c>
      <c r="I574" s="5">
        <f>D574-H574</f>
        <v>6.7607682336713992E-2</v>
      </c>
      <c r="J574" s="5">
        <f t="shared" si="15"/>
        <v>4.5707987109420293E-3</v>
      </c>
      <c r="K574" s="5">
        <f>$B$17+$B$16*C574</f>
        <v>3.4028588011554524</v>
      </c>
      <c r="L574" s="5">
        <f>(D574-K574)^2</f>
        <v>0.26891608827107133</v>
      </c>
      <c r="M574" s="5">
        <f>$B$40+$B$41*EXP(-$B$42*C574)</f>
        <v>0</v>
      </c>
      <c r="N574" s="5">
        <f>(D574-M574)^2</f>
        <v>15.377613244899999</v>
      </c>
      <c r="O574" s="5">
        <f>(C574+C573)/2</f>
        <v>18.862891666666719</v>
      </c>
      <c r="P574" s="5" t="str">
        <f>IF(AND(D573&gt;6,D574&lt;=6),C573+(6-D573)*(C574-C573)/(D574-D573),"")</f>
        <v/>
      </c>
      <c r="Q574" s="5" t="str">
        <f>IF(AND(D573&gt;5,D574&lt;=5),C573+(5-D573)*(C574-C573)/(D574-D573),"")</f>
        <v/>
      </c>
      <c r="R574" s="5" t="str">
        <f>IF(AND(D573&gt;4,D574&lt;=4),C573+(4-D573)*(C574-C573)/(D574-D573),"")</f>
        <v/>
      </c>
      <c r="S574" s="5" t="str">
        <f>IF(AND(D573&gt;3,D574&lt;=3),C573+(3-D573)*(C574-C573)/(D574-D573),"")</f>
        <v/>
      </c>
    </row>
    <row r="575" spans="1:19" ht="20.100000000000001" customHeight="1">
      <c r="A575" t="s">
        <v>2</v>
      </c>
      <c r="B575">
        <v>230</v>
      </c>
      <c r="C575" s="5">
        <f>('Raw Data'!C230-'Raw Data'!$C$2)/60</f>
        <v>18.988016666666713</v>
      </c>
      <c r="D575" s="5">
        <f>'Raw Data'!J230</f>
        <v>3.92835</v>
      </c>
      <c r="E575" s="5">
        <f>$D$347-D575</f>
        <v>3.4781000000000004</v>
      </c>
      <c r="F575" s="8">
        <f>10^(-D575)</f>
        <v>1.1793697928023795E-4</v>
      </c>
      <c r="G575" s="5">
        <f>(D575-D574)/(C575-C574)</f>
        <v>8.2791625124637114E-2</v>
      </c>
      <c r="H575" s="5">
        <f>$B$9+$B$10*EXP(-$B$11*C575)</f>
        <v>3.8509998937549685</v>
      </c>
      <c r="I575" s="5">
        <f>D575-H575</f>
        <v>7.7350106245031469E-2</v>
      </c>
      <c r="J575" s="5">
        <f t="shared" si="15"/>
        <v>5.983038936117656E-3</v>
      </c>
      <c r="K575" s="5">
        <f>$B$17+$B$16*C575</f>
        <v>3.3887758553478347</v>
      </c>
      <c r="L575" s="5">
        <f>(D575-K575)^2</f>
        <v>0.29114025757711587</v>
      </c>
      <c r="M575" s="5">
        <f>$B$40+$B$41*EXP(-$B$42*C575)</f>
        <v>0</v>
      </c>
      <c r="N575" s="5">
        <f>(D575-M575)^2</f>
        <v>15.4319337225</v>
      </c>
      <c r="O575" s="5">
        <f>(C575+C574)/2</f>
        <v>18.946225000000052</v>
      </c>
      <c r="P575" s="5" t="str">
        <f>IF(AND(D574&gt;6,D575&lt;=6),C574+(6-D574)*(C575-C574)/(D575-D574),"")</f>
        <v/>
      </c>
      <c r="Q575" s="5" t="str">
        <f>IF(AND(D574&gt;5,D575&lt;=5),C574+(5-D574)*(C575-C574)/(D575-D574),"")</f>
        <v/>
      </c>
      <c r="R575" s="5" t="str">
        <f>IF(AND(D574&gt;4,D575&lt;=4),C574+(4-D574)*(C575-C574)/(D575-D574),"")</f>
        <v/>
      </c>
      <c r="S575" s="5" t="str">
        <f>IF(AND(D574&gt;3,D575&lt;=3),C574+(3-D574)*(C575-C574)/(D575-D574),"")</f>
        <v/>
      </c>
    </row>
    <row r="576" spans="1:19" ht="20.100000000000001" customHeight="1">
      <c r="A576" t="s">
        <v>2</v>
      </c>
      <c r="B576">
        <v>231</v>
      </c>
      <c r="C576" s="5">
        <f>('Raw Data'!C231-'Raw Data'!$C$2)/60</f>
        <v>19.071100000000058</v>
      </c>
      <c r="D576" s="5">
        <f>'Raw Data'!J231</f>
        <v>3.9110499999999999</v>
      </c>
      <c r="E576" s="5">
        <f>$D$347-D576</f>
        <v>3.4954000000000005</v>
      </c>
      <c r="F576" s="8">
        <f>10^(-D576)</f>
        <v>1.2272979251289813E-4</v>
      </c>
      <c r="G576" s="5">
        <f>(D576-D575)/(C576-C575)</f>
        <v>-0.20822467402203768</v>
      </c>
      <c r="H576" s="5">
        <f>$B$9+$B$10*EXP(-$B$11*C576)</f>
        <v>3.8482303049513149</v>
      </c>
      <c r="I576" s="5">
        <f>D576-H576</f>
        <v>6.2819695048685009E-2</v>
      </c>
      <c r="J576" s="5">
        <f t="shared" si="15"/>
        <v>3.9463140860097803E-3</v>
      </c>
      <c r="K576" s="5">
        <f>$B$17+$B$16*C576</f>
        <v>3.3747771544802387</v>
      </c>
      <c r="L576" s="5">
        <f>(D576-K576)^2</f>
        <v>0.28758856484186163</v>
      </c>
      <c r="M576" s="5">
        <f>$B$40+$B$41*EXP(-$B$42*C576)</f>
        <v>0</v>
      </c>
      <c r="N576" s="5">
        <f>(D576-M576)^2</f>
        <v>15.2963121025</v>
      </c>
      <c r="O576" s="5">
        <f>(C576+C575)/2</f>
        <v>19.029558333333384</v>
      </c>
      <c r="P576" s="5" t="str">
        <f>IF(AND(D575&gt;6,D576&lt;=6),C575+(6-D575)*(C576-C575)/(D576-D575),"")</f>
        <v/>
      </c>
      <c r="Q576" s="5" t="str">
        <f>IF(AND(D575&gt;5,D576&lt;=5),C575+(5-D575)*(C576-C575)/(D576-D575),"")</f>
        <v/>
      </c>
      <c r="R576" s="5" t="str">
        <f>IF(AND(D575&gt;4,D576&lt;=4),C575+(4-D575)*(C576-C575)/(D576-D575),"")</f>
        <v/>
      </c>
      <c r="S576" s="5" t="str">
        <f>IF(AND(D575&gt;3,D576&lt;=3),C575+(3-D575)*(C576-C575)/(D576-D575),"")</f>
        <v/>
      </c>
    </row>
    <row r="577" spans="1:19" ht="20.100000000000001" customHeight="1">
      <c r="A577" t="s">
        <v>2</v>
      </c>
      <c r="B577">
        <v>232</v>
      </c>
      <c r="C577" s="5">
        <f>('Raw Data'!C232-'Raw Data'!$C$2)/60</f>
        <v>19.15443333333339</v>
      </c>
      <c r="D577" s="5">
        <f>'Raw Data'!J232</f>
        <v>3.9041299999999999</v>
      </c>
      <c r="E577" s="5">
        <f>$D$347-D577</f>
        <v>3.5023200000000005</v>
      </c>
      <c r="F577" s="8">
        <f>10^(-D577)</f>
        <v>1.2470101832523761E-4</v>
      </c>
      <c r="G577" s="5">
        <f>(D577-D576)/(C577-C576)</f>
        <v>-8.3040000000001626E-2</v>
      </c>
      <c r="H577" s="5">
        <f>$B$9+$B$10*EXP(-$B$11*C577)</f>
        <v>3.8454879262983295</v>
      </c>
      <c r="I577" s="5">
        <f>D577-H577</f>
        <v>5.8642073701670405E-2</v>
      </c>
      <c r="J577" s="5">
        <f t="shared" si="15"/>
        <v>3.4388928080321436E-3</v>
      </c>
      <c r="K577" s="5">
        <f>$B$17+$B$16*C577</f>
        <v>3.3607363311426321</v>
      </c>
      <c r="L577" s="5">
        <f>(D577-K577)^2</f>
        <v>0.2952766793542706</v>
      </c>
      <c r="M577" s="5">
        <f>$B$40+$B$41*EXP(-$B$42*C577)</f>
        <v>0</v>
      </c>
      <c r="N577" s="5">
        <f>(D577-M577)^2</f>
        <v>15.2422310569</v>
      </c>
      <c r="O577" s="5">
        <f>(C577+C576)/2</f>
        <v>19.112766666666722</v>
      </c>
      <c r="P577" s="5" t="str">
        <f>IF(AND(D576&gt;6,D577&lt;=6),C576+(6-D576)*(C577-C576)/(D577-D576),"")</f>
        <v/>
      </c>
      <c r="Q577" s="5" t="str">
        <f>IF(AND(D576&gt;5,D577&lt;=5),C576+(5-D576)*(C577-C576)/(D577-D576),"")</f>
        <v/>
      </c>
      <c r="R577" s="5" t="str">
        <f>IF(AND(D576&gt;4,D577&lt;=4),C576+(4-D576)*(C577-C576)/(D577-D576),"")</f>
        <v/>
      </c>
      <c r="S577" s="5" t="str">
        <f>IF(AND(D576&gt;3,D577&lt;=3),C576+(3-D576)*(C577-C576)/(D577-D576),"")</f>
        <v/>
      </c>
    </row>
    <row r="578" spans="1:19" ht="20.100000000000001" customHeight="1">
      <c r="A578" t="s">
        <v>2</v>
      </c>
      <c r="B578">
        <v>233</v>
      </c>
      <c r="C578" s="5">
        <f>('Raw Data'!C233-'Raw Data'!$C$2)/60</f>
        <v>19.237766666666726</v>
      </c>
      <c r="D578" s="5">
        <f>'Raw Data'!J233</f>
        <v>3.92143</v>
      </c>
      <c r="E578" s="5">
        <f>$D$347-D578</f>
        <v>3.4850200000000005</v>
      </c>
      <c r="F578" s="8">
        <f>10^(-D578)</f>
        <v>1.1983122527403068E-4</v>
      </c>
      <c r="G578" s="5">
        <f>(D578-D577)/(C578-C577)</f>
        <v>0.20759999999999521</v>
      </c>
      <c r="H578" s="5">
        <f>$B$9+$B$10*EXP(-$B$11*C578)</f>
        <v>3.8427806892603344</v>
      </c>
      <c r="I578" s="5">
        <f>D578-H578</f>
        <v>7.8649310739665523E-2</v>
      </c>
      <c r="J578" s="5">
        <f t="shared" si="15"/>
        <v>6.1857140798244666E-3</v>
      </c>
      <c r="K578" s="5">
        <f>$B$17+$B$16*C578</f>
        <v>3.3466955078050251</v>
      </c>
      <c r="L578" s="5">
        <f>(D578-K578)^2</f>
        <v>0.33031973651861563</v>
      </c>
      <c r="M578" s="5">
        <f>$B$40+$B$41*EXP(-$B$42*C578)</f>
        <v>0</v>
      </c>
      <c r="N578" s="5">
        <f>(D578-M578)^2</f>
        <v>15.377613244899999</v>
      </c>
      <c r="O578" s="5">
        <f>(C578+C577)/2</f>
        <v>19.196100000000058</v>
      </c>
      <c r="P578" s="5" t="str">
        <f>IF(AND(D577&gt;6,D578&lt;=6),C577+(6-D577)*(C578-C577)/(D578-D577),"")</f>
        <v/>
      </c>
      <c r="Q578" s="5" t="str">
        <f>IF(AND(D577&gt;5,D578&lt;=5),C577+(5-D577)*(C578-C577)/(D578-D577),"")</f>
        <v/>
      </c>
      <c r="R578" s="5" t="str">
        <f>IF(AND(D577&gt;4,D578&lt;=4),C577+(4-D577)*(C578-C577)/(D578-D577),"")</f>
        <v/>
      </c>
      <c r="S578" s="5" t="str">
        <f>IF(AND(D577&gt;3,D578&lt;=3),C577+(3-D577)*(C578-C577)/(D578-D577),"")</f>
        <v/>
      </c>
    </row>
    <row r="579" spans="1:19" ht="20.100000000000001" customHeight="1">
      <c r="A579" t="s">
        <v>2</v>
      </c>
      <c r="B579">
        <v>234</v>
      </c>
      <c r="C579" s="5">
        <f>('Raw Data'!C234-'Raw Data'!$C$2)/60</f>
        <v>19.321100000000058</v>
      </c>
      <c r="D579" s="5">
        <f>'Raw Data'!J234</f>
        <v>3.91682</v>
      </c>
      <c r="E579" s="5">
        <f>$D$347-D579</f>
        <v>3.4896300000000005</v>
      </c>
      <c r="F579" s="8">
        <f>10^(-D579)</f>
        <v>1.2110999884828943E-4</v>
      </c>
      <c r="G579" s="5">
        <f>(D579-D578)/(C579-C578)</f>
        <v>-5.532000000000082E-2</v>
      </c>
      <c r="H579" s="5">
        <f>$B$9+$B$10*EXP(-$B$11*C579)</f>
        <v>3.8401081435227455</v>
      </c>
      <c r="I579" s="5">
        <f>D579-H579</f>
        <v>7.6711856477254425E-2</v>
      </c>
      <c r="J579" s="5">
        <f t="shared" si="15"/>
        <v>5.8847089241868813E-3</v>
      </c>
      <c r="K579" s="5">
        <f>$B$17+$B$16*C579</f>
        <v>3.3326546844674185</v>
      </c>
      <c r="L579" s="5">
        <f>(D579-K579)^2</f>
        <v>0.34124911587128043</v>
      </c>
      <c r="M579" s="5">
        <f>$B$40+$B$41*EXP(-$B$42*C579)</f>
        <v>0</v>
      </c>
      <c r="N579" s="5">
        <f>(D579-M579)^2</f>
        <v>15.3414789124</v>
      </c>
      <c r="O579" s="5">
        <f>(C579+C578)/2</f>
        <v>19.279433333333394</v>
      </c>
      <c r="P579" s="5" t="str">
        <f>IF(AND(D578&gt;6,D579&lt;=6),C578+(6-D578)*(C579-C578)/(D579-D578),"")</f>
        <v/>
      </c>
      <c r="Q579" s="5" t="str">
        <f>IF(AND(D578&gt;5,D579&lt;=5),C578+(5-D578)*(C579-C578)/(D579-D578),"")</f>
        <v/>
      </c>
      <c r="R579" s="5" t="str">
        <f>IF(AND(D578&gt;4,D579&lt;=4),C578+(4-D578)*(C579-C578)/(D579-D578),"")</f>
        <v/>
      </c>
      <c r="S579" s="5" t="str">
        <f>IF(AND(D578&gt;3,D579&lt;=3),C578+(3-D578)*(C579-C578)/(D579-D578),"")</f>
        <v/>
      </c>
    </row>
    <row r="580" spans="1:19" ht="20.100000000000001" customHeight="1">
      <c r="A580" t="s">
        <v>2</v>
      </c>
      <c r="B580">
        <v>235</v>
      </c>
      <c r="C580" s="5">
        <f>('Raw Data'!C235-'Raw Data'!$C$2)/60</f>
        <v>19.404166666666658</v>
      </c>
      <c r="D580" s="5">
        <f>'Raw Data'!J235</f>
        <v>3.9018199999999998</v>
      </c>
      <c r="E580" s="5">
        <f>$D$347-D580</f>
        <v>3.5046300000000006</v>
      </c>
      <c r="F580" s="8">
        <f>10^(-D580)</f>
        <v>1.2536606661435113E-4</v>
      </c>
      <c r="G580" s="5">
        <f>(D580-D579)/(C580-C579)</f>
        <v>-0.18057784911732186</v>
      </c>
      <c r="H580" s="5">
        <f>$B$9+$B$10*EXP(-$B$11*C580)</f>
        <v>3.8374782329460766</v>
      </c>
      <c r="I580" s="5">
        <f>D580-H580</f>
        <v>6.4341767053923249E-2</v>
      </c>
      <c r="J580" s="5">
        <f t="shared" si="15"/>
        <v>4.1398629876213235E-3</v>
      </c>
      <c r="K580" s="5">
        <f>$B$17+$B$16*C580</f>
        <v>3.3186587917645034</v>
      </c>
      <c r="L580" s="5">
        <f>(D580-K580)^2</f>
        <v>0.34007699479068404</v>
      </c>
      <c r="M580" s="5">
        <f>$B$40+$B$41*EXP(-$B$42*C580)</f>
        <v>0</v>
      </c>
      <c r="N580" s="5">
        <f>(D580-M580)^2</f>
        <v>15.224199312399998</v>
      </c>
      <c r="O580" s="5">
        <f>(C580+C579)/2</f>
        <v>19.362633333333356</v>
      </c>
      <c r="P580" s="5" t="str">
        <f>IF(AND(D579&gt;6,D580&lt;=6),C579+(6-D579)*(C580-C579)/(D580-D579),"")</f>
        <v/>
      </c>
      <c r="Q580" s="5" t="str">
        <f>IF(AND(D579&gt;5,D580&lt;=5),C579+(5-D579)*(C580-C579)/(D580-D579),"")</f>
        <v/>
      </c>
      <c r="R580" s="5" t="str">
        <f>IF(AND(D579&gt;4,D580&lt;=4),C579+(4-D579)*(C580-C579)/(D580-D579),"")</f>
        <v/>
      </c>
      <c r="S580" s="5" t="str">
        <f>IF(AND(D579&gt;3,D580&lt;=3),C579+(3-D579)*(C580-C579)/(D580-D579),"")</f>
        <v/>
      </c>
    </row>
    <row r="581" spans="1:19" ht="20.100000000000001" customHeight="1">
      <c r="A581" t="s">
        <v>2</v>
      </c>
      <c r="B581">
        <v>236</v>
      </c>
      <c r="C581" s="5">
        <f>('Raw Data'!C236-'Raw Data'!$C$2)/60</f>
        <v>19.487766666666726</v>
      </c>
      <c r="D581" s="5">
        <f>'Raw Data'!J236</f>
        <v>3.9052799999999999</v>
      </c>
      <c r="E581" s="5">
        <f>$D$347-D581</f>
        <v>3.5011700000000006</v>
      </c>
      <c r="F581" s="8">
        <f>10^(-D581)</f>
        <v>1.2437125021467002E-4</v>
      </c>
      <c r="G581" s="5">
        <f>(D581-D580)/(C581-C580)</f>
        <v>4.1387559808578965E-2</v>
      </c>
      <c r="H581" s="5">
        <f>$B$9+$B$10*EXP(-$B$11*C581)</f>
        <v>3.8348653534687944</v>
      </c>
      <c r="I581" s="5">
        <f>D581-H581</f>
        <v>7.0414646531205438E-2</v>
      </c>
      <c r="J581" s="5">
        <f t="shared" si="15"/>
        <v>4.9582224461146018E-3</v>
      </c>
      <c r="K581" s="5">
        <f>$B$17+$B$16*C581</f>
        <v>3.3045730377922049</v>
      </c>
      <c r="L581" s="5">
        <f>(D581-K581)^2</f>
        <v>0.36084885444491721</v>
      </c>
      <c r="M581" s="5">
        <f>$B$40+$B$41*EXP(-$B$42*C581)</f>
        <v>0</v>
      </c>
      <c r="N581" s="5">
        <f>(D581-M581)^2</f>
        <v>15.251211878399999</v>
      </c>
      <c r="O581" s="5">
        <f>(C581+C580)/2</f>
        <v>19.445966666666692</v>
      </c>
      <c r="P581" s="5" t="str">
        <f>IF(AND(D580&gt;6,D581&lt;=6),C580+(6-D580)*(C581-C580)/(D581-D580),"")</f>
        <v/>
      </c>
      <c r="Q581" s="5" t="str">
        <f>IF(AND(D580&gt;5,D581&lt;=5),C580+(5-D580)*(C581-C580)/(D581-D580),"")</f>
        <v/>
      </c>
      <c r="R581" s="5" t="str">
        <f>IF(AND(D580&gt;4,D581&lt;=4),C580+(4-D580)*(C581-C580)/(D581-D580),"")</f>
        <v/>
      </c>
      <c r="S581" s="5" t="str">
        <f>IF(AND(D580&gt;3,D581&lt;=3),C580+(3-D580)*(C581-C580)/(D581-D580),"")</f>
        <v/>
      </c>
    </row>
    <row r="582" spans="1:19" ht="20.100000000000001" customHeight="1">
      <c r="A582" t="s">
        <v>2</v>
      </c>
      <c r="B582">
        <v>237</v>
      </c>
      <c r="C582" s="5">
        <f>('Raw Data'!C237-'Raw Data'!$C$2)/60</f>
        <v>19.570833333333326</v>
      </c>
      <c r="D582" s="5">
        <f>'Raw Data'!J237</f>
        <v>3.9133599999999999</v>
      </c>
      <c r="E582" s="5">
        <f>$D$347-D582</f>
        <v>3.4930900000000005</v>
      </c>
      <c r="F582" s="8">
        <f>10^(-D582)</f>
        <v>1.2207872926477801E-4</v>
      </c>
      <c r="G582" s="5">
        <f>(D582-D581)/(C582-C581)</f>
        <v>9.7271268057864277E-2</v>
      </c>
      <c r="H582" s="5">
        <f>$B$9+$B$10*EXP(-$B$11*C582)</f>
        <v>3.8323024118800157</v>
      </c>
      <c r="I582" s="5">
        <f>D582-H582</f>
        <v>8.1057588119984203E-2</v>
      </c>
      <c r="J582" s="5">
        <f t="shared" si="15"/>
        <v>6.5703325918290041E-3</v>
      </c>
      <c r="K582" s="5">
        <f>$B$17+$B$16*C582</f>
        <v>3.2905771450892898</v>
      </c>
      <c r="L582" s="5">
        <f>(D582-K582)^2</f>
        <v>0.38785848437073467</v>
      </c>
      <c r="M582" s="5">
        <f>$B$40+$B$41*EXP(-$B$42*C582)</f>
        <v>0</v>
      </c>
      <c r="N582" s="5">
        <f>(D582-M582)^2</f>
        <v>15.3143864896</v>
      </c>
      <c r="O582" s="5">
        <f>(C582+C581)/2</f>
        <v>19.529300000000028</v>
      </c>
      <c r="P582" s="5" t="str">
        <f>IF(AND(D581&gt;6,D582&lt;=6),C581+(6-D581)*(C582-C581)/(D582-D581),"")</f>
        <v/>
      </c>
      <c r="Q582" s="5" t="str">
        <f>IF(AND(D581&gt;5,D582&lt;=5),C581+(5-D581)*(C582-C581)/(D582-D581),"")</f>
        <v/>
      </c>
      <c r="R582" s="5" t="str">
        <f>IF(AND(D581&gt;4,D582&lt;=4),C581+(4-D581)*(C582-C581)/(D582-D581),"")</f>
        <v/>
      </c>
      <c r="S582" s="5" t="str">
        <f>IF(AND(D581&gt;3,D582&lt;=3),C581+(3-D581)*(C582-C581)/(D582-D581),"")</f>
        <v/>
      </c>
    </row>
    <row r="583" spans="1:19" ht="20.100000000000001" customHeight="1">
      <c r="A583" t="s">
        <v>2</v>
      </c>
      <c r="B583">
        <v>238</v>
      </c>
      <c r="C583" s="5">
        <f>('Raw Data'!C238-'Raw Data'!$C$2)/60</f>
        <v>19.653900000000061</v>
      </c>
      <c r="D583" s="5">
        <f>'Raw Data'!J238</f>
        <v>3.9006699999999999</v>
      </c>
      <c r="E583" s="5">
        <f>$D$347-D583</f>
        <v>3.5057800000000006</v>
      </c>
      <c r="F583" s="8">
        <f>10^(-D583)</f>
        <v>1.2569847246253021E-4</v>
      </c>
      <c r="G583" s="5">
        <f>(D583-D582)/(C583-C582)</f>
        <v>-0.15276886035300583</v>
      </c>
      <c r="H583" s="5">
        <f>$B$9+$B$10*EXP(-$B$11*C583)</f>
        <v>3.8297722081278529</v>
      </c>
      <c r="I583" s="5">
        <f>D583-H583</f>
        <v>7.0897791872146954E-2</v>
      </c>
      <c r="J583" s="5">
        <f t="shared" si="15"/>
        <v>5.0264968923462664E-3</v>
      </c>
      <c r="K583" s="5">
        <f>$B$17+$B$16*C583</f>
        <v>3.2765812523863516</v>
      </c>
      <c r="L583" s="5">
        <f>(D583-K583)^2</f>
        <v>0.38948676489797202</v>
      </c>
      <c r="M583" s="5">
        <f>$B$40+$B$41*EXP(-$B$42*C583)</f>
        <v>0</v>
      </c>
      <c r="N583" s="5">
        <f>(D583-M583)^2</f>
        <v>15.215226448899999</v>
      </c>
      <c r="O583" s="5">
        <f>(C583+C582)/2</f>
        <v>19.612366666666695</v>
      </c>
      <c r="P583" s="5" t="str">
        <f>IF(AND(D582&gt;6,D583&lt;=6),C582+(6-D582)*(C583-C582)/(D583-D582),"")</f>
        <v/>
      </c>
      <c r="Q583" s="5" t="str">
        <f>IF(AND(D582&gt;5,D583&lt;=5),C582+(5-D582)*(C583-C582)/(D583-D582),"")</f>
        <v/>
      </c>
      <c r="R583" s="5" t="str">
        <f>IF(AND(D582&gt;4,D583&lt;=4),C582+(4-D582)*(C583-C582)/(D583-D582),"")</f>
        <v/>
      </c>
      <c r="S583" s="5" t="str">
        <f>IF(AND(D582&gt;3,D583&lt;=3),C582+(3-D582)*(C583-C582)/(D583-D582),"")</f>
        <v/>
      </c>
    </row>
    <row r="584" spans="1:19" ht="20.100000000000001" customHeight="1">
      <c r="A584" t="s">
        <v>2</v>
      </c>
      <c r="B584">
        <v>239</v>
      </c>
      <c r="C584" s="5">
        <f>('Raw Data'!C239-'Raw Data'!$C$2)/60</f>
        <v>19.737499999999994</v>
      </c>
      <c r="D584" s="5">
        <f>'Raw Data'!J239</f>
        <v>3.9087399999999999</v>
      </c>
      <c r="E584" s="5">
        <f>$D$347-D584</f>
        <v>3.4977100000000005</v>
      </c>
      <c r="F584" s="8">
        <f>10^(-D584)</f>
        <v>1.2338432797403672E-4</v>
      </c>
      <c r="G584" s="5">
        <f>(D584-D583)/(C584-C583)</f>
        <v>9.6531100478546447E-2</v>
      </c>
      <c r="H584" s="5">
        <f>$B$9+$B$10*EXP(-$B$11*C584)</f>
        <v>3.8272583897813295</v>
      </c>
      <c r="I584" s="5">
        <f>D584-H584</f>
        <v>8.1481610218670397E-2</v>
      </c>
      <c r="J584" s="5">
        <f t="shared" si="15"/>
        <v>6.639252803827332E-3</v>
      </c>
      <c r="K584" s="5">
        <f>$B$17+$B$16*C584</f>
        <v>3.2624954984140757</v>
      </c>
      <c r="L584" s="5">
        <f>(D584-K584)^2</f>
        <v>0.41763195583003954</v>
      </c>
      <c r="M584" s="5">
        <f>$B$40+$B$41*EXP(-$B$42*C584)</f>
        <v>0</v>
      </c>
      <c r="N584" s="5">
        <f>(D584-M584)^2</f>
        <v>15.2782483876</v>
      </c>
      <c r="O584" s="5">
        <f>(C584+C583)/2</f>
        <v>19.695700000000027</v>
      </c>
      <c r="P584" s="5" t="str">
        <f>IF(AND(D583&gt;6,D584&lt;=6),C583+(6-D583)*(C584-C583)/(D584-D583),"")</f>
        <v/>
      </c>
      <c r="Q584" s="5" t="str">
        <f>IF(AND(D583&gt;5,D584&lt;=5),C583+(5-D583)*(C584-C583)/(D584-D583),"")</f>
        <v/>
      </c>
      <c r="R584" s="5" t="str">
        <f>IF(AND(D583&gt;4,D584&lt;=4),C583+(4-D583)*(C584-C583)/(D584-D583),"")</f>
        <v/>
      </c>
      <c r="S584" s="5" t="str">
        <f>IF(AND(D583&gt;3,D584&lt;=3),C583+(3-D583)*(C584-C583)/(D584-D583),"")</f>
        <v/>
      </c>
    </row>
    <row r="585" spans="1:19" ht="20.100000000000001" customHeight="1">
      <c r="A585" t="s">
        <v>2</v>
      </c>
      <c r="B585">
        <v>240</v>
      </c>
      <c r="C585" s="5">
        <f>('Raw Data'!C240-'Raw Data'!$C$2)/60</f>
        <v>19.820566666666725</v>
      </c>
      <c r="D585" s="5">
        <f>'Raw Data'!J240</f>
        <v>3.9006699999999999</v>
      </c>
      <c r="E585" s="5">
        <f>$D$347-D585</f>
        <v>3.5057800000000006</v>
      </c>
      <c r="F585" s="8">
        <f>10^(-D585)</f>
        <v>1.2569847246253021E-4</v>
      </c>
      <c r="G585" s="5">
        <f>(D585-D584)/(C585-C584)</f>
        <v>-9.7150882824964868E-2</v>
      </c>
      <c r="H585" s="5">
        <f>$B$9+$B$10*EXP(-$B$11*C585)</f>
        <v>3.8247926160466514</v>
      </c>
      <c r="I585" s="5">
        <f>D585-H585</f>
        <v>7.5877383953348421E-2</v>
      </c>
      <c r="J585" s="5">
        <f t="shared" si="15"/>
        <v>5.7573773956038563E-3</v>
      </c>
      <c r="K585" s="5">
        <f>$B$17+$B$16*C585</f>
        <v>3.2484996057111384</v>
      </c>
      <c r="L585" s="5">
        <f>(D585-K585)^2</f>
        <v>0.42532622318688906</v>
      </c>
      <c r="M585" s="5">
        <f>$B$40+$B$41*EXP(-$B$42*C585)</f>
        <v>0</v>
      </c>
      <c r="N585" s="5">
        <f>(D585-M585)^2</f>
        <v>15.215226448899999</v>
      </c>
      <c r="O585" s="5">
        <f>(C585+C584)/2</f>
        <v>19.779033333333359</v>
      </c>
      <c r="P585" s="5" t="str">
        <f>IF(AND(D584&gt;6,D585&lt;=6),C584+(6-D584)*(C585-C584)/(D585-D584),"")</f>
        <v/>
      </c>
      <c r="Q585" s="5" t="str">
        <f>IF(AND(D584&gt;5,D585&lt;=5),C584+(5-D584)*(C585-C584)/(D585-D584),"")</f>
        <v/>
      </c>
      <c r="R585" s="5" t="str">
        <f>IF(AND(D584&gt;4,D585&lt;=4),C584+(4-D584)*(C585-C584)/(D585-D584),"")</f>
        <v/>
      </c>
      <c r="S585" s="5" t="str">
        <f>IF(AND(D584&gt;3,D585&lt;=3),C584+(3-D584)*(C585-C584)/(D585-D584),"")</f>
        <v/>
      </c>
    </row>
    <row r="586" spans="1:19" ht="20.100000000000001" customHeight="1">
      <c r="A586" t="s">
        <v>2</v>
      </c>
      <c r="B586">
        <v>241</v>
      </c>
      <c r="C586" s="5">
        <f>('Raw Data'!C241-'Raw Data'!$C$2)/60</f>
        <v>19.903900000000061</v>
      </c>
      <c r="D586" s="5">
        <f>'Raw Data'!J241</f>
        <v>3.9006699999999999</v>
      </c>
      <c r="E586" s="5">
        <f>$D$347-D586</f>
        <v>3.5057800000000006</v>
      </c>
      <c r="F586" s="8">
        <f>10^(-D586)</f>
        <v>1.2569847246253021E-4</v>
      </c>
      <c r="G586" s="5">
        <f>(D586-D585)/(C586-C585)</f>
        <v>0</v>
      </c>
      <c r="H586" s="5">
        <f>$B$9+$B$10*EXP(-$B$11*C586)</f>
        <v>3.8223505745622268</v>
      </c>
      <c r="I586" s="5">
        <f>D586-H586</f>
        <v>7.8319425437773038E-2</v>
      </c>
      <c r="J586" s="5">
        <f t="shared" si="15"/>
        <v>6.1339324009028907E-3</v>
      </c>
      <c r="K586" s="5">
        <f>$B$17+$B$16*C586</f>
        <v>3.2344587823735313</v>
      </c>
      <c r="L586" s="5">
        <f>(D586-K586)^2</f>
        <v>0.4438373864913418</v>
      </c>
      <c r="M586" s="5">
        <f>$B$40+$B$41*EXP(-$B$42*C586)</f>
        <v>0</v>
      </c>
      <c r="N586" s="5">
        <f>(D586-M586)^2</f>
        <v>15.215226448899999</v>
      </c>
      <c r="O586" s="5">
        <f>(C586+C585)/2</f>
        <v>19.862233333333393</v>
      </c>
      <c r="P586" s="5" t="str">
        <f>IF(AND(D585&gt;6,D586&lt;=6),C585+(6-D585)*(C586-C585)/(D586-D585),"")</f>
        <v/>
      </c>
      <c r="Q586" s="5" t="str">
        <f>IF(AND(D585&gt;5,D586&lt;=5),C585+(5-D585)*(C586-C585)/(D586-D585),"")</f>
        <v/>
      </c>
      <c r="R586" s="5" t="str">
        <f>IF(AND(D585&gt;4,D586&lt;=4),C585+(4-D585)*(C586-C585)/(D586-D585),"")</f>
        <v/>
      </c>
      <c r="S586" s="5" t="str">
        <f>IF(AND(D585&gt;3,D586&lt;=3),C585+(3-D585)*(C586-C585)/(D586-D585),"")</f>
        <v/>
      </c>
    </row>
    <row r="587" spans="1:19" ht="20.100000000000001" customHeight="1">
      <c r="A587" t="s">
        <v>2</v>
      </c>
      <c r="B587">
        <v>242</v>
      </c>
      <c r="C587" s="5">
        <f>('Raw Data'!C242-'Raw Data'!$C$2)/60</f>
        <v>19.987233333333393</v>
      </c>
      <c r="D587" s="5">
        <f>'Raw Data'!J242</f>
        <v>3.8948999999999998</v>
      </c>
      <c r="E587" s="5">
        <f>$D$347-D587</f>
        <v>3.5115500000000006</v>
      </c>
      <c r="F587" s="8">
        <f>10^(-D587)</f>
        <v>1.2737963497001941E-4</v>
      </c>
      <c r="G587" s="5">
        <f>(D587-D586)/(C587-C586)</f>
        <v>-6.924000000000162E-2</v>
      </c>
      <c r="H587" s="5">
        <f>$B$9+$B$10*EXP(-$B$11*C587)</f>
        <v>3.8199398260874466</v>
      </c>
      <c r="I587" s="5">
        <f>D587-H587</f>
        <v>7.4960173912553163E-2</v>
      </c>
      <c r="J587" s="5">
        <f t="shared" si="15"/>
        <v>5.6190276730002158E-3</v>
      </c>
      <c r="K587" s="5">
        <f>$B$17+$B$16*C587</f>
        <v>3.2204179590359248</v>
      </c>
      <c r="L587" s="5">
        <f>(D587-K587)^2</f>
        <v>0.45492602358306422</v>
      </c>
      <c r="M587" s="5">
        <f>$B$40+$B$41*EXP(-$B$42*C587)</f>
        <v>0</v>
      </c>
      <c r="N587" s="5">
        <f>(D587-M587)^2</f>
        <v>15.170246009999998</v>
      </c>
      <c r="O587" s="5">
        <f>(C587+C586)/2</f>
        <v>19.945566666666728</v>
      </c>
      <c r="P587" s="5" t="str">
        <f>IF(AND(D586&gt;6,D587&lt;=6),C586+(6-D586)*(C587-C586)/(D587-D586),"")</f>
        <v/>
      </c>
      <c r="Q587" s="5" t="str">
        <f>IF(AND(D586&gt;5,D587&lt;=5),C586+(5-D586)*(C587-C586)/(D587-D586),"")</f>
        <v/>
      </c>
      <c r="R587" s="5" t="str">
        <f>IF(AND(D586&gt;4,D587&lt;=4),C586+(4-D586)*(C587-C586)/(D587-D586),"")</f>
        <v/>
      </c>
      <c r="S587" s="5" t="str">
        <f>IF(AND(D586&gt;3,D587&lt;=3),C586+(3-D586)*(C587-C586)/(D587-D586),"")</f>
        <v/>
      </c>
    </row>
    <row r="588" spans="1:19" ht="20.100000000000001" customHeight="1">
      <c r="A588" t="s">
        <v>2</v>
      </c>
      <c r="B588">
        <v>243</v>
      </c>
      <c r="C588" s="5">
        <f>('Raw Data'!C243-'Raw Data'!$C$2)/60</f>
        <v>20.070566666666725</v>
      </c>
      <c r="D588" s="5">
        <f>'Raw Data'!J243</f>
        <v>3.8902800000000002</v>
      </c>
      <c r="E588" s="5">
        <f>$D$347-D588</f>
        <v>3.5161700000000002</v>
      </c>
      <c r="F588" s="8">
        <f>10^(-D588)</f>
        <v>1.2874192541983211E-4</v>
      </c>
      <c r="G588" s="5">
        <f>(D588-D587)/(C588-C587)</f>
        <v>-5.5439999999996284E-2</v>
      </c>
      <c r="H588" s="5">
        <f>$B$9+$B$10*EXP(-$B$11*C588)</f>
        <v>3.8175599696248428</v>
      </c>
      <c r="I588" s="5">
        <f>D588-H588</f>
        <v>7.2720030375157396E-2</v>
      </c>
      <c r="J588" s="5">
        <f t="shared" si="15"/>
        <v>5.2882028177638147E-3</v>
      </c>
      <c r="K588" s="5">
        <f>$B$17+$B$16*C588</f>
        <v>3.2063771356983182</v>
      </c>
      <c r="L588" s="5">
        <f>(D588-K588)^2</f>
        <v>0.46772312780004488</v>
      </c>
      <c r="M588" s="5">
        <f>$B$40+$B$41*EXP(-$B$42*C588)</f>
        <v>0</v>
      </c>
      <c r="N588" s="5">
        <f>(D588-M588)^2</f>
        <v>15.134278478400001</v>
      </c>
      <c r="O588" s="5">
        <f>(C588+C587)/2</f>
        <v>20.028900000000057</v>
      </c>
      <c r="P588" s="5" t="str">
        <f>IF(AND(D587&gt;6,D588&lt;=6),C587+(6-D587)*(C588-C587)/(D588-D587),"")</f>
        <v/>
      </c>
      <c r="Q588" s="5" t="str">
        <f>IF(AND(D587&gt;5,D588&lt;=5),C587+(5-D587)*(C588-C587)/(D588-D587),"")</f>
        <v/>
      </c>
      <c r="R588" s="5" t="str">
        <f>IF(AND(D587&gt;4,D588&lt;=4),C587+(4-D587)*(C588-C587)/(D588-D587),"")</f>
        <v/>
      </c>
      <c r="S588" s="5" t="str">
        <f>IF(AND(D587&gt;3,D588&lt;=3),C587+(3-D587)*(C588-C587)/(D588-D587),"")</f>
        <v/>
      </c>
    </row>
    <row r="589" spans="1:19" ht="20.100000000000001" customHeight="1">
      <c r="A589" t="s">
        <v>3</v>
      </c>
      <c r="B589">
        <v>244</v>
      </c>
      <c r="C589" s="5">
        <f>('Raw Data'!C244-'Raw Data'!$C$244)/60</f>
        <v>0</v>
      </c>
      <c r="D589" s="5">
        <f>'Raw Data'!J244</f>
        <v>7.2622499999999999</v>
      </c>
      <c r="E589" s="5">
        <f>$D$589-D589</f>
        <v>0</v>
      </c>
      <c r="F589" s="8">
        <f>10^(-D589)</f>
        <v>5.4670116580810038E-8</v>
      </c>
      <c r="G589" s="5"/>
      <c r="H589" s="5">
        <f>$C$9+$C$10*EXP(-$C$11*C589)</f>
        <v>7.7361384749357054</v>
      </c>
      <c r="I589" s="5">
        <f>D589-H589</f>
        <v>-0.47388847493570552</v>
      </c>
      <c r="J589" s="5">
        <f t="shared" si="15"/>
        <v>0.2245702866768888</v>
      </c>
      <c r="K589" s="5">
        <f>$C$17+$C$16*C589</f>
        <v>5.7484816994431194</v>
      </c>
      <c r="L589" s="5">
        <f>(D589-K589)^2</f>
        <v>2.2914944677708662</v>
      </c>
      <c r="M589" s="5">
        <f>$C$40+$C$41*EXP(-$C$42*C589)</f>
        <v>0</v>
      </c>
      <c r="N589" s="5">
        <f>(D589-M589)^2</f>
        <v>52.740275062499997</v>
      </c>
      <c r="O589" s="5"/>
      <c r="P589" s="5"/>
      <c r="Q589" s="5"/>
      <c r="R589" s="5"/>
      <c r="S589" s="5"/>
    </row>
    <row r="590" spans="1:19" ht="20.100000000000001" customHeight="1">
      <c r="A590" t="s">
        <v>3</v>
      </c>
      <c r="B590">
        <v>245</v>
      </c>
      <c r="C590" s="5">
        <f>('Raw Data'!C245-'Raw Data'!$C$244)/60</f>
        <v>8.3066666666733624E-2</v>
      </c>
      <c r="D590" s="5">
        <f>'Raw Data'!J245</f>
        <v>7.2772500000000004</v>
      </c>
      <c r="E590" s="5">
        <f>$D$589-D590</f>
        <v>-1.5000000000000568E-2</v>
      </c>
      <c r="F590" s="8">
        <f>10^(-D590)</f>
        <v>5.2814114177367113E-8</v>
      </c>
      <c r="G590" s="5">
        <f>(D590-D589)/(C590-C589)</f>
        <v>0.18057784911703625</v>
      </c>
      <c r="H590" s="5">
        <f>$C$9+$C$10*EXP(-$C$11*C590)</f>
        <v>7.6414784493503287</v>
      </c>
      <c r="I590" s="5">
        <f>D590-H590</f>
        <v>-0.36422844935032828</v>
      </c>
      <c r="J590" s="5">
        <f t="shared" si="15"/>
        <v>0.13266236331614464</v>
      </c>
      <c r="K590" s="5">
        <f>$C$17+$C$16*C590</f>
        <v>5.7360790277529858</v>
      </c>
      <c r="L590" s="5">
        <f>(D590-K590)^2</f>
        <v>2.3752079656968084</v>
      </c>
      <c r="M590" s="5">
        <f>$C$40+$C$41*EXP(-$C$42*C590)</f>
        <v>0</v>
      </c>
      <c r="N590" s="5">
        <f>(D590-M590)^2</f>
        <v>52.958367562500008</v>
      </c>
      <c r="O590" s="5">
        <f>(C590+C589)/2</f>
        <v>4.1533333333366812E-2</v>
      </c>
      <c r="P590" s="5" t="str">
        <f>IF(AND(D589&gt;6,D590&lt;=6),C589+(6-D589)*(C590-C589)/(D590-D589),"")</f>
        <v/>
      </c>
      <c r="Q590" s="5" t="str">
        <f>IF(AND(D589&gt;5,D590&lt;=5),C589+(5-D589)*(C590-C589)/(D590-D589),"")</f>
        <v/>
      </c>
      <c r="R590" s="5" t="str">
        <f>IF(AND(D589&gt;4,D590&lt;=4),C589+(4-D589)*(C590-C589)/(D590-D589),"")</f>
        <v/>
      </c>
      <c r="S590" s="5" t="str">
        <f>IF(AND(D589&gt;3,D590&lt;=3),C589+(3-D589)*(C590-C589)/(D590-D589),"")</f>
        <v/>
      </c>
    </row>
    <row r="591" spans="1:19" ht="20.100000000000001" customHeight="1">
      <c r="A591" t="s">
        <v>3</v>
      </c>
      <c r="B591">
        <v>246</v>
      </c>
      <c r="C591" s="5">
        <f>('Raw Data'!C246-'Raw Data'!$C$244)/60</f>
        <v>0.16640000000006697</v>
      </c>
      <c r="D591" s="5">
        <f>'Raw Data'!J246</f>
        <v>7.2437899999999997</v>
      </c>
      <c r="E591" s="5">
        <f>$D$589-D591</f>
        <v>1.8460000000000143E-2</v>
      </c>
      <c r="F591" s="8">
        <f>10^(-D591)</f>
        <v>5.7044003781592382E-8</v>
      </c>
      <c r="G591" s="5">
        <f>(D591-D590)/(C591-C590)</f>
        <v>-0.40152000000000848</v>
      </c>
      <c r="H591" s="5">
        <f>$C$9+$C$10*EXP(-$C$11*C591)</f>
        <v>7.548615702912663</v>
      </c>
      <c r="I591" s="5">
        <f>D591-H591</f>
        <v>-0.30482570291266331</v>
      </c>
      <c r="J591" s="5">
        <f t="shared" si="15"/>
        <v>9.2918709156199278E-2</v>
      </c>
      <c r="K591" s="5">
        <f>$C$17+$C$16*C591</f>
        <v>5.7236365401023805</v>
      </c>
      <c r="L591" s="5">
        <f>(D591-K591)^2</f>
        <v>2.3108665416387026</v>
      </c>
      <c r="M591" s="5">
        <f>$C$40+$C$41*EXP(-$C$42*C591)</f>
        <v>0</v>
      </c>
      <c r="N591" s="5">
        <f>(D591-M591)^2</f>
        <v>52.472493564099999</v>
      </c>
      <c r="O591" s="5">
        <f>(C591+C590)/2</f>
        <v>0.1247333333334003</v>
      </c>
      <c r="P591" s="5" t="str">
        <f>IF(AND(D590&gt;6,D591&lt;=6),C590+(6-D590)*(C591-C590)/(D591-D590),"")</f>
        <v/>
      </c>
      <c r="Q591" s="5" t="str">
        <f>IF(AND(D590&gt;5,D591&lt;=5),C590+(5-D590)*(C591-C590)/(D591-D590),"")</f>
        <v/>
      </c>
      <c r="R591" s="5" t="str">
        <f>IF(AND(D590&gt;4,D591&lt;=4),C590+(4-D590)*(C591-C590)/(D591-D590),"")</f>
        <v/>
      </c>
      <c r="S591" s="5" t="str">
        <f>IF(AND(D590&gt;3,D591&lt;=3),C590+(3-D590)*(C591-C590)/(D591-D590),"")</f>
        <v/>
      </c>
    </row>
    <row r="592" spans="1:19" ht="20.100000000000001" customHeight="1">
      <c r="A592" t="s">
        <v>3</v>
      </c>
      <c r="B592">
        <v>247</v>
      </c>
      <c r="C592" s="5">
        <f>('Raw Data'!C247-'Raw Data'!$C$244)/60</f>
        <v>0.24973333333340031</v>
      </c>
      <c r="D592" s="5">
        <f>'Raw Data'!J247</f>
        <v>7.1964899999999998</v>
      </c>
      <c r="E592" s="5">
        <f>$D$589-D592</f>
        <v>6.5760000000000041E-2</v>
      </c>
      <c r="F592" s="8">
        <f>10^(-D592)</f>
        <v>6.3607745089320323E-8</v>
      </c>
      <c r="G592" s="5">
        <f>(D592-D591)/(C592-C591)</f>
        <v>-0.56759999999999866</v>
      </c>
      <c r="H592" s="5">
        <f>$C$9+$C$10*EXP(-$C$11*C592)</f>
        <v>7.4578108981101892</v>
      </c>
      <c r="I592" s="5">
        <f>D592-H592</f>
        <v>-0.26132089811018933</v>
      </c>
      <c r="J592" s="5">
        <f t="shared" si="15"/>
        <v>6.8288611789115952E-2</v>
      </c>
      <c r="K592" s="5">
        <f>$C$17+$C$16*C592</f>
        <v>5.7111940524517752</v>
      </c>
      <c r="L592" s="5">
        <f>(D592-K592)^2</f>
        <v>2.2061040518031785</v>
      </c>
      <c r="M592" s="5">
        <f>$C$40+$C$41*EXP(-$C$42*C592)</f>
        <v>0</v>
      </c>
      <c r="N592" s="5">
        <f>(D592-M592)^2</f>
        <v>51.789468320099999</v>
      </c>
      <c r="O592" s="5">
        <f>(C592+C591)/2</f>
        <v>0.20806666666673362</v>
      </c>
      <c r="P592" s="5" t="str">
        <f>IF(AND(D591&gt;6,D592&lt;=6),C591+(6-D591)*(C592-C591)/(D592-D591),"")</f>
        <v/>
      </c>
      <c r="Q592" s="5" t="str">
        <f>IF(AND(D591&gt;5,D592&lt;=5),C591+(5-D591)*(C592-C591)/(D592-D591),"")</f>
        <v/>
      </c>
      <c r="R592" s="5" t="str">
        <f>IF(AND(D591&gt;4,D592&lt;=4),C591+(4-D591)*(C592-C591)/(D592-D591),"")</f>
        <v/>
      </c>
      <c r="S592" s="5" t="str">
        <f>IF(AND(D591&gt;3,D592&lt;=3),C591+(3-D591)*(C592-C591)/(D592-D591),"")</f>
        <v/>
      </c>
    </row>
    <row r="593" spans="1:19" ht="20.100000000000001" customHeight="1">
      <c r="A593" t="s">
        <v>3</v>
      </c>
      <c r="B593">
        <v>248</v>
      </c>
      <c r="C593" s="5">
        <f>('Raw Data'!C248-'Raw Data'!$C$244)/60</f>
        <v>0.33306666666673368</v>
      </c>
      <c r="D593" s="5">
        <f>'Raw Data'!J248</f>
        <v>7.1549699999999996</v>
      </c>
      <c r="E593" s="5">
        <f>$D$589-D593</f>
        <v>0.10728000000000026</v>
      </c>
      <c r="F593" s="8">
        <f>10^(-D593)</f>
        <v>6.9989034104445498E-8</v>
      </c>
      <c r="G593" s="5">
        <f>(D593-D592)/(C593-C592)</f>
        <v>-0.49824000000000246</v>
      </c>
      <c r="H593" s="5">
        <f>$C$9+$C$10*EXP(-$C$11*C593)</f>
        <v>7.3690184286698166</v>
      </c>
      <c r="I593" s="5">
        <f>D593-H593</f>
        <v>-0.21404842866981699</v>
      </c>
      <c r="J593" s="5">
        <f t="shared" si="15"/>
        <v>4.5816729816017733E-2</v>
      </c>
      <c r="K593" s="5">
        <f>$C$17+$C$16*C593</f>
        <v>5.69875156480117</v>
      </c>
      <c r="L593" s="5">
        <f>(D593-K593)^2</f>
        <v>2.1205721310129282</v>
      </c>
      <c r="M593" s="5">
        <f>$C$40+$C$41*EXP(-$C$42*C593)</f>
        <v>0</v>
      </c>
      <c r="N593" s="5">
        <f>(D593-M593)^2</f>
        <v>51.193595700899998</v>
      </c>
      <c r="O593" s="5">
        <f>(C593+C592)/2</f>
        <v>0.29140000000006699</v>
      </c>
      <c r="P593" s="5" t="str">
        <f>IF(AND(D592&gt;6,D593&lt;=6),C592+(6-D592)*(C593-C592)/(D593-D592),"")</f>
        <v/>
      </c>
      <c r="Q593" s="5" t="str">
        <f>IF(AND(D592&gt;5,D593&lt;=5),C592+(5-D592)*(C593-C592)/(D593-D592),"")</f>
        <v/>
      </c>
      <c r="R593" s="5" t="str">
        <f>IF(AND(D592&gt;4,D593&lt;=4),C592+(4-D592)*(C593-C592)/(D593-D592),"")</f>
        <v/>
      </c>
      <c r="S593" s="5" t="str">
        <f>IF(AND(D592&gt;3,D593&lt;=3),C592+(3-D592)*(C593-C592)/(D593-D592),"")</f>
        <v/>
      </c>
    </row>
    <row r="594" spans="1:19" ht="20.100000000000001" customHeight="1">
      <c r="A594" t="s">
        <v>3</v>
      </c>
      <c r="B594">
        <v>249</v>
      </c>
      <c r="C594" s="5">
        <f>('Raw Data'!C249-'Raw Data'!$C$244)/60</f>
        <v>0.41615000000007663</v>
      </c>
      <c r="D594" s="5">
        <f>'Raw Data'!J249</f>
        <v>7.1030499999999996</v>
      </c>
      <c r="E594" s="5">
        <f>$D$589-D594</f>
        <v>0.15920000000000023</v>
      </c>
      <c r="F594" s="8">
        <f>10^(-D594)</f>
        <v>7.8876930196905868E-8</v>
      </c>
      <c r="G594" s="5">
        <f>(D594-D593)/(C594-C593)</f>
        <v>-0.62491474423262539</v>
      </c>
      <c r="H594" s="5">
        <f>$C$9+$C$10*EXP(-$C$11*C594)</f>
        <v>7.2824512740929528</v>
      </c>
      <c r="I594" s="5">
        <f>D594-H594</f>
        <v>-0.17940127409295314</v>
      </c>
      <c r="J594" s="5">
        <f t="shared" si="15"/>
        <v>3.2184817146174903E-2</v>
      </c>
      <c r="K594" s="5">
        <f>$C$17+$C$16*C594</f>
        <v>5.6863464046135155</v>
      </c>
      <c r="L594" s="5">
        <f>(D594-K594)^2</f>
        <v>2.0070490771809912</v>
      </c>
      <c r="M594" s="5">
        <f>$C$40+$C$41*EXP(-$C$42*C594)</f>
        <v>0</v>
      </c>
      <c r="N594" s="5">
        <f>(D594-M594)^2</f>
        <v>50.453319302499992</v>
      </c>
      <c r="O594" s="5">
        <f>(C594+C593)/2</f>
        <v>0.37460833333340515</v>
      </c>
      <c r="P594" s="5" t="str">
        <f>IF(AND(D593&gt;6,D594&lt;=6),C593+(6-D593)*(C594-C593)/(D594-D593),"")</f>
        <v/>
      </c>
      <c r="Q594" s="5" t="str">
        <f>IF(AND(D593&gt;5,D594&lt;=5),C593+(5-D593)*(C594-C593)/(D594-D593),"")</f>
        <v/>
      </c>
      <c r="R594" s="5" t="str">
        <f>IF(AND(D593&gt;4,D594&lt;=4),C593+(4-D593)*(C594-C593)/(D594-D593),"")</f>
        <v/>
      </c>
      <c r="S594" s="5" t="str">
        <f>IF(AND(D593&gt;3,D594&lt;=3),C593+(3-D593)*(C594-C593)/(D594-D593),"")</f>
        <v/>
      </c>
    </row>
    <row r="595" spans="1:19" ht="20.100000000000001" customHeight="1">
      <c r="A595" t="s">
        <v>3</v>
      </c>
      <c r="B595">
        <v>250</v>
      </c>
      <c r="C595" s="5">
        <f>('Raw Data'!C250-'Raw Data'!$C$244)/60</f>
        <v>0.49973333333340031</v>
      </c>
      <c r="D595" s="5">
        <f>'Raw Data'!J250</f>
        <v>7.0534499999999998</v>
      </c>
      <c r="E595" s="5">
        <f>$D$589-D595</f>
        <v>0.2088000000000001</v>
      </c>
      <c r="F595" s="8">
        <f>10^(-D595)</f>
        <v>8.8419896050808835E-8</v>
      </c>
      <c r="G595" s="5">
        <f>(D595-D594)/(C595-C594)</f>
        <v>-0.59341974077773396</v>
      </c>
      <c r="H595" s="5">
        <f>$C$9+$C$10*EXP(-$C$11*C595)</f>
        <v>7.1972931018135107</v>
      </c>
      <c r="I595" s="5">
        <f>D595-H595</f>
        <v>-0.1438431018135109</v>
      </c>
      <c r="J595" s="5">
        <f t="shared" si="15"/>
        <v>2.0690837939332064E-2</v>
      </c>
      <c r="K595" s="5">
        <f>$C$17+$C$16*C595</f>
        <v>5.6738665894999594</v>
      </c>
      <c r="L595" s="5">
        <f>(D595-K595)^2</f>
        <v>1.903250386526923</v>
      </c>
      <c r="M595" s="5">
        <f>$C$40+$C$41*EXP(-$C$42*C595)</f>
        <v>0</v>
      </c>
      <c r="N595" s="5">
        <f>(D595-M595)^2</f>
        <v>49.7511569025</v>
      </c>
      <c r="O595" s="5">
        <f>(C595+C594)/2</f>
        <v>0.45794166666673847</v>
      </c>
      <c r="P595" s="5" t="str">
        <f>IF(AND(D594&gt;6,D595&lt;=6),C594+(6-D594)*(C595-C594)/(D595-D594),"")</f>
        <v/>
      </c>
      <c r="Q595" s="5" t="str">
        <f>IF(AND(D594&gt;5,D595&lt;=5),C594+(5-D594)*(C595-C594)/(D595-D594),"")</f>
        <v/>
      </c>
      <c r="R595" s="5" t="str">
        <f>IF(AND(D594&gt;4,D595&lt;=4),C594+(4-D594)*(C595-C594)/(D595-D594),"")</f>
        <v/>
      </c>
      <c r="S595" s="5" t="str">
        <f>IF(AND(D594&gt;3,D595&lt;=3),C594+(3-D594)*(C595-C594)/(D595-D594),"")</f>
        <v/>
      </c>
    </row>
    <row r="596" spans="1:19" ht="20.100000000000001" customHeight="1">
      <c r="A596" t="s">
        <v>3</v>
      </c>
      <c r="B596">
        <v>251</v>
      </c>
      <c r="C596" s="5">
        <f>('Raw Data'!C251-'Raw Data'!$C$244)/60</f>
        <v>0.58281666666674325</v>
      </c>
      <c r="D596" s="5">
        <f>'Raw Data'!J251</f>
        <v>7.0015400000000003</v>
      </c>
      <c r="E596" s="5">
        <f>$D$589-D596</f>
        <v>0.26070999999999955</v>
      </c>
      <c r="F596" s="8">
        <f>10^(-D596)</f>
        <v>9.964602985229648E-8</v>
      </c>
      <c r="G596" s="5">
        <f>(D596-D595)/(C596-C595)</f>
        <v>-0.62479438314936953</v>
      </c>
      <c r="H596" s="5">
        <f>$C$9+$C$10*EXP(-$C$11*C596)</f>
        <v>7.1145202814719752</v>
      </c>
      <c r="I596" s="5">
        <f>D596-H596</f>
        <v>-0.11298028147197492</v>
      </c>
      <c r="J596" s="5">
        <f t="shared" si="15"/>
        <v>1.276454400148668E-2</v>
      </c>
      <c r="K596" s="5">
        <f>$C$17+$C$16*C596</f>
        <v>5.6614614293123049</v>
      </c>
      <c r="L596" s="5">
        <f>(D596-K596)^2</f>
        <v>1.7958105756163767</v>
      </c>
      <c r="M596" s="5">
        <f>$C$40+$C$41*EXP(-$C$42*C596)</f>
        <v>0</v>
      </c>
      <c r="N596" s="5">
        <f>(D596-M596)^2</f>
        <v>49.021562371600005</v>
      </c>
      <c r="O596" s="5">
        <f>(C596+C595)/2</f>
        <v>0.54127500000007178</v>
      </c>
      <c r="P596" s="5" t="str">
        <f>IF(AND(D595&gt;6,D596&lt;=6),C595+(6-D595)*(C596-C595)/(D596-D595),"")</f>
        <v/>
      </c>
      <c r="Q596" s="5" t="str">
        <f>IF(AND(D595&gt;5,D596&lt;=5),C595+(5-D595)*(C596-C595)/(D596-D595),"")</f>
        <v/>
      </c>
      <c r="R596" s="5" t="str">
        <f>IF(AND(D595&gt;4,D596&lt;=4),C595+(4-D595)*(C596-C595)/(D596-D595),"")</f>
        <v/>
      </c>
      <c r="S596" s="5" t="str">
        <f>IF(AND(D595&gt;3,D596&lt;=3),C595+(3-D595)*(C596-C595)/(D596-D595),"")</f>
        <v/>
      </c>
    </row>
    <row r="597" spans="1:19" ht="20.100000000000001" customHeight="1">
      <c r="A597" t="s">
        <v>3</v>
      </c>
      <c r="B597">
        <v>252</v>
      </c>
      <c r="C597" s="5">
        <f>('Raw Data'!C252-'Raw Data'!$C$244)/60</f>
        <v>0.66615000000007663</v>
      </c>
      <c r="D597" s="5">
        <f>'Raw Data'!J252</f>
        <v>6.9542400000000004</v>
      </c>
      <c r="E597" s="5">
        <f>$D$589-D597</f>
        <v>0.30800999999999945</v>
      </c>
      <c r="F597" s="8">
        <f>10^(-D597)</f>
        <v>1.1111175313491899E-7</v>
      </c>
      <c r="G597" s="5">
        <f>(D597-D596)/(C597-C596)</f>
        <v>-0.56759999999999855</v>
      </c>
      <c r="H597" s="5">
        <f>$C$9+$C$10*EXP(-$C$11*C597)</f>
        <v>7.0333355135055644</v>
      </c>
      <c r="I597" s="5">
        <f>D597-H597</f>
        <v>-7.9095513505563986E-2</v>
      </c>
      <c r="J597" s="5">
        <f t="shared" si="15"/>
        <v>6.2561002567088552E-3</v>
      </c>
      <c r="K597" s="5">
        <f>$C$17+$C$16*C597</f>
        <v>5.6490189416616996</v>
      </c>
      <c r="L597" s="5">
        <f>(D597-K597)^2</f>
        <v>1.7036020111297541</v>
      </c>
      <c r="M597" s="5">
        <f>$C$40+$C$41*EXP(-$C$42*C597)</f>
        <v>0</v>
      </c>
      <c r="N597" s="5">
        <f>(D597-M597)^2</f>
        <v>48.361453977600007</v>
      </c>
      <c r="O597" s="5">
        <f>(C597+C596)/2</f>
        <v>0.62448333333340988</v>
      </c>
      <c r="P597" s="5" t="str">
        <f>IF(AND(D596&gt;6,D597&lt;=6),C596+(6-D596)*(C597-C596)/(D597-D596),"")</f>
        <v/>
      </c>
      <c r="Q597" s="5" t="str">
        <f>IF(AND(D596&gt;5,D597&lt;=5),C596+(5-D596)*(C597-C596)/(D597-D596),"")</f>
        <v/>
      </c>
      <c r="R597" s="5" t="str">
        <f>IF(AND(D596&gt;4,D597&lt;=4),C596+(4-D596)*(C597-C596)/(D597-D596),"")</f>
        <v/>
      </c>
      <c r="S597" s="5" t="str">
        <f>IF(AND(D596&gt;3,D597&lt;=3),C596+(3-D596)*(C597-C596)/(D597-D596),"")</f>
        <v/>
      </c>
    </row>
    <row r="598" spans="1:19" ht="20.100000000000001" customHeight="1">
      <c r="A598" t="s">
        <v>3</v>
      </c>
      <c r="B598">
        <v>253</v>
      </c>
      <c r="C598" s="5">
        <f>('Raw Data'!C253-'Raw Data'!$C$244)/60</f>
        <v>0.74948333333341</v>
      </c>
      <c r="D598" s="5">
        <f>'Raw Data'!J253</f>
        <v>6.9023300000000001</v>
      </c>
      <c r="E598" s="5">
        <f>$D$589-D598</f>
        <v>0.3599199999999998</v>
      </c>
      <c r="F598" s="8">
        <f>10^(-D598)</f>
        <v>1.2521893334347451E-7</v>
      </c>
      <c r="G598" s="5">
        <f>(D598-D597)/(C598-C597)</f>
        <v>-0.62292000000000392</v>
      </c>
      <c r="H598" s="5">
        <f>$C$9+$C$10*EXP(-$C$11*C598)</f>
        <v>6.9539498901967303</v>
      </c>
      <c r="I598" s="5">
        <f>D598-H598</f>
        <v>-5.1619890196730189E-2</v>
      </c>
      <c r="J598" s="5">
        <f t="shared" si="15"/>
        <v>2.6646130639224816E-3</v>
      </c>
      <c r="K598" s="5">
        <f>$C$17+$C$16*C598</f>
        <v>5.6365764540110943</v>
      </c>
      <c r="L598" s="5">
        <f>(D598-K598)^2</f>
        <v>1.602132039183489</v>
      </c>
      <c r="M598" s="5">
        <f>$C$40+$C$41*EXP(-$C$42*C598)</f>
        <v>0</v>
      </c>
      <c r="N598" s="5">
        <f>(D598-M598)^2</f>
        <v>47.642159428900001</v>
      </c>
      <c r="O598" s="5">
        <f>(C598+C597)/2</f>
        <v>0.70781666666674337</v>
      </c>
      <c r="P598" s="5" t="str">
        <f>IF(AND(D597&gt;6,D598&lt;=6),C597+(6-D597)*(C598-C597)/(D598-D597),"")</f>
        <v/>
      </c>
      <c r="Q598" s="5" t="str">
        <f>IF(AND(D597&gt;5,D598&lt;=5),C597+(5-D597)*(C598-C597)/(D598-D597),"")</f>
        <v/>
      </c>
      <c r="R598" s="5" t="str">
        <f>IF(AND(D597&gt;4,D598&lt;=4),C597+(4-D597)*(C598-C597)/(D598-D597),"")</f>
        <v/>
      </c>
      <c r="S598" s="5" t="str">
        <f>IF(AND(D597&gt;3,D598&lt;=3),C597+(3-D597)*(C598-C597)/(D598-D597),"")</f>
        <v/>
      </c>
    </row>
    <row r="599" spans="1:19" ht="20.100000000000001" customHeight="1">
      <c r="A599" t="s">
        <v>3</v>
      </c>
      <c r="B599">
        <v>254</v>
      </c>
      <c r="C599" s="5">
        <f>('Raw Data'!C254-'Raw Data'!$C$244)/60</f>
        <v>0.83281666666674325</v>
      </c>
      <c r="D599" s="5">
        <f>'Raw Data'!J254</f>
        <v>6.8446499999999997</v>
      </c>
      <c r="E599" s="5">
        <f>$D$589-D599</f>
        <v>0.41760000000000019</v>
      </c>
      <c r="F599" s="8">
        <f>10^(-D599)</f>
        <v>1.4300459751315201E-7</v>
      </c>
      <c r="G599" s="5">
        <f>(D599-D598)/(C599-C598)</f>
        <v>-0.69216000000000544</v>
      </c>
      <c r="H599" s="5">
        <f>$C$9+$C$10*EXP(-$C$11*C599)</f>
        <v>6.8763235405009429</v>
      </c>
      <c r="I599" s="5">
        <f>D599-H599</f>
        <v>-3.1673540500943176E-2</v>
      </c>
      <c r="J599" s="5">
        <f t="shared" si="15"/>
        <v>1.0032131678648878E-3</v>
      </c>
      <c r="K599" s="5">
        <f>$C$17+$C$16*C599</f>
        <v>5.624133966360489</v>
      </c>
      <c r="L599" s="5">
        <f>(D599-K599)^2</f>
        <v>1.4896593883711231</v>
      </c>
      <c r="M599" s="5">
        <f>$C$40+$C$41*EXP(-$C$42*C599)</f>
        <v>0</v>
      </c>
      <c r="N599" s="5">
        <f>(D599-M599)^2</f>
        <v>46.849233622499995</v>
      </c>
      <c r="O599" s="5">
        <f>(C599+C598)/2</f>
        <v>0.79115000000007663</v>
      </c>
      <c r="P599" s="5" t="str">
        <f>IF(AND(D598&gt;6,D599&lt;=6),C598+(6-D598)*(C599-C598)/(D599-D598),"")</f>
        <v/>
      </c>
      <c r="Q599" s="5" t="str">
        <f>IF(AND(D598&gt;5,D599&lt;=5),C598+(5-D598)*(C599-C598)/(D599-D598),"")</f>
        <v/>
      </c>
      <c r="R599" s="5" t="str">
        <f>IF(AND(D598&gt;4,D599&lt;=4),C598+(4-D598)*(C599-C598)/(D599-D598),"")</f>
        <v/>
      </c>
      <c r="S599" s="5" t="str">
        <f>IF(AND(D598&gt;3,D599&lt;=3),C598+(3-D598)*(C599-C598)/(D599-D598),"")</f>
        <v/>
      </c>
    </row>
    <row r="600" spans="1:19" ht="20.100000000000001" customHeight="1">
      <c r="A600" t="s">
        <v>3</v>
      </c>
      <c r="B600">
        <v>255</v>
      </c>
      <c r="C600" s="5">
        <f>('Raw Data'!C255-'Raw Data'!$C$244)/60</f>
        <v>0.9158833333333557</v>
      </c>
      <c r="D600" s="5">
        <f>'Raw Data'!J255</f>
        <v>6.7984999999999998</v>
      </c>
      <c r="E600" s="5">
        <f>$D$589-D600</f>
        <v>0.46375000000000011</v>
      </c>
      <c r="F600" s="8">
        <f>10^(-D600)</f>
        <v>1.5903766838224639E-7</v>
      </c>
      <c r="G600" s="5">
        <f>(D600-D599)/(C600-C599)</f>
        <v>-0.5555778491175366</v>
      </c>
      <c r="H600" s="5">
        <f>$C$9+$C$10*EXP(-$C$11*C600)</f>
        <v>6.8006576734106945</v>
      </c>
      <c r="I600" s="5">
        <f>D600-H600</f>
        <v>-2.1576734106947271E-3</v>
      </c>
      <c r="J600" s="5">
        <f t="shared" si="15"/>
        <v>4.655554547219016E-6</v>
      </c>
      <c r="K600" s="5">
        <f>$C$17+$C$16*C600</f>
        <v>5.6117312946703741</v>
      </c>
      <c r="L600" s="5">
        <f>(D600-K600)^2</f>
        <v>1.4084199599497558</v>
      </c>
      <c r="M600" s="5">
        <f>$C$40+$C$41*EXP(-$C$42*C600)</f>
        <v>0</v>
      </c>
      <c r="N600" s="5">
        <f>(D600-M600)^2</f>
        <v>46.219602249999994</v>
      </c>
      <c r="O600" s="5">
        <f>(C600+C599)/2</f>
        <v>0.87435000000004948</v>
      </c>
      <c r="P600" s="5" t="str">
        <f>IF(AND(D599&gt;6,D600&lt;=6),C599+(6-D599)*(C600-C599)/(D600-D599),"")</f>
        <v/>
      </c>
      <c r="Q600" s="5" t="str">
        <f>IF(AND(D599&gt;5,D600&lt;=5),C599+(5-D599)*(C600-C599)/(D600-D599),"")</f>
        <v/>
      </c>
      <c r="R600" s="5" t="str">
        <f>IF(AND(D599&gt;4,D600&lt;=4),C599+(4-D599)*(C600-C599)/(D600-D599),"")</f>
        <v/>
      </c>
      <c r="S600" s="5" t="str">
        <f>IF(AND(D599&gt;3,D600&lt;=3),C599+(3-D599)*(C600-C599)/(D600-D599),"")</f>
        <v/>
      </c>
    </row>
    <row r="601" spans="1:19" ht="20.100000000000001" customHeight="1">
      <c r="A601" t="s">
        <v>3</v>
      </c>
      <c r="B601">
        <v>256</v>
      </c>
      <c r="C601" s="5">
        <f>('Raw Data'!C256-'Raw Data'!$C$244)/60</f>
        <v>0.99921666666668896</v>
      </c>
      <c r="D601" s="5">
        <f>'Raw Data'!J256</f>
        <v>6.7523600000000004</v>
      </c>
      <c r="E601" s="5">
        <f>$D$589-D601</f>
        <v>0.50988999999999951</v>
      </c>
      <c r="F601" s="8">
        <f>10^(-D601)</f>
        <v>1.7686422687532114E-7</v>
      </c>
      <c r="G601" s="5">
        <f>(D601-D600)/(C601-C600)</f>
        <v>-0.55367999999999329</v>
      </c>
      <c r="H601" s="5">
        <f>$C$9+$C$10*EXP(-$C$11*C601)</f>
        <v>6.7264284495525146</v>
      </c>
      <c r="I601" s="5">
        <f>D601-H601</f>
        <v>2.5931550447485741E-2</v>
      </c>
      <c r="J601" s="5">
        <f t="shared" si="15"/>
        <v>6.7244530861049786E-4</v>
      </c>
      <c r="K601" s="5">
        <f>$C$17+$C$16*C601</f>
        <v>5.5992888070197688</v>
      </c>
      <c r="L601" s="5">
        <f>(D601-K601)^2</f>
        <v>1.3295731760808542</v>
      </c>
      <c r="M601" s="5">
        <f>$C$40+$C$41*EXP(-$C$42*C601)</f>
        <v>0</v>
      </c>
      <c r="N601" s="5">
        <f>(D601-M601)^2</f>
        <v>45.594365569600008</v>
      </c>
      <c r="O601" s="5">
        <f>(C601+C600)/2</f>
        <v>0.95755000000002233</v>
      </c>
      <c r="P601" s="5" t="str">
        <f>IF(AND(D600&gt;6,D601&lt;=6),C600+(6-D600)*(C601-C600)/(D601-D600),"")</f>
        <v/>
      </c>
      <c r="Q601" s="5" t="str">
        <f>IF(AND(D600&gt;5,D601&lt;=5),C600+(5-D600)*(C601-C600)/(D601-D600),"")</f>
        <v/>
      </c>
      <c r="R601" s="5" t="str">
        <f>IF(AND(D600&gt;4,D601&lt;=4),C600+(4-D600)*(C601-C600)/(D601-D600),"")</f>
        <v/>
      </c>
      <c r="S601" s="5" t="str">
        <f>IF(AND(D600&gt;3,D601&lt;=3),C600+(3-D600)*(C601-C600)/(D601-D600),"")</f>
        <v/>
      </c>
    </row>
    <row r="602" spans="1:19" ht="20.100000000000001" customHeight="1">
      <c r="A602" t="s">
        <v>3</v>
      </c>
      <c r="B602">
        <v>257</v>
      </c>
      <c r="C602" s="5">
        <f>('Raw Data'!C257-'Raw Data'!$C$244)/60</f>
        <v>1.0825500000000223</v>
      </c>
      <c r="D602" s="5">
        <f>'Raw Data'!J257</f>
        <v>6.7073700000000001</v>
      </c>
      <c r="E602" s="5">
        <f>$D$589-D602</f>
        <v>0.55487999999999982</v>
      </c>
      <c r="F602" s="8">
        <f>10^(-D602)</f>
        <v>1.9616882916474058E-7</v>
      </c>
      <c r="G602" s="5">
        <f>(D602-D601)/(C602-C601)</f>
        <v>-0.53988000000000347</v>
      </c>
      <c r="H602" s="5">
        <f>$C$9+$C$10*EXP(-$C$11*C602)</f>
        <v>6.6538442277665943</v>
      </c>
      <c r="I602" s="5">
        <f>D602-H602</f>
        <v>5.3525772233405711E-2</v>
      </c>
      <c r="J602" s="5">
        <f t="shared" si="15"/>
        <v>2.8650082931824259E-3</v>
      </c>
      <c r="K602" s="5">
        <f>$C$17+$C$16*C602</f>
        <v>5.5868463193691635</v>
      </c>
      <c r="L602" s="5">
        <f>(D602-K602)^2</f>
        <v>1.2555733188544769</v>
      </c>
      <c r="M602" s="5">
        <f>$C$40+$C$41*EXP(-$C$42*C602)</f>
        <v>0</v>
      </c>
      <c r="N602" s="5">
        <f>(D602-M602)^2</f>
        <v>44.988812316900002</v>
      </c>
      <c r="O602" s="5">
        <f>(C602+C601)/2</f>
        <v>1.0408833333333556</v>
      </c>
      <c r="P602" s="5" t="str">
        <f>IF(AND(D601&gt;6,D602&lt;=6),C601+(6-D601)*(C602-C601)/(D602-D601),"")</f>
        <v/>
      </c>
      <c r="Q602" s="5" t="str">
        <f>IF(AND(D601&gt;5,D602&lt;=5),C601+(5-D601)*(C602-C601)/(D602-D601),"")</f>
        <v/>
      </c>
      <c r="R602" s="5" t="str">
        <f>IF(AND(D601&gt;4,D602&lt;=4),C601+(4-D601)*(C602-C601)/(D602-D601),"")</f>
        <v/>
      </c>
      <c r="S602" s="5" t="str">
        <f>IF(AND(D601&gt;3,D602&lt;=3),C601+(3-D601)*(C602-C601)/(D602-D601),"")</f>
        <v/>
      </c>
    </row>
    <row r="603" spans="1:19" ht="20.100000000000001" customHeight="1">
      <c r="A603" t="s">
        <v>3</v>
      </c>
      <c r="B603">
        <v>258</v>
      </c>
      <c r="C603" s="5">
        <f>('Raw Data'!C258-'Raw Data'!$C$244)/60</f>
        <v>1.165616666666756</v>
      </c>
      <c r="D603" s="5">
        <f>'Raw Data'!J258</f>
        <v>6.6612299999999998</v>
      </c>
      <c r="E603" s="5">
        <f>$D$589-D603</f>
        <v>0.60102000000000011</v>
      </c>
      <c r="F603" s="8">
        <f>10^(-D603)</f>
        <v>2.1815742559724295E-7</v>
      </c>
      <c r="G603" s="5">
        <f>(D603-D602)/(C603-C602)</f>
        <v>-0.55545746388398554</v>
      </c>
      <c r="H603" s="5">
        <f>$C$9+$C$10*EXP(-$C$11*C603)</f>
        <v>6.5830931477527344</v>
      </c>
      <c r="I603" s="5">
        <f>D603-H603</f>
        <v>7.8136852247265409E-2</v>
      </c>
      <c r="J603" s="5">
        <f t="shared" ref="J603:J666" si="16">I603^2</f>
        <v>6.1053676791109858E-3</v>
      </c>
      <c r="K603" s="5">
        <f>$C$17+$C$16*C603</f>
        <v>5.57444364767903</v>
      </c>
      <c r="L603" s="5">
        <f>(D603-K603)^2</f>
        <v>1.1811045755911189</v>
      </c>
      <c r="M603" s="5">
        <f>$C$40+$C$41*EXP(-$C$42*C603)</f>
        <v>0</v>
      </c>
      <c r="N603" s="5">
        <f>(D603-M603)^2</f>
        <v>44.371985112899999</v>
      </c>
      <c r="O603" s="5">
        <f>(C603+C602)/2</f>
        <v>1.1240833333333891</v>
      </c>
      <c r="P603" s="5" t="str">
        <f>IF(AND(D602&gt;6,D603&lt;=6),C602+(6-D602)*(C603-C602)/(D603-D602),"")</f>
        <v/>
      </c>
      <c r="Q603" s="5" t="str">
        <f>IF(AND(D602&gt;5,D603&lt;=5),C602+(5-D602)*(C603-C602)/(D603-D602),"")</f>
        <v/>
      </c>
      <c r="R603" s="5" t="str">
        <f>IF(AND(D602&gt;4,D603&lt;=4),C602+(4-D602)*(C603-C602)/(D603-D602),"")</f>
        <v/>
      </c>
      <c r="S603" s="5" t="str">
        <f>IF(AND(D602&gt;3,D603&lt;=3),C602+(3-D602)*(C603-C602)/(D603-D602),"")</f>
        <v/>
      </c>
    </row>
    <row r="604" spans="1:19" ht="20.100000000000001" customHeight="1">
      <c r="A604" t="s">
        <v>3</v>
      </c>
      <c r="B604">
        <v>259</v>
      </c>
      <c r="C604" s="5">
        <f>('Raw Data'!C259-'Raw Data'!$C$244)/60</f>
        <v>1.2492166666666891</v>
      </c>
      <c r="D604" s="5">
        <f>'Raw Data'!J259</f>
        <v>6.6116200000000003</v>
      </c>
      <c r="E604" s="5">
        <f>$D$589-D604</f>
        <v>0.6506299999999996</v>
      </c>
      <c r="F604" s="8">
        <f>10^(-D604)</f>
        <v>2.4455694468760519E-7</v>
      </c>
      <c r="G604" s="5">
        <f>(D604-D603)/(C604-C603)</f>
        <v>-0.59342105263204803</v>
      </c>
      <c r="H604" s="5">
        <f>$C$9+$C$10*EXP(-$C$11*C604)</f>
        <v>6.5134657780021303</v>
      </c>
      <c r="I604" s="5">
        <f>D604-H604</f>
        <v>9.8154221997869939E-2</v>
      </c>
      <c r="J604" s="5">
        <f t="shared" si="16"/>
        <v>9.6342512960071354E-3</v>
      </c>
      <c r="K604" s="5">
        <f>$C$17+$C$16*C604</f>
        <v>5.561961344067953</v>
      </c>
      <c r="L604" s="5">
        <f>(D604-K604)^2</f>
        <v>1.1017832939730721</v>
      </c>
      <c r="M604" s="5">
        <f>$C$40+$C$41*EXP(-$C$42*C604)</f>
        <v>0</v>
      </c>
      <c r="N604" s="5">
        <f>(D604-M604)^2</f>
        <v>43.713519024400007</v>
      </c>
      <c r="O604" s="5">
        <f>(C604+C603)/2</f>
        <v>1.2074166666667225</v>
      </c>
      <c r="P604" s="5" t="str">
        <f>IF(AND(D603&gt;6,D604&lt;=6),C603+(6-D603)*(C604-C603)/(D604-D603),"")</f>
        <v/>
      </c>
      <c r="Q604" s="5" t="str">
        <f>IF(AND(D603&gt;5,D604&lt;=5),C603+(5-D603)*(C604-C603)/(D604-D603),"")</f>
        <v/>
      </c>
      <c r="R604" s="5" t="str">
        <f>IF(AND(D603&gt;4,D604&lt;=4),C603+(4-D603)*(C604-C603)/(D604-D603),"")</f>
        <v/>
      </c>
      <c r="S604" s="5" t="str">
        <f>IF(AND(D603&gt;3,D604&lt;=3),C603+(3-D603)*(C604-C603)/(D604-D603),"")</f>
        <v/>
      </c>
    </row>
    <row r="605" spans="1:19" ht="20.100000000000001" customHeight="1">
      <c r="A605" t="s">
        <v>3</v>
      </c>
      <c r="B605">
        <v>260</v>
      </c>
      <c r="C605" s="5">
        <f>('Raw Data'!C260-'Raw Data'!$C$244)/60</f>
        <v>1.3322833333334225</v>
      </c>
      <c r="D605" s="5">
        <f>'Raw Data'!J260</f>
        <v>6.5574000000000003</v>
      </c>
      <c r="E605" s="5">
        <f>$D$589-D605</f>
        <v>0.70484999999999953</v>
      </c>
      <c r="F605" s="8">
        <f>10^(-D605)</f>
        <v>2.770766958387196E-7</v>
      </c>
      <c r="G605" s="5">
        <f>(D605-D604)/(C605-C604)</f>
        <v>-0.65272873194168946</v>
      </c>
      <c r="H605" s="5">
        <f>$C$9+$C$10*EXP(-$C$11*C605)</f>
        <v>6.4458157961633855</v>
      </c>
      <c r="I605" s="5">
        <f>D605-H605</f>
        <v>0.11158420383661483</v>
      </c>
      <c r="J605" s="5">
        <f t="shared" si="16"/>
        <v>1.2451034545851208E-2</v>
      </c>
      <c r="K605" s="5">
        <f>$C$17+$C$16*C605</f>
        <v>5.5495586723778194</v>
      </c>
      <c r="L605" s="5">
        <f>(D605-K605)^2</f>
        <v>1.0157441416632402</v>
      </c>
      <c r="M605" s="5">
        <f>$C$40+$C$41*EXP(-$C$42*C605)</f>
        <v>0</v>
      </c>
      <c r="N605" s="5">
        <f>(D605-M605)^2</f>
        <v>42.999494760000005</v>
      </c>
      <c r="O605" s="5">
        <f>(C605+C604)/2</f>
        <v>1.2907500000000558</v>
      </c>
      <c r="P605" s="5" t="str">
        <f>IF(AND(D604&gt;6,D605&lt;=6),C604+(6-D604)*(C605-C604)/(D605-D604),"")</f>
        <v/>
      </c>
      <c r="Q605" s="5" t="str">
        <f>IF(AND(D604&gt;5,D605&lt;=5),C604+(5-D604)*(C605-C604)/(D605-D604),"")</f>
        <v/>
      </c>
      <c r="R605" s="5" t="str">
        <f>IF(AND(D604&gt;4,D605&lt;=4),C604+(4-D604)*(C605-C604)/(D605-D604),"")</f>
        <v/>
      </c>
      <c r="S605" s="5" t="str">
        <f>IF(AND(D604&gt;3,D605&lt;=3),C604+(3-D604)*(C605-C604)/(D605-D604),"")</f>
        <v/>
      </c>
    </row>
    <row r="606" spans="1:19" ht="20.100000000000001" customHeight="1">
      <c r="A606" t="s">
        <v>3</v>
      </c>
      <c r="B606">
        <v>261</v>
      </c>
      <c r="C606" s="5">
        <f>('Raw Data'!C261-'Raw Data'!$C$244)/60</f>
        <v>1.415616666666756</v>
      </c>
      <c r="D606" s="5">
        <f>'Raw Data'!J261</f>
        <v>6.5262500000000001</v>
      </c>
      <c r="E606" s="5">
        <f>$D$589-D606</f>
        <v>0.73599999999999977</v>
      </c>
      <c r="F606" s="8">
        <f>10^(-D606)</f>
        <v>2.9768023509455525E-7</v>
      </c>
      <c r="G606" s="5">
        <f>(D606-D605)/(C606-C605)</f>
        <v>-0.37380000000000213</v>
      </c>
      <c r="H606" s="5">
        <f>$C$9+$C$10*EXP(-$C$11*C606)</f>
        <v>6.3794502625481648</v>
      </c>
      <c r="I606" s="5">
        <f>D606-H606</f>
        <v>0.14679973745183528</v>
      </c>
      <c r="J606" s="5">
        <f t="shared" si="16"/>
        <v>2.1550162915927769E-2</v>
      </c>
      <c r="K606" s="5">
        <f>$C$17+$C$16*C606</f>
        <v>5.5371161847272141</v>
      </c>
      <c r="L606" s="5">
        <f>(D606-K606)^2</f>
        <v>0.97838570451609796</v>
      </c>
      <c r="M606" s="5">
        <f>$C$40+$C$41*EXP(-$C$42*C606)</f>
        <v>0</v>
      </c>
      <c r="N606" s="5">
        <f>(D606-M606)^2</f>
        <v>42.591939062500003</v>
      </c>
      <c r="O606" s="5">
        <f>(C606+C605)/2</f>
        <v>1.3739500000000893</v>
      </c>
      <c r="P606" s="5" t="str">
        <f>IF(AND(D605&gt;6,D606&lt;=6),C605+(6-D605)*(C606-C605)/(D606-D605),"")</f>
        <v/>
      </c>
      <c r="Q606" s="5" t="str">
        <f>IF(AND(D605&gt;5,D606&lt;=5),C605+(5-D605)*(C606-C605)/(D606-D605),"")</f>
        <v/>
      </c>
      <c r="R606" s="5" t="str">
        <f>IF(AND(D605&gt;4,D606&lt;=4),C605+(4-D605)*(C606-C605)/(D606-D605),"")</f>
        <v/>
      </c>
      <c r="S606" s="5" t="str">
        <f>IF(AND(D605&gt;3,D606&lt;=3),C605+(3-D605)*(C606-C605)/(D606-D605),"")</f>
        <v/>
      </c>
    </row>
    <row r="607" spans="1:19" ht="20.100000000000001" customHeight="1">
      <c r="A607" t="s">
        <v>3</v>
      </c>
      <c r="B607">
        <v>262</v>
      </c>
      <c r="C607" s="5">
        <f>('Raw Data'!C262-'Raw Data'!$C$244)/60</f>
        <v>1.4989500000000893</v>
      </c>
      <c r="D607" s="5">
        <f>'Raw Data'!J262</f>
        <v>6.4870299999999999</v>
      </c>
      <c r="E607" s="5">
        <f>$D$589-D607</f>
        <v>0.77522000000000002</v>
      </c>
      <c r="F607" s="8">
        <f>10^(-D607)</f>
        <v>3.2581419377747512E-7</v>
      </c>
      <c r="G607" s="5">
        <f>(D607-D606)/(C607-C606)</f>
        <v>-0.4706400000000035</v>
      </c>
      <c r="H607" s="5">
        <f>$C$9+$C$10*EXP(-$C$11*C607)</f>
        <v>6.314555462892554</v>
      </c>
      <c r="I607" s="5">
        <f>D607-H607</f>
        <v>0.17247453710744587</v>
      </c>
      <c r="J607" s="5">
        <f t="shared" si="16"/>
        <v>2.9747465950427723E-2</v>
      </c>
      <c r="K607" s="5">
        <f>$C$17+$C$16*C607</f>
        <v>5.5246736970766088</v>
      </c>
      <c r="L607" s="5">
        <f>(D607-K607)^2</f>
        <v>0.92612965377637757</v>
      </c>
      <c r="M607" s="5">
        <f>$C$40+$C$41*EXP(-$C$42*C607)</f>
        <v>0</v>
      </c>
      <c r="N607" s="5">
        <f>(D607-M607)^2</f>
        <v>42.0815582209</v>
      </c>
      <c r="O607" s="5">
        <f>(C607+C606)/2</f>
        <v>1.4572833333334225</v>
      </c>
      <c r="P607" s="5" t="str">
        <f>IF(AND(D606&gt;6,D607&lt;=6),C606+(6-D606)*(C607-C606)/(D607-D606),"")</f>
        <v/>
      </c>
      <c r="Q607" s="5" t="str">
        <f>IF(AND(D606&gt;5,D607&lt;=5),C606+(5-D606)*(C607-C606)/(D607-D606),"")</f>
        <v/>
      </c>
      <c r="R607" s="5" t="str">
        <f>IF(AND(D606&gt;4,D607&lt;=4),C606+(4-D606)*(C607-C606)/(D607-D606),"")</f>
        <v/>
      </c>
      <c r="S607" s="5" t="str">
        <f>IF(AND(D606&gt;3,D607&lt;=3),C606+(3-D606)*(C607-C606)/(D607-D606),"")</f>
        <v/>
      </c>
    </row>
    <row r="608" spans="1:19" ht="20.100000000000001" customHeight="1">
      <c r="A608" t="s">
        <v>3</v>
      </c>
      <c r="B608">
        <v>263</v>
      </c>
      <c r="C608" s="5">
        <f>('Raw Data'!C263-'Raw Data'!$C$244)/60</f>
        <v>1.5822833333334225</v>
      </c>
      <c r="D608" s="5">
        <f>'Raw Data'!J263</f>
        <v>6.4328099999999999</v>
      </c>
      <c r="E608" s="5">
        <f>$D$589-D608</f>
        <v>0.82943999999999996</v>
      </c>
      <c r="F608" s="8">
        <f>10^(-D608)</f>
        <v>3.6913905832662518E-7</v>
      </c>
      <c r="G608" s="5">
        <f>(D608-D607)/(C608-C607)</f>
        <v>-0.65063999999999977</v>
      </c>
      <c r="H608" s="5">
        <f>$C$9+$C$10*EXP(-$C$11*C608)</f>
        <v>6.2510988040979623</v>
      </c>
      <c r="I608" s="5">
        <f>D608-H608</f>
        <v>0.18171119590203766</v>
      </c>
      <c r="J608" s="5">
        <f t="shared" si="16"/>
        <v>3.3018958716148711E-2</v>
      </c>
      <c r="K608" s="5">
        <f>$C$17+$C$16*C608</f>
        <v>5.5122312094260035</v>
      </c>
      <c r="L608" s="5">
        <f>(D608-K608)^2</f>
        <v>0.84746530965468192</v>
      </c>
      <c r="M608" s="5">
        <f>$C$40+$C$41*EXP(-$C$42*C608)</f>
        <v>0</v>
      </c>
      <c r="N608" s="5">
        <f>(D608-M608)^2</f>
        <v>41.381044496099996</v>
      </c>
      <c r="O608" s="5">
        <f>(C608+C607)/2</f>
        <v>1.540616666666756</v>
      </c>
      <c r="P608" s="5" t="str">
        <f>IF(AND(D607&gt;6,D608&lt;=6),C607+(6-D607)*(C608-C607)/(D608-D607),"")</f>
        <v/>
      </c>
      <c r="Q608" s="5" t="str">
        <f>IF(AND(D607&gt;5,D608&lt;=5),C607+(5-D607)*(C608-C607)/(D608-D607),"")</f>
        <v/>
      </c>
      <c r="R608" s="5" t="str">
        <f>IF(AND(D607&gt;4,D608&lt;=4),C607+(4-D607)*(C608-C607)/(D608-D607),"")</f>
        <v/>
      </c>
      <c r="S608" s="5" t="str">
        <f>IF(AND(D607&gt;3,D608&lt;=3),C607+(3-D607)*(C608-C607)/(D608-D607),"")</f>
        <v/>
      </c>
    </row>
    <row r="609" spans="1:19" ht="20.100000000000001" customHeight="1">
      <c r="A609" t="s">
        <v>3</v>
      </c>
      <c r="B609">
        <v>264</v>
      </c>
      <c r="C609" s="5">
        <f>('Raw Data'!C264-'Raw Data'!$C$244)/60</f>
        <v>1.6653666666667657</v>
      </c>
      <c r="D609" s="5">
        <f>'Raw Data'!J264</f>
        <v>6.3993599999999997</v>
      </c>
      <c r="E609" s="5">
        <f>$D$589-D609</f>
        <v>0.86289000000000016</v>
      </c>
      <c r="F609" s="8">
        <f>10^(-D609)</f>
        <v>3.9869427544937335E-7</v>
      </c>
      <c r="G609" s="5">
        <f>(D609-D608)/(C609-C608)</f>
        <v>-0.402607823470366</v>
      </c>
      <c r="H609" s="5">
        <f>$C$9+$C$10*EXP(-$C$11*C609)</f>
        <v>6.1892324946527504</v>
      </c>
      <c r="I609" s="5">
        <f>D609-H609</f>
        <v>0.21012750534724933</v>
      </c>
      <c r="J609" s="5">
        <f t="shared" si="16"/>
        <v>4.41535685034583E-2</v>
      </c>
      <c r="K609" s="5">
        <f>$C$17+$C$16*C609</f>
        <v>5.4998260492383482</v>
      </c>
      <c r="L609" s="5">
        <f>(D609-K609)^2</f>
        <v>0.80916132857286538</v>
      </c>
      <c r="M609" s="5">
        <f>$C$40+$C$41*EXP(-$C$42*C609)</f>
        <v>0</v>
      </c>
      <c r="N609" s="5">
        <f>(D609-M609)^2</f>
        <v>40.951808409599998</v>
      </c>
      <c r="O609" s="5">
        <f>(C609+C608)/2</f>
        <v>1.6238250000000942</v>
      </c>
      <c r="P609" s="5" t="str">
        <f>IF(AND(D608&gt;6,D609&lt;=6),C608+(6-D608)*(C609-C608)/(D609-D608),"")</f>
        <v/>
      </c>
      <c r="Q609" s="5" t="str">
        <f>IF(AND(D608&gt;5,D609&lt;=5),C608+(5-D608)*(C609-C608)/(D609-D608),"")</f>
        <v/>
      </c>
      <c r="R609" s="5" t="str">
        <f>IF(AND(D608&gt;4,D609&lt;=4),C608+(4-D608)*(C609-C608)/(D609-D608),"")</f>
        <v/>
      </c>
      <c r="S609" s="5" t="str">
        <f>IF(AND(D608&gt;3,D609&lt;=3),C608+(3-D608)*(C609-C608)/(D609-D608),"")</f>
        <v/>
      </c>
    </row>
    <row r="610" spans="1:19" ht="20.100000000000001" customHeight="1">
      <c r="A610" t="s">
        <v>3</v>
      </c>
      <c r="B610">
        <v>265</v>
      </c>
      <c r="C610" s="5">
        <f>('Raw Data'!C265-'Raw Data'!$C$244)/60</f>
        <v>1.748950000000089</v>
      </c>
      <c r="D610" s="5">
        <f>'Raw Data'!J265</f>
        <v>6.3566799999999999</v>
      </c>
      <c r="E610" s="5">
        <f>$D$589-D610</f>
        <v>0.90556999999999999</v>
      </c>
      <c r="F610" s="8">
        <f>10^(-D610)</f>
        <v>4.3986560101473007E-7</v>
      </c>
      <c r="G610" s="5">
        <f>(D610-D609)/(C610-C609)</f>
        <v>-0.51062811565309985</v>
      </c>
      <c r="H610" s="5">
        <f>$C$9+$C$10*EXP(-$C$11*C610)</f>
        <v>6.1283731321869226</v>
      </c>
      <c r="I610" s="5">
        <f>D610-H610</f>
        <v>0.2283068678130773</v>
      </c>
      <c r="J610" s="5">
        <f t="shared" si="16"/>
        <v>5.2124025890617952E-2</v>
      </c>
      <c r="K610" s="5">
        <f>$C$17+$C$16*C610</f>
        <v>5.4873462341247929</v>
      </c>
      <c r="L610" s="5">
        <f>(D610-K610)^2</f>
        <v>0.7557411964907691</v>
      </c>
      <c r="M610" s="5">
        <f>$C$40+$C$41*EXP(-$C$42*C610)</f>
        <v>0</v>
      </c>
      <c r="N610" s="5">
        <f>(D610-M610)^2</f>
        <v>40.407380622399998</v>
      </c>
      <c r="O610" s="5">
        <f>(C610+C609)/2</f>
        <v>1.7071583333334273</v>
      </c>
      <c r="P610" s="5" t="str">
        <f>IF(AND(D609&gt;6,D610&lt;=6),C609+(6-D609)*(C610-C609)/(D610-D609),"")</f>
        <v/>
      </c>
      <c r="Q610" s="5" t="str">
        <f>IF(AND(D609&gt;5,D610&lt;=5),C609+(5-D609)*(C610-C609)/(D610-D609),"")</f>
        <v/>
      </c>
      <c r="R610" s="5" t="str">
        <f>IF(AND(D609&gt;4,D610&lt;=4),C609+(4-D609)*(C610-C609)/(D610-D609),"")</f>
        <v/>
      </c>
      <c r="S610" s="5" t="str">
        <f>IF(AND(D609&gt;3,D610&lt;=3),C609+(3-D609)*(C610-C609)/(D610-D609),"")</f>
        <v/>
      </c>
    </row>
    <row r="611" spans="1:19" ht="20.100000000000001" customHeight="1">
      <c r="A611" t="s">
        <v>3</v>
      </c>
      <c r="B611">
        <v>266</v>
      </c>
      <c r="C611" s="5">
        <f>('Raw Data'!C266-'Raw Data'!$C$244)/60</f>
        <v>1.8320333333334322</v>
      </c>
      <c r="D611" s="5">
        <f>'Raw Data'!J266</f>
        <v>6.3139900000000004</v>
      </c>
      <c r="E611" s="5">
        <f>$D$589-D611</f>
        <v>0.94825999999999944</v>
      </c>
      <c r="F611" s="8">
        <f>10^(-D611)</f>
        <v>4.8529967447143135E-7</v>
      </c>
      <c r="G611" s="5">
        <f>(D611-D610)/(C611-C610)</f>
        <v>-0.51382146439311216</v>
      </c>
      <c r="H611" s="5">
        <f>$C$9+$C$10*EXP(-$C$11*C611)</f>
        <v>6.0692184915852669</v>
      </c>
      <c r="I611" s="5">
        <f>D611-H611</f>
        <v>0.2447715084147335</v>
      </c>
      <c r="J611" s="5">
        <f t="shared" si="16"/>
        <v>5.9913091331623952E-2</v>
      </c>
      <c r="K611" s="5">
        <f>$C$17+$C$16*C611</f>
        <v>5.4749410739371385</v>
      </c>
      <c r="L611" s="5">
        <f>(D611-K611)^2</f>
        <v>0.704003100327242</v>
      </c>
      <c r="M611" s="5">
        <f>$C$40+$C$41*EXP(-$C$42*C611)</f>
        <v>0</v>
      </c>
      <c r="N611" s="5">
        <f>(D611-M611)^2</f>
        <v>39.866469720100007</v>
      </c>
      <c r="O611" s="5">
        <f>(C611+C610)/2</f>
        <v>1.7904916666667607</v>
      </c>
      <c r="P611" s="5" t="str">
        <f>IF(AND(D610&gt;6,D611&lt;=6),C610+(6-D610)*(C611-C610)/(D611-D610),"")</f>
        <v/>
      </c>
      <c r="Q611" s="5" t="str">
        <f>IF(AND(D610&gt;5,D611&lt;=5),C610+(5-D610)*(C611-C610)/(D611-D610),"")</f>
        <v/>
      </c>
      <c r="R611" s="5" t="str">
        <f>IF(AND(D610&gt;4,D611&lt;=4),C610+(4-D610)*(C611-C610)/(D611-D610),"")</f>
        <v/>
      </c>
      <c r="S611" s="5" t="str">
        <f>IF(AND(D610&gt;3,D611&lt;=3),C610+(3-D610)*(C611-C610)/(D611-D610),"")</f>
        <v/>
      </c>
    </row>
    <row r="612" spans="1:19" ht="20.100000000000001" customHeight="1">
      <c r="A612" t="s">
        <v>3</v>
      </c>
      <c r="B612">
        <v>267</v>
      </c>
      <c r="C612" s="5">
        <f>('Raw Data'!C267-'Raw Data'!$C$244)/60</f>
        <v>1.9153666666667657</v>
      </c>
      <c r="D612" s="5">
        <f>'Raw Data'!J267</f>
        <v>6.2701599999999997</v>
      </c>
      <c r="E612" s="5">
        <f>$D$589-D612</f>
        <v>0.99209000000000014</v>
      </c>
      <c r="F612" s="8">
        <f>10^(-D612)</f>
        <v>5.3683398298565605E-7</v>
      </c>
      <c r="G612" s="5">
        <f>(D612-D611)/(C612-C611)</f>
        <v>-0.52596000000000753</v>
      </c>
      <c r="H612" s="5">
        <f>$C$9+$C$10*EXP(-$C$11*C612)</f>
        <v>6.0111987726537848</v>
      </c>
      <c r="I612" s="5">
        <f>D612-H612</f>
        <v>0.25896122734621496</v>
      </c>
      <c r="J612" s="5">
        <f t="shared" si="16"/>
        <v>6.7060917268658038E-2</v>
      </c>
      <c r="K612" s="5">
        <f>$C$17+$C$16*C612</f>
        <v>5.4624985862865323</v>
      </c>
      <c r="L612" s="5">
        <f>(D612-K612)^2</f>
        <v>0.65231695920163679</v>
      </c>
      <c r="M612" s="5">
        <f>$C$40+$C$41*EXP(-$C$42*C612)</f>
        <v>0</v>
      </c>
      <c r="N612" s="5">
        <f>(D612-M612)^2</f>
        <v>39.314906425599993</v>
      </c>
      <c r="O612" s="5">
        <f>(C612+C611)/2</f>
        <v>1.873700000000099</v>
      </c>
      <c r="P612" s="5" t="str">
        <f>IF(AND(D611&gt;6,D612&lt;=6),C611+(6-D611)*(C612-C611)/(D612-D611),"")</f>
        <v/>
      </c>
      <c r="Q612" s="5" t="str">
        <f>IF(AND(D611&gt;5,D612&lt;=5),C611+(5-D611)*(C612-C611)/(D612-D611),"")</f>
        <v/>
      </c>
      <c r="R612" s="5" t="str">
        <f>IF(AND(D611&gt;4,D612&lt;=4),C611+(4-D611)*(C612-C611)/(D612-D611),"")</f>
        <v/>
      </c>
      <c r="S612" s="5" t="str">
        <f>IF(AND(D611&gt;3,D612&lt;=3),C611+(3-D611)*(C612-C611)/(D612-D611),"")</f>
        <v/>
      </c>
    </row>
    <row r="613" spans="1:19" ht="20.100000000000001" customHeight="1">
      <c r="A613" t="s">
        <v>3</v>
      </c>
      <c r="B613">
        <v>268</v>
      </c>
      <c r="C613" s="5">
        <f>('Raw Data'!C268-'Raw Data'!$C$244)/60</f>
        <v>1.9984333333333772</v>
      </c>
      <c r="D613" s="5">
        <f>'Raw Data'!J268</f>
        <v>6.2217099999999999</v>
      </c>
      <c r="E613" s="5">
        <f>$D$589-D613</f>
        <v>1.04054</v>
      </c>
      <c r="F613" s="8">
        <f>10^(-D613)</f>
        <v>6.0019172030300647E-7</v>
      </c>
      <c r="G613" s="5">
        <f>(D613-D612)/(C613-C612)</f>
        <v>-0.58326645264886068</v>
      </c>
      <c r="H613" s="5">
        <f>$C$9+$C$10*EXP(-$C$11*C613)</f>
        <v>5.9546443635067936</v>
      </c>
      <c r="I613" s="5">
        <f>D613-H613</f>
        <v>0.26706563649320625</v>
      </c>
      <c r="J613" s="5">
        <f t="shared" si="16"/>
        <v>7.1324054195521375E-2</v>
      </c>
      <c r="K613" s="5">
        <f>$C$17+$C$16*C613</f>
        <v>5.4500959145964174</v>
      </c>
      <c r="L613" s="5">
        <f>(D613-K613)^2</f>
        <v>0.59538829679320704</v>
      </c>
      <c r="M613" s="5">
        <f>$C$40+$C$41*EXP(-$C$42*C613)</f>
        <v>0</v>
      </c>
      <c r="N613" s="5">
        <f>(D613-M613)^2</f>
        <v>38.709675324099997</v>
      </c>
      <c r="O613" s="5">
        <f>(C613+C612)/2</f>
        <v>1.9569000000000716</v>
      </c>
      <c r="P613" s="5" t="str">
        <f>IF(AND(D612&gt;6,D613&lt;=6),C612+(6-D612)*(C613-C612)/(D613-D612),"")</f>
        <v/>
      </c>
      <c r="Q613" s="5" t="str">
        <f>IF(AND(D612&gt;5,D613&lt;=5),C612+(5-D612)*(C613-C612)/(D613-D612),"")</f>
        <v/>
      </c>
      <c r="R613" s="5" t="str">
        <f>IF(AND(D612&gt;4,D613&lt;=4),C612+(4-D612)*(C613-C612)/(D613-D612),"")</f>
        <v/>
      </c>
      <c r="S613" s="5" t="str">
        <f>IF(AND(D612&gt;3,D613&lt;=3),C612+(3-D612)*(C613-C612)/(D613-D612),"")</f>
        <v/>
      </c>
    </row>
    <row r="614" spans="1:19" ht="20.100000000000001" customHeight="1">
      <c r="A614" t="s">
        <v>3</v>
      </c>
      <c r="B614">
        <v>269</v>
      </c>
      <c r="C614" s="5">
        <f>('Raw Data'!C269-'Raw Data'!$C$244)/60</f>
        <v>2.0820333333334324</v>
      </c>
      <c r="D614" s="5">
        <f>'Raw Data'!J269</f>
        <v>6.1847899999999996</v>
      </c>
      <c r="E614" s="5">
        <f>$D$589-D614</f>
        <v>1.0774600000000003</v>
      </c>
      <c r="F614" s="8">
        <f>10^(-D614)</f>
        <v>6.5344644563682244E-7</v>
      </c>
      <c r="G614" s="5">
        <f>(D614-D613)/(C614-C613)</f>
        <v>-0.4416267942580851</v>
      </c>
      <c r="H614" s="5">
        <f>$C$9+$C$10*EXP(-$C$11*C614)</f>
        <v>5.8989881847467718</v>
      </c>
      <c r="I614" s="5">
        <f>D614-H614</f>
        <v>0.28580181525322779</v>
      </c>
      <c r="J614" s="5">
        <f t="shared" si="16"/>
        <v>8.1682677602040149E-2</v>
      </c>
      <c r="K614" s="5">
        <f>$C$17+$C$16*C614</f>
        <v>5.4376136109853226</v>
      </c>
      <c r="L614" s="5">
        <f>(D614-K614)^2</f>
        <v>0.55827255630101191</v>
      </c>
      <c r="M614" s="5">
        <f>$C$40+$C$41*EXP(-$C$42*C614)</f>
        <v>0</v>
      </c>
      <c r="N614" s="5">
        <f>(D614-M614)^2</f>
        <v>38.251627344099994</v>
      </c>
      <c r="O614" s="5">
        <f>(C614+C613)/2</f>
        <v>2.0402333333334051</v>
      </c>
      <c r="P614" s="5" t="str">
        <f>IF(AND(D613&gt;6,D614&lt;=6),C613+(6-D613)*(C614-C613)/(D614-D613),"")</f>
        <v/>
      </c>
      <c r="Q614" s="5" t="str">
        <f>IF(AND(D613&gt;5,D614&lt;=5),C613+(5-D613)*(C614-C613)/(D614-D613),"")</f>
        <v/>
      </c>
      <c r="R614" s="5" t="str">
        <f>IF(AND(D613&gt;4,D614&lt;=4),C613+(4-D613)*(C614-C613)/(D614-D613),"")</f>
        <v/>
      </c>
      <c r="S614" s="5" t="str">
        <f>IF(AND(D613&gt;3,D614&lt;=3),C613+(3-D613)*(C614-C613)/(D614-D613),"")</f>
        <v/>
      </c>
    </row>
    <row r="615" spans="1:19" ht="20.100000000000001" customHeight="1">
      <c r="A615" t="s">
        <v>3</v>
      </c>
      <c r="B615">
        <v>270</v>
      </c>
      <c r="C615" s="5">
        <f>('Raw Data'!C270-'Raw Data'!$C$244)/60</f>
        <v>2.1651000000000442</v>
      </c>
      <c r="D615" s="5">
        <f>'Raw Data'!J270</f>
        <v>6.1328800000000001</v>
      </c>
      <c r="E615" s="5">
        <f>$D$589-D615</f>
        <v>1.1293699999999998</v>
      </c>
      <c r="F615" s="8">
        <f>10^(-D615)</f>
        <v>7.3641054713961315E-7</v>
      </c>
      <c r="G615" s="5">
        <f>(D615-D614)/(C615-C614)</f>
        <v>-0.62491974317857657</v>
      </c>
      <c r="H615" s="5">
        <f>$C$9+$C$10*EXP(-$C$11*C615)</f>
        <v>5.8449126179717412</v>
      </c>
      <c r="I615" s="5">
        <f>D615-H615</f>
        <v>0.28796738202825889</v>
      </c>
      <c r="J615" s="5">
        <f t="shared" si="16"/>
        <v>8.2925213112209198E-2</v>
      </c>
      <c r="K615" s="5">
        <f>$C$17+$C$16*C615</f>
        <v>5.4252109392952068</v>
      </c>
      <c r="L615" s="5">
        <f>(D615-K615)^2</f>
        <v>0.50079549947880442</v>
      </c>
      <c r="M615" s="5">
        <f>$C$40+$C$41*EXP(-$C$42*C615)</f>
        <v>0</v>
      </c>
      <c r="N615" s="5">
        <f>(D615-M615)^2</f>
        <v>37.612217094400002</v>
      </c>
      <c r="O615" s="5">
        <f>(C615+C614)/2</f>
        <v>2.1235666666667381</v>
      </c>
      <c r="P615" s="5" t="str">
        <f>IF(AND(D614&gt;6,D615&lt;=6),C614+(6-D614)*(C615-C614)/(D615-D614),"")</f>
        <v/>
      </c>
      <c r="Q615" s="5" t="str">
        <f>IF(AND(D614&gt;5,D615&lt;=5),C614+(5-D614)*(C615-C614)/(D615-D614),"")</f>
        <v/>
      </c>
      <c r="R615" s="5" t="str">
        <f>IF(AND(D614&gt;4,D615&lt;=4),C614+(4-D614)*(C615-C614)/(D615-D614),"")</f>
        <v/>
      </c>
      <c r="S615" s="5" t="str">
        <f>IF(AND(D614&gt;3,D615&lt;=3),C614+(3-D614)*(C615-C614)/(D615-D614),"")</f>
        <v/>
      </c>
    </row>
    <row r="616" spans="1:19" ht="20.100000000000001" customHeight="1">
      <c r="A616" t="s">
        <v>3</v>
      </c>
      <c r="B616">
        <v>271</v>
      </c>
      <c r="C616" s="5">
        <f>('Raw Data'!C271-'Raw Data'!$C$244)/60</f>
        <v>2.2484333333333777</v>
      </c>
      <c r="D616" s="5">
        <f>'Raw Data'!J271</f>
        <v>6.0901899999999998</v>
      </c>
      <c r="E616" s="5">
        <f>$D$589-D616</f>
        <v>1.1720600000000001</v>
      </c>
      <c r="F616" s="8">
        <f>10^(-D616)</f>
        <v>8.1247498776840156E-7</v>
      </c>
      <c r="G616" s="5">
        <f>(D616-D615)/(C616-C615)</f>
        <v>-0.51228000000000318</v>
      </c>
      <c r="H616" s="5">
        <f>$C$9+$C$10*EXP(-$C$11*C616)</f>
        <v>5.7918637664121055</v>
      </c>
      <c r="I616" s="5">
        <f>D616-H616</f>
        <v>0.29832623358789423</v>
      </c>
      <c r="J616" s="5">
        <f t="shared" si="16"/>
        <v>8.899854164673883E-2</v>
      </c>
      <c r="K616" s="5">
        <f>$C$17+$C$16*C616</f>
        <v>5.4127684516446015</v>
      </c>
      <c r="L616" s="5">
        <f>(D616-K616)^2</f>
        <v>0.45889995417622514</v>
      </c>
      <c r="M616" s="5">
        <f>$C$40+$C$41*EXP(-$C$42*C616)</f>
        <v>0</v>
      </c>
      <c r="N616" s="5">
        <f>(D616-M616)^2</f>
        <v>37.090414236099996</v>
      </c>
      <c r="O616" s="5">
        <f>(C616+C615)/2</f>
        <v>2.2067666666667112</v>
      </c>
      <c r="P616" s="5" t="str">
        <f>IF(AND(D615&gt;6,D616&lt;=6),C615+(6-D615)*(C616-C615)/(D616-D615),"")</f>
        <v/>
      </c>
      <c r="Q616" s="5" t="str">
        <f>IF(AND(D615&gt;5,D616&lt;=5),C615+(5-D615)*(C616-C615)/(D616-D615),"")</f>
        <v/>
      </c>
      <c r="R616" s="5" t="str">
        <f>IF(AND(D615&gt;4,D616&lt;=4),C615+(4-D615)*(C616-C615)/(D616-D615),"")</f>
        <v/>
      </c>
      <c r="S616" s="5" t="str">
        <f>IF(AND(D615&gt;3,D616&lt;=3),C615+(3-D615)*(C616-C615)/(D616-D615),"")</f>
        <v/>
      </c>
    </row>
    <row r="617" spans="1:19" ht="20.100000000000001" customHeight="1">
      <c r="A617" t="s">
        <v>3</v>
      </c>
      <c r="B617">
        <v>272</v>
      </c>
      <c r="C617" s="5">
        <f>('Raw Data'!C272-'Raw Data'!$C$244)/60</f>
        <v>2.3317666666667107</v>
      </c>
      <c r="D617" s="5">
        <f>'Raw Data'!J272</f>
        <v>6.0394399999999999</v>
      </c>
      <c r="E617" s="5">
        <f>$D$589-D617</f>
        <v>1.22281</v>
      </c>
      <c r="F617" s="8">
        <f>10^(-D617)</f>
        <v>9.1318758810629594E-7</v>
      </c>
      <c r="G617" s="5">
        <f>(D617-D616)/(C617-C616)</f>
        <v>-0.60900000000000032</v>
      </c>
      <c r="H617" s="5">
        <f>$C$9+$C$10*EXP(-$C$11*C617)</f>
        <v>5.7399905363423738</v>
      </c>
      <c r="I617" s="5">
        <f>D617-H617</f>
        <v>0.29944946365762615</v>
      </c>
      <c r="J617" s="5">
        <f t="shared" si="16"/>
        <v>8.9669981284839967E-2</v>
      </c>
      <c r="K617" s="5">
        <f>$C$17+$C$16*C617</f>
        <v>5.4003259639939962</v>
      </c>
      <c r="L617" s="5">
        <f>(D617-K617)^2</f>
        <v>0.40846675101988339</v>
      </c>
      <c r="M617" s="5">
        <f>$C$40+$C$41*EXP(-$C$42*C617)</f>
        <v>0</v>
      </c>
      <c r="N617" s="5">
        <f>(D617-M617)^2</f>
        <v>36.474835513599999</v>
      </c>
      <c r="O617" s="5">
        <f>(C617+C616)/2</f>
        <v>2.2901000000000442</v>
      </c>
      <c r="P617" s="5" t="str">
        <f>IF(AND(D616&gt;6,D617&lt;=6),C616+(6-D616)*(C617-C616)/(D617-D616),"")</f>
        <v/>
      </c>
      <c r="Q617" s="5" t="str">
        <f>IF(AND(D616&gt;5,D617&lt;=5),C616+(5-D616)*(C617-C616)/(D617-D616),"")</f>
        <v/>
      </c>
      <c r="R617" s="5" t="str">
        <f>IF(AND(D616&gt;4,D617&lt;=4),C616+(4-D616)*(C617-C616)/(D617-D616),"")</f>
        <v/>
      </c>
      <c r="S617" s="5" t="str">
        <f>IF(AND(D616&gt;3,D617&lt;=3),C616+(3-D616)*(C617-C616)/(D617-D616),"")</f>
        <v/>
      </c>
    </row>
    <row r="618" spans="1:19" ht="20.100000000000001" customHeight="1">
      <c r="A618" t="s">
        <v>3</v>
      </c>
      <c r="B618">
        <v>273</v>
      </c>
      <c r="C618" s="5">
        <f>('Raw Data'!C273-'Raw Data'!$C$244)/60</f>
        <v>2.4151000000000442</v>
      </c>
      <c r="D618" s="5">
        <f>'Raw Data'!J273</f>
        <v>5.98637</v>
      </c>
      <c r="E618" s="5">
        <f>$D$589-D618</f>
        <v>1.2758799999999999</v>
      </c>
      <c r="F618" s="8">
        <f>10^(-D618)</f>
        <v>1.0318819126830239E-6</v>
      </c>
      <c r="G618" s="5">
        <f>(D618-D617)/(C618-C617)</f>
        <v>-0.6368399999999983</v>
      </c>
      <c r="H618" s="5">
        <f>$C$9+$C$10*EXP(-$C$11*C618)</f>
        <v>5.6892668746841677</v>
      </c>
      <c r="I618" s="5">
        <f>D618-H618</f>
        <v>0.29710312531583227</v>
      </c>
      <c r="J618" s="5">
        <f t="shared" si="16"/>
        <v>8.8270267072435141E-2</v>
      </c>
      <c r="K618" s="5">
        <f>$C$17+$C$16*C618</f>
        <v>5.3878834763433909</v>
      </c>
      <c r="L618" s="5">
        <f>(D618-K618)^2</f>
        <v>0.35818611899857283</v>
      </c>
      <c r="M618" s="5">
        <f>$C$40+$C$41*EXP(-$C$42*C618)</f>
        <v>0</v>
      </c>
      <c r="N618" s="5">
        <f>(D618-M618)^2</f>
        <v>35.8366257769</v>
      </c>
      <c r="O618" s="5">
        <f>(C618+C617)/2</f>
        <v>2.3734333333333772</v>
      </c>
      <c r="P618" s="5">
        <f>IF(AND(D617&gt;6,D618&lt;=6),C617+(6-D617)*(C618-C617)/(D618-D617),"")</f>
        <v>2.3936974499089696</v>
      </c>
      <c r="Q618" s="5" t="str">
        <f>IF(AND(D617&gt;5,D618&lt;=5),C617+(5-D617)*(C618-C617)/(D618-D617),"")</f>
        <v/>
      </c>
      <c r="R618" s="5" t="str">
        <f>IF(AND(D617&gt;4,D618&lt;=4),C617+(4-D617)*(C618-C617)/(D618-D617),"")</f>
        <v/>
      </c>
      <c r="S618" s="5" t="str">
        <f>IF(AND(D617&gt;3,D618&lt;=3),C617+(3-D617)*(C618-C617)/(D618-D617),"")</f>
        <v/>
      </c>
    </row>
    <row r="619" spans="1:19" ht="20.100000000000001" customHeight="1">
      <c r="A619" t="s">
        <v>3</v>
      </c>
      <c r="B619">
        <v>274</v>
      </c>
      <c r="C619" s="5">
        <f>('Raw Data'!C274-'Raw Data'!$C$244)/60</f>
        <v>2.4981833333333872</v>
      </c>
      <c r="D619" s="5">
        <f>'Raw Data'!J274</f>
        <v>5.9344599999999996</v>
      </c>
      <c r="E619" s="5">
        <f>$D$589-D619</f>
        <v>1.3277900000000002</v>
      </c>
      <c r="F619" s="8">
        <f>10^(-D619)</f>
        <v>1.162893652534634E-6</v>
      </c>
      <c r="G619" s="5">
        <f>(D619-D618)/(C619-C618)</f>
        <v>-0.62479438314938018</v>
      </c>
      <c r="H619" s="5">
        <f>$C$9+$C$10*EXP(-$C$11*C619)</f>
        <v>5.6398144482887158</v>
      </c>
      <c r="I619" s="5">
        <f>D619-H619</f>
        <v>0.29464555171128382</v>
      </c>
      <c r="J619" s="5">
        <f t="shared" si="16"/>
        <v>8.6816001143246821E-2</v>
      </c>
      <c r="K619" s="5">
        <f>$C$17+$C$16*C619</f>
        <v>5.3754783161557365</v>
      </c>
      <c r="L619" s="5">
        <f>(D619-K619)^2</f>
        <v>0.31246052287336779</v>
      </c>
      <c r="M619" s="5">
        <f>$C$40+$C$41*EXP(-$C$42*C619)</f>
        <v>0</v>
      </c>
      <c r="N619" s="5">
        <f>(D619-M619)^2</f>
        <v>35.217815491599993</v>
      </c>
      <c r="O619" s="5">
        <f>(C619+C618)/2</f>
        <v>2.4566416666667159</v>
      </c>
      <c r="P619" s="5" t="str">
        <f>IF(AND(D618&gt;6,D619&lt;=6),C618+(6-D618)*(C619-C618)/(D619-D618),"")</f>
        <v/>
      </c>
      <c r="Q619" s="5" t="str">
        <f>IF(AND(D618&gt;5,D619&lt;=5),C618+(5-D618)*(C619-C618)/(D619-D618),"")</f>
        <v/>
      </c>
      <c r="R619" s="5" t="str">
        <f>IF(AND(D618&gt;4,D619&lt;=4),C618+(4-D618)*(C619-C618)/(D619-D618),"")</f>
        <v/>
      </c>
      <c r="S619" s="5" t="str">
        <f>IF(AND(D618&gt;3,D619&lt;=3),C618+(3-D618)*(C619-C618)/(D619-D618),"")</f>
        <v/>
      </c>
    </row>
    <row r="620" spans="1:19" ht="20.100000000000001" customHeight="1">
      <c r="A620" t="s">
        <v>3</v>
      </c>
      <c r="B620">
        <v>275</v>
      </c>
      <c r="C620" s="5">
        <f>('Raw Data'!C275-'Raw Data'!$C$244)/60</f>
        <v>2.5815166666667206</v>
      </c>
      <c r="D620" s="5">
        <f>'Raw Data'!J275</f>
        <v>5.8756300000000001</v>
      </c>
      <c r="E620" s="5">
        <f>$D$589-D620</f>
        <v>1.3866199999999997</v>
      </c>
      <c r="F620" s="8">
        <f>10^(-D620)</f>
        <v>1.3315883902256092E-6</v>
      </c>
      <c r="G620" s="5">
        <f>(D620-D619)/(C620-C619)</f>
        <v>-0.7059599999999927</v>
      </c>
      <c r="H620" s="5">
        <f>$C$9+$C$10*EXP(-$C$11*C620)</f>
        <v>5.5913108000413176</v>
      </c>
      <c r="I620" s="5">
        <f>D620-H620</f>
        <v>0.28431919995868249</v>
      </c>
      <c r="J620" s="5">
        <f t="shared" si="16"/>
        <v>8.0837407465145283E-2</v>
      </c>
      <c r="K620" s="5">
        <f>$C$17+$C$16*C620</f>
        <v>5.3630358285051312</v>
      </c>
      <c r="L620" s="5">
        <f>(D620-K620)^2</f>
        <v>0.26275278465051116</v>
      </c>
      <c r="M620" s="5">
        <f>$C$40+$C$41*EXP(-$C$42*C620)</f>
        <v>0</v>
      </c>
      <c r="N620" s="5">
        <f>(D620-M620)^2</f>
        <v>34.523027896900004</v>
      </c>
      <c r="O620" s="5">
        <f>(C620+C619)/2</f>
        <v>2.5398500000000537</v>
      </c>
      <c r="P620" s="5" t="str">
        <f>IF(AND(D619&gt;6,D620&lt;=6),C619+(6-D619)*(C620-C619)/(D620-D619),"")</f>
        <v/>
      </c>
      <c r="Q620" s="5" t="str">
        <f>IF(AND(D619&gt;5,D620&lt;=5),C619+(5-D619)*(C620-C619)/(D620-D619),"")</f>
        <v/>
      </c>
      <c r="R620" s="5" t="str">
        <f>IF(AND(D619&gt;4,D620&lt;=4),C619+(4-D619)*(C620-C619)/(D620-D619),"")</f>
        <v/>
      </c>
      <c r="S620" s="5" t="str">
        <f>IF(AND(D619&gt;3,D620&lt;=3),C619+(3-D619)*(C620-C619)/(D620-D619),"")</f>
        <v/>
      </c>
    </row>
    <row r="621" spans="1:19" ht="20.100000000000001" customHeight="1">
      <c r="A621" t="s">
        <v>3</v>
      </c>
      <c r="B621">
        <v>276</v>
      </c>
      <c r="C621" s="5">
        <f>('Raw Data'!C276-'Raw Data'!$C$244)/60</f>
        <v>2.6648500000000537</v>
      </c>
      <c r="D621" s="5">
        <f>'Raw Data'!J276</f>
        <v>5.8179499999999997</v>
      </c>
      <c r="E621" s="5">
        <f>$D$589-D621</f>
        <v>1.4443000000000001</v>
      </c>
      <c r="F621" s="8">
        <f>10^(-D621)</f>
        <v>1.5207225993138738E-6</v>
      </c>
      <c r="G621" s="5">
        <f>(D621-D620)/(C621-C620)</f>
        <v>-0.69216000000000721</v>
      </c>
      <c r="H621" s="5">
        <f>$C$9+$C$10*EXP(-$C$11*C621)</f>
        <v>5.5438820465285268</v>
      </c>
      <c r="I621" s="5">
        <f>D621-H621</f>
        <v>0.27406795347147295</v>
      </c>
      <c r="J621" s="5">
        <f t="shared" si="16"/>
        <v>7.5113243120041459E-2</v>
      </c>
      <c r="K621" s="5">
        <f>$C$17+$C$16*C621</f>
        <v>5.3505933408545259</v>
      </c>
      <c r="L621" s="5">
        <f>(D621-K621)^2</f>
        <v>0.21842224684761863</v>
      </c>
      <c r="M621" s="5">
        <f>$C$40+$C$41*EXP(-$C$42*C621)</f>
        <v>0</v>
      </c>
      <c r="N621" s="5">
        <f>(D621-M621)^2</f>
        <v>33.848542202499999</v>
      </c>
      <c r="O621" s="5">
        <f>(C621+C620)/2</f>
        <v>2.6231833333333872</v>
      </c>
      <c r="P621" s="5" t="str">
        <f>IF(AND(D620&gt;6,D621&lt;=6),C620+(6-D620)*(C621-C620)/(D621-D620),"")</f>
        <v/>
      </c>
      <c r="Q621" s="5" t="str">
        <f>IF(AND(D620&gt;5,D621&lt;=5),C620+(5-D620)*(C621-C620)/(D621-D620),"")</f>
        <v/>
      </c>
      <c r="R621" s="5" t="str">
        <f>IF(AND(D620&gt;4,D621&lt;=4),C620+(4-D620)*(C621-C620)/(D621-D620),"")</f>
        <v/>
      </c>
      <c r="S621" s="5" t="str">
        <f>IF(AND(D620&gt;3,D621&lt;=3),C620+(3-D620)*(C621-C620)/(D621-D620),"")</f>
        <v/>
      </c>
    </row>
    <row r="622" spans="1:19" ht="20.100000000000001" customHeight="1">
      <c r="A622" t="s">
        <v>3</v>
      </c>
      <c r="B622">
        <v>277</v>
      </c>
      <c r="C622" s="5">
        <f>('Raw Data'!C277-'Raw Data'!$C$244)/60</f>
        <v>2.7479166666666672</v>
      </c>
      <c r="D622" s="5">
        <f>'Raw Data'!J277</f>
        <v>5.7683400000000002</v>
      </c>
      <c r="E622" s="5">
        <f>$D$589-D622</f>
        <v>1.4939099999999996</v>
      </c>
      <c r="F622" s="8">
        <f>10^(-D622)</f>
        <v>1.7047472557372087E-6</v>
      </c>
      <c r="G622" s="5">
        <f>(D622-D621)/(C622-C621)</f>
        <v>-0.59723113964724572</v>
      </c>
      <c r="H622" s="5">
        <f>$C$9+$C$10*EXP(-$C$11*C622)</f>
        <v>5.4976511239923127</v>
      </c>
      <c r="I622" s="5">
        <f>D622-H622</f>
        <v>0.27068887600768754</v>
      </c>
      <c r="J622" s="5">
        <f t="shared" si="16"/>
        <v>7.3272467594305238E-2</v>
      </c>
      <c r="K622" s="5">
        <f>$C$17+$C$16*C622</f>
        <v>5.3381906691644101</v>
      </c>
      <c r="L622" s="5">
        <f>(D622-K622)^2</f>
        <v>0.18502844681830599</v>
      </c>
      <c r="M622" s="5">
        <f>$C$40+$C$41*EXP(-$C$42*C622)</f>
        <v>0</v>
      </c>
      <c r="N622" s="5">
        <f>(D622-M622)^2</f>
        <v>33.273746355600004</v>
      </c>
      <c r="O622" s="5">
        <f>(C622+C621)/2</f>
        <v>2.7063833333333607</v>
      </c>
      <c r="P622" s="5" t="str">
        <f>IF(AND(D621&gt;6,D622&lt;=6),C621+(6-D621)*(C622-C621)/(D622-D621),"")</f>
        <v/>
      </c>
      <c r="Q622" s="5" t="str">
        <f>IF(AND(D621&gt;5,D622&lt;=5),C621+(5-D621)*(C622-C621)/(D622-D621),"")</f>
        <v/>
      </c>
      <c r="R622" s="5" t="str">
        <f>IF(AND(D621&gt;4,D622&lt;=4),C621+(4-D621)*(C622-C621)/(D622-D621),"")</f>
        <v/>
      </c>
      <c r="S622" s="5" t="str">
        <f>IF(AND(D621&gt;3,D622&lt;=3),C621+(3-D621)*(C622-C621)/(D622-D621),"")</f>
        <v/>
      </c>
    </row>
    <row r="623" spans="1:19" ht="20.100000000000001" customHeight="1">
      <c r="A623" t="s">
        <v>3</v>
      </c>
      <c r="B623">
        <v>278</v>
      </c>
      <c r="C623" s="5">
        <f>('Raw Data'!C278-'Raw Data'!$C$244)/60</f>
        <v>2.8315166666667206</v>
      </c>
      <c r="D623" s="5">
        <f>'Raw Data'!J278</f>
        <v>5.7106599999999998</v>
      </c>
      <c r="E623" s="5">
        <f>$D$589-D623</f>
        <v>1.55159</v>
      </c>
      <c r="F623" s="8">
        <f>10^(-D623)</f>
        <v>1.9468836593556112E-6</v>
      </c>
      <c r="G623" s="5">
        <f>(D623-D622)/(C623-C622)</f>
        <v>-0.68995215310961178</v>
      </c>
      <c r="H623" s="5">
        <f>$C$9+$C$10*EXP(-$C$11*C623)</f>
        <v>5.4521544681572465</v>
      </c>
      <c r="I623" s="5">
        <f>D623-H623</f>
        <v>0.25850553184275338</v>
      </c>
      <c r="J623" s="5">
        <f t="shared" si="16"/>
        <v>6.6825109993304779E-2</v>
      </c>
      <c r="K623" s="5">
        <f>$C$17+$C$16*C623</f>
        <v>5.3257083655533153</v>
      </c>
      <c r="L623" s="5">
        <f>(D623-K623)^2</f>
        <v>0.14818776086317387</v>
      </c>
      <c r="M623" s="5">
        <f>$C$40+$C$41*EXP(-$C$42*C623)</f>
        <v>0</v>
      </c>
      <c r="N623" s="5">
        <f>(D623-M623)^2</f>
        <v>32.611637635599998</v>
      </c>
      <c r="O623" s="5">
        <f>(C623+C622)/2</f>
        <v>2.7897166666666937</v>
      </c>
      <c r="P623" s="5" t="str">
        <f>IF(AND(D622&gt;6,D623&lt;=6),C622+(6-D622)*(C623-C622)/(D623-D622),"")</f>
        <v/>
      </c>
      <c r="Q623" s="5" t="str">
        <f>IF(AND(D622&gt;5,D623&lt;=5),C622+(5-D622)*(C623-C622)/(D623-D622),"")</f>
        <v/>
      </c>
      <c r="R623" s="5" t="str">
        <f>IF(AND(D622&gt;4,D623&lt;=4),C622+(4-D622)*(C623-C622)/(D623-D622),"")</f>
        <v/>
      </c>
      <c r="S623" s="5" t="str">
        <f>IF(AND(D622&gt;3,D623&lt;=3),C622+(3-D622)*(C623-C622)/(D623-D622),"")</f>
        <v/>
      </c>
    </row>
    <row r="624" spans="1:19" ht="20.100000000000001" customHeight="1">
      <c r="A624" t="s">
        <v>3</v>
      </c>
      <c r="B624">
        <v>279</v>
      </c>
      <c r="C624" s="5">
        <f>('Raw Data'!C279-'Raw Data'!$C$244)/60</f>
        <v>2.9145833333333337</v>
      </c>
      <c r="D624" s="5">
        <f>'Raw Data'!J279</f>
        <v>5.6345200000000002</v>
      </c>
      <c r="E624" s="5">
        <f>$D$589-D624</f>
        <v>1.6277299999999997</v>
      </c>
      <c r="F624" s="8">
        <f>10^(-D624)</f>
        <v>2.3199573451255722E-6</v>
      </c>
      <c r="G624" s="5">
        <f>(D624-D623)/(C624-C623)</f>
        <v>-0.91661316211936694</v>
      </c>
      <c r="H624" s="5">
        <f>$C$9+$C$10*EXP(-$C$11*C624)</f>
        <v>5.407949898144313</v>
      </c>
      <c r="I624" s="5">
        <f>D624-H624</f>
        <v>0.22657010185568716</v>
      </c>
      <c r="J624" s="5">
        <f t="shared" si="16"/>
        <v>5.1334011054896454E-2</v>
      </c>
      <c r="K624" s="5">
        <f>$C$17+$C$16*C624</f>
        <v>5.3133056938631995</v>
      </c>
      <c r="L624" s="5">
        <f>(D624-K624)^2</f>
        <v>0.10317863046694631</v>
      </c>
      <c r="M624" s="5">
        <f>$C$40+$C$41*EXP(-$C$42*C624)</f>
        <v>0</v>
      </c>
      <c r="N624" s="5">
        <f>(D624-M624)^2</f>
        <v>31.747815630400002</v>
      </c>
      <c r="O624" s="5">
        <f>(C624+C623)/2</f>
        <v>2.8730500000000272</v>
      </c>
      <c r="P624" s="5" t="str">
        <f>IF(AND(D623&gt;6,D624&lt;=6),C623+(6-D623)*(C624-C623)/(D624-D623),"")</f>
        <v/>
      </c>
      <c r="Q624" s="5" t="str">
        <f>IF(AND(D623&gt;5,D624&lt;=5),C623+(5-D623)*(C624-C623)/(D624-D623),"")</f>
        <v/>
      </c>
      <c r="R624" s="5" t="str">
        <f>IF(AND(D623&gt;4,D624&lt;=4),C623+(4-D623)*(C624-C623)/(D624-D623),"")</f>
        <v/>
      </c>
      <c r="S624" s="5" t="str">
        <f>IF(AND(D623&gt;3,D624&lt;=3),C623+(3-D623)*(C624-C623)/(D624-D623),"")</f>
        <v/>
      </c>
    </row>
    <row r="625" spans="1:19" ht="20.100000000000001" customHeight="1">
      <c r="A625" t="s">
        <v>3</v>
      </c>
      <c r="B625">
        <v>280</v>
      </c>
      <c r="C625" s="5">
        <f>('Raw Data'!C280-'Raw Data'!$C$244)/60</f>
        <v>2.9979166666666672</v>
      </c>
      <c r="D625" s="5">
        <f>'Raw Data'!J280</f>
        <v>5.5883799999999999</v>
      </c>
      <c r="E625" s="5">
        <f>$D$589-D625</f>
        <v>1.67387</v>
      </c>
      <c r="F625" s="8">
        <f>10^(-D625)</f>
        <v>2.5800017467758721E-6</v>
      </c>
      <c r="G625" s="5">
        <f>(D625-D624)/(C625-C624)</f>
        <v>-0.5536800000000025</v>
      </c>
      <c r="H625" s="5">
        <f>$C$9+$C$10*EXP(-$C$11*C625)</f>
        <v>5.3645846259386705</v>
      </c>
      <c r="I625" s="5">
        <f>D625-H625</f>
        <v>0.22379537406132943</v>
      </c>
      <c r="J625" s="5">
        <f t="shared" si="16"/>
        <v>5.008436945125036E-2</v>
      </c>
      <c r="K625" s="5">
        <f>$C$17+$C$16*C625</f>
        <v>5.3008632062125942</v>
      </c>
      <c r="L625" s="5">
        <f>(D625-K625)^2</f>
        <v>8.2665906709789572E-2</v>
      </c>
      <c r="M625" s="5">
        <f>$C$40+$C$41*EXP(-$C$42*C625)</f>
        <v>0</v>
      </c>
      <c r="N625" s="5">
        <f>(D625-M625)^2</f>
        <v>31.2299910244</v>
      </c>
      <c r="O625" s="5">
        <f>(C625+C624)/2</f>
        <v>2.9562500000000007</v>
      </c>
      <c r="P625" s="5" t="str">
        <f>IF(AND(D624&gt;6,D625&lt;=6),C624+(6-D624)*(C625-C624)/(D625-D624),"")</f>
        <v/>
      </c>
      <c r="Q625" s="5" t="str">
        <f>IF(AND(D624&gt;5,D625&lt;=5),C624+(5-D624)*(C625-C624)/(D625-D624),"")</f>
        <v/>
      </c>
      <c r="R625" s="5" t="str">
        <f>IF(AND(D624&gt;4,D625&lt;=4),C624+(4-D624)*(C625-C624)/(D625-D624),"")</f>
        <v/>
      </c>
      <c r="S625" s="5" t="str">
        <f>IF(AND(D624&gt;3,D625&lt;=3),C624+(3-D624)*(C625-C624)/(D625-D624),"")</f>
        <v/>
      </c>
    </row>
    <row r="626" spans="1:19" ht="20.100000000000001" customHeight="1">
      <c r="A626" t="s">
        <v>3</v>
      </c>
      <c r="B626">
        <v>281</v>
      </c>
      <c r="C626" s="5">
        <f>('Raw Data'!C281-'Raw Data'!$C$244)/60</f>
        <v>3.0812500000000003</v>
      </c>
      <c r="D626" s="5">
        <f>'Raw Data'!J281</f>
        <v>5.5249300000000003</v>
      </c>
      <c r="E626" s="5">
        <f>$D$589-D626</f>
        <v>1.7373199999999995</v>
      </c>
      <c r="F626" s="8">
        <f>10^(-D626)</f>
        <v>2.9858638445251797E-6</v>
      </c>
      <c r="G626" s="5">
        <f>(D626-D625)/(C626-C625)</f>
        <v>-0.76139999999999741</v>
      </c>
      <c r="H626" s="5">
        <f>$C$9+$C$10*EXP(-$C$11*C626)</f>
        <v>5.3221803763456128</v>
      </c>
      <c r="I626" s="5">
        <f>D626-H626</f>
        <v>0.20274962365438753</v>
      </c>
      <c r="J626" s="5">
        <f t="shared" si="16"/>
        <v>4.110740989199578E-2</v>
      </c>
      <c r="K626" s="5">
        <f>$C$17+$C$16*C626</f>
        <v>5.2884207185619889</v>
      </c>
      <c r="L626" s="5">
        <f>(D626-K626)^2</f>
        <v>5.5936640206324495E-2</v>
      </c>
      <c r="M626" s="5">
        <f>$C$40+$C$41*EXP(-$C$42*C626)</f>
        <v>0</v>
      </c>
      <c r="N626" s="5">
        <f>(D626-M626)^2</f>
        <v>30.524851504900003</v>
      </c>
      <c r="O626" s="5">
        <f>(C626+C625)/2</f>
        <v>3.0395833333333337</v>
      </c>
      <c r="P626" s="5" t="str">
        <f>IF(AND(D625&gt;6,D626&lt;=6),C625+(6-D625)*(C626-C625)/(D626-D625),"")</f>
        <v/>
      </c>
      <c r="Q626" s="5" t="str">
        <f>IF(AND(D625&gt;5,D626&lt;=5),C625+(5-D625)*(C626-C625)/(D626-D625),"")</f>
        <v/>
      </c>
      <c r="R626" s="5" t="str">
        <f>IF(AND(D625&gt;4,D626&lt;=4),C625+(4-D625)*(C626-C625)/(D626-D625),"")</f>
        <v/>
      </c>
      <c r="S626" s="5" t="str">
        <f>IF(AND(D625&gt;3,D626&lt;=3),C625+(3-D625)*(C626-C625)/(D626-D625),"")</f>
        <v/>
      </c>
    </row>
    <row r="627" spans="1:19" ht="20.100000000000001" customHeight="1">
      <c r="A627" t="s">
        <v>3</v>
      </c>
      <c r="B627">
        <v>282</v>
      </c>
      <c r="C627" s="5">
        <f>('Raw Data'!C282-'Raw Data'!$C$244)/60</f>
        <v>3.1645833333333337</v>
      </c>
      <c r="D627" s="5">
        <f>'Raw Data'!J282</f>
        <v>5.4626400000000004</v>
      </c>
      <c r="E627" s="5">
        <f>$D$589-D627</f>
        <v>1.7996099999999995</v>
      </c>
      <c r="F627" s="8">
        <f>10^(-D627)</f>
        <v>3.4463549130817412E-6</v>
      </c>
      <c r="G627" s="5">
        <f>(D627-D626)/(C627-C626)</f>
        <v>-0.74747999999999815</v>
      </c>
      <c r="H627" s="5">
        <f>$C$9+$C$10*EXP(-$C$11*C627)</f>
        <v>5.2807158520363116</v>
      </c>
      <c r="I627" s="5">
        <f>D627-H627</f>
        <v>0.18192414796368883</v>
      </c>
      <c r="J627" s="5">
        <f t="shared" si="16"/>
        <v>3.3096395612314145E-2</v>
      </c>
      <c r="K627" s="5">
        <f>$C$17+$C$16*C627</f>
        <v>5.2759782309113845</v>
      </c>
      <c r="L627" s="5">
        <f>(D627-K627)^2</f>
        <v>3.484261603929175E-2</v>
      </c>
      <c r="M627" s="5">
        <f>$C$40+$C$41*EXP(-$C$42*C627)</f>
        <v>0</v>
      </c>
      <c r="N627" s="5">
        <f>(D627-M627)^2</f>
        <v>29.840435769600003</v>
      </c>
      <c r="O627" s="5">
        <f>(C627+C626)/2</f>
        <v>3.1229166666666668</v>
      </c>
      <c r="P627" s="5" t="str">
        <f>IF(AND(D626&gt;6,D627&lt;=6),C626+(6-D626)*(C627-C626)/(D627-D626),"")</f>
        <v/>
      </c>
      <c r="Q627" s="5" t="str">
        <f>IF(AND(D626&gt;5,D627&lt;=5),C626+(5-D626)*(C627-C626)/(D627-D626),"")</f>
        <v/>
      </c>
      <c r="R627" s="5" t="str">
        <f>IF(AND(D626&gt;4,D627&lt;=4),C626+(4-D626)*(C627-C626)/(D627-D626),"")</f>
        <v/>
      </c>
      <c r="S627" s="5" t="str">
        <f>IF(AND(D626&gt;3,D627&lt;=3),C626+(3-D626)*(C627-C626)/(D627-D626),"")</f>
        <v/>
      </c>
    </row>
    <row r="628" spans="1:19" ht="20.100000000000001" customHeight="1">
      <c r="A628" t="s">
        <v>3</v>
      </c>
      <c r="B628">
        <v>283</v>
      </c>
      <c r="C628" s="5">
        <f>('Raw Data'!C283-'Raw Data'!$C$244)/60</f>
        <v>3.2476500000000672</v>
      </c>
      <c r="D628" s="5">
        <f>'Raw Data'!J283</f>
        <v>5.4003399999999999</v>
      </c>
      <c r="E628" s="5">
        <f>$D$589-D628</f>
        <v>1.86191</v>
      </c>
      <c r="F628" s="8">
        <f>10^(-D628)</f>
        <v>3.9779562280514131E-6</v>
      </c>
      <c r="G628" s="5">
        <f>(D628-D627)/(C628-C627)</f>
        <v>-0.74999999999940259</v>
      </c>
      <c r="H628" s="5">
        <f>$C$9+$C$10*EXP(-$C$11*C628)</f>
        <v>5.2402985298557905</v>
      </c>
      <c r="I628" s="5">
        <f>D628-H628</f>
        <v>0.16004147014420944</v>
      </c>
      <c r="J628" s="5">
        <f t="shared" si="16"/>
        <v>2.5613272165919881E-2</v>
      </c>
      <c r="K628" s="5">
        <f>$C$17+$C$16*C628</f>
        <v>5.263575559221251</v>
      </c>
      <c r="L628" s="5">
        <f>(D628-K628)^2</f>
        <v>1.8704512261523927E-2</v>
      </c>
      <c r="M628" s="5">
        <f>$C$40+$C$41*EXP(-$C$42*C628)</f>
        <v>0</v>
      </c>
      <c r="N628" s="5">
        <f>(D628-M628)^2</f>
        <v>29.163672115600001</v>
      </c>
      <c r="O628" s="5">
        <f>(C628+C627)/2</f>
        <v>3.2061166666667003</v>
      </c>
      <c r="P628" s="5" t="str">
        <f>IF(AND(D627&gt;6,D628&lt;=6),C627+(6-D627)*(C628-C627)/(D628-D627),"")</f>
        <v/>
      </c>
      <c r="Q628" s="5" t="str">
        <f>IF(AND(D627&gt;5,D628&lt;=5),C627+(5-D627)*(C628-C627)/(D628-D627),"")</f>
        <v/>
      </c>
      <c r="R628" s="5" t="str">
        <f>IF(AND(D627&gt;4,D628&lt;=4),C627+(4-D627)*(C628-C627)/(D628-D627),"")</f>
        <v/>
      </c>
      <c r="S628" s="5" t="str">
        <f>IF(AND(D627&gt;3,D628&lt;=3),C627+(3-D627)*(C628-C627)/(D628-D627),"")</f>
        <v/>
      </c>
    </row>
    <row r="629" spans="1:19" ht="20.100000000000001" customHeight="1">
      <c r="A629" t="s">
        <v>3</v>
      </c>
      <c r="B629">
        <v>284</v>
      </c>
      <c r="C629" s="5">
        <f>('Raw Data'!C284-'Raw Data'!$C$244)/60</f>
        <v>3.3312500000000003</v>
      </c>
      <c r="D629" s="5">
        <f>'Raw Data'!J284</f>
        <v>5.3426600000000004</v>
      </c>
      <c r="E629" s="5">
        <f>$D$589-D629</f>
        <v>1.9195899999999995</v>
      </c>
      <c r="F629" s="8">
        <f>10^(-D629)</f>
        <v>4.5429713712464857E-6</v>
      </c>
      <c r="G629" s="5">
        <f>(D629-D628)/(C629-C628)</f>
        <v>-0.68995215311059443</v>
      </c>
      <c r="H629" s="5">
        <f>$C$9+$C$10*EXP(-$C$11*C629)</f>
        <v>5.2005231393565756</v>
      </c>
      <c r="I629" s="5">
        <f>D629-H629</f>
        <v>0.14213686064342479</v>
      </c>
      <c r="J629" s="5">
        <f t="shared" si="16"/>
        <v>2.0202887153568359E-2</v>
      </c>
      <c r="K629" s="5">
        <f>$C$17+$C$16*C629</f>
        <v>5.2510932556101739</v>
      </c>
      <c r="L629" s="5">
        <f>(D629-K629)^2</f>
        <v>8.3844686781518202E-3</v>
      </c>
      <c r="M629" s="5">
        <f>$C$40+$C$41*EXP(-$C$42*C629)</f>
        <v>0</v>
      </c>
      <c r="N629" s="5">
        <f>(D629-M629)^2</f>
        <v>28.544015875600003</v>
      </c>
      <c r="O629" s="5">
        <f>(C629+C628)/2</f>
        <v>3.2894500000000337</v>
      </c>
      <c r="P629" s="5" t="str">
        <f>IF(AND(D628&gt;6,D629&lt;=6),C628+(6-D628)*(C629-C628)/(D629-D628),"")</f>
        <v/>
      </c>
      <c r="Q629" s="5" t="str">
        <f>IF(AND(D628&gt;5,D629&lt;=5),C628+(5-D628)*(C629-C628)/(D629-D628),"")</f>
        <v/>
      </c>
      <c r="R629" s="5" t="str">
        <f>IF(AND(D628&gt;4,D629&lt;=4),C628+(4-D628)*(C629-C628)/(D629-D628),"")</f>
        <v/>
      </c>
      <c r="S629" s="5" t="str">
        <f>IF(AND(D628&gt;3,D629&lt;=3),C628+(3-D628)*(C629-C628)/(D629-D628),"")</f>
        <v/>
      </c>
    </row>
    <row r="630" spans="1:19" ht="20.100000000000001" customHeight="1">
      <c r="A630" t="s">
        <v>3</v>
      </c>
      <c r="B630">
        <v>285</v>
      </c>
      <c r="C630" s="5">
        <f>('Raw Data'!C285-'Raw Data'!$C$244)/60</f>
        <v>3.4143166666667342</v>
      </c>
      <c r="D630" s="5">
        <f>'Raw Data'!J285</f>
        <v>5.27921</v>
      </c>
      <c r="E630" s="5">
        <f>$D$589-D630</f>
        <v>1.9830399999999999</v>
      </c>
      <c r="F630" s="8">
        <f>10^(-D630)</f>
        <v>5.2576297597740597E-6</v>
      </c>
      <c r="G630" s="5">
        <f>(D630-D629)/(C630-C629)</f>
        <v>-0.76384430176503726</v>
      </c>
      <c r="H630" s="5">
        <f>$C$9+$C$10*EXP(-$C$11*C630)</f>
        <v>5.1618773531587197</v>
      </c>
      <c r="I630" s="5">
        <f>D630-H630</f>
        <v>0.11733264684128031</v>
      </c>
      <c r="J630" s="5">
        <f t="shared" si="16"/>
        <v>1.3766950014780606E-2</v>
      </c>
      <c r="K630" s="5">
        <f>$C$17+$C$16*C630</f>
        <v>5.2386905839200404</v>
      </c>
      <c r="L630" s="5">
        <f>(D630-K630)^2</f>
        <v>1.6418230794608862E-3</v>
      </c>
      <c r="M630" s="5">
        <f>$C$40+$C$41*EXP(-$C$42*C630)</f>
        <v>0</v>
      </c>
      <c r="N630" s="5">
        <f>(D630-M630)^2</f>
        <v>27.870058224099999</v>
      </c>
      <c r="O630" s="5">
        <f>(C630+C629)/2</f>
        <v>3.3727833333333672</v>
      </c>
      <c r="P630" s="5" t="str">
        <f>IF(AND(D629&gt;6,D630&lt;=6),C629+(6-D629)*(C630-C629)/(D630-D629),"")</f>
        <v/>
      </c>
      <c r="Q630" s="5" t="str">
        <f>IF(AND(D629&gt;5,D630&lt;=5),C629+(5-D629)*(C630-C629)/(D630-D629),"")</f>
        <v/>
      </c>
      <c r="R630" s="5" t="str">
        <f>IF(AND(D629&gt;4,D630&lt;=4),C629+(4-D629)*(C630-C629)/(D630-D629),"")</f>
        <v/>
      </c>
      <c r="S630" s="5" t="str">
        <f>IF(AND(D629&gt;3,D630&lt;=3),C629+(3-D629)*(C630-C629)/(D630-D629),"")</f>
        <v/>
      </c>
    </row>
    <row r="631" spans="1:19" ht="20.100000000000001" customHeight="1">
      <c r="A631" t="s">
        <v>3</v>
      </c>
      <c r="B631">
        <v>286</v>
      </c>
      <c r="C631" s="5">
        <f>('Raw Data'!C286-'Raw Data'!$C$244)/60</f>
        <v>3.4976500000000672</v>
      </c>
      <c r="D631" s="5">
        <f>'Raw Data'!J286</f>
        <v>5.2146100000000004</v>
      </c>
      <c r="E631" s="5">
        <f>$D$589-D631</f>
        <v>2.0476399999999995</v>
      </c>
      <c r="F631" s="8">
        <f>10^(-D631)</f>
        <v>6.1008451220828323E-6</v>
      </c>
      <c r="G631" s="5">
        <f>(D631-D630)/(C631-C630)</f>
        <v>-0.77519999999999734</v>
      </c>
      <c r="H631" s="5">
        <f>$C$9+$C$10*EXP(-$C$11*C631)</f>
        <v>5.1239653219461481</v>
      </c>
      <c r="I631" s="5">
        <f>D631-H631</f>
        <v>9.0644678053852346E-2</v>
      </c>
      <c r="J631" s="5">
        <f t="shared" si="16"/>
        <v>8.2164576594865417E-3</v>
      </c>
      <c r="K631" s="5">
        <f>$C$17+$C$16*C631</f>
        <v>5.2262480962694351</v>
      </c>
      <c r="L631" s="5">
        <f>(D631-K631)^2</f>
        <v>1.3544528477662948E-4</v>
      </c>
      <c r="M631" s="5">
        <f>$C$40+$C$41*EXP(-$C$42*C631)</f>
        <v>0</v>
      </c>
      <c r="N631" s="5">
        <f>(D631-M631)^2</f>
        <v>27.192157452100005</v>
      </c>
      <c r="O631" s="5">
        <f>(C631+C630)/2</f>
        <v>3.4559833333334007</v>
      </c>
      <c r="P631" s="5" t="str">
        <f>IF(AND(D630&gt;6,D631&lt;=6),C630+(6-D630)*(C631-C630)/(D631-D630),"")</f>
        <v/>
      </c>
      <c r="Q631" s="5" t="str">
        <f>IF(AND(D630&gt;5,D631&lt;=5),C630+(5-D630)*(C631-C630)/(D631-D630),"")</f>
        <v/>
      </c>
      <c r="R631" s="5" t="str">
        <f>IF(AND(D630&gt;4,D631&lt;=4),C630+(4-D630)*(C631-C630)/(D631-D630),"")</f>
        <v/>
      </c>
      <c r="S631" s="5" t="str">
        <f>IF(AND(D630&gt;3,D631&lt;=3),C630+(3-D630)*(C631-C630)/(D631-D630),"")</f>
        <v/>
      </c>
    </row>
    <row r="632" spans="1:19" ht="20.100000000000001" customHeight="1">
      <c r="A632" t="s">
        <v>3</v>
      </c>
      <c r="B632">
        <v>287</v>
      </c>
      <c r="C632" s="5">
        <f>('Raw Data'!C287-'Raw Data'!$C$244)/60</f>
        <v>3.5809833333334007</v>
      </c>
      <c r="D632" s="5">
        <f>'Raw Data'!J287</f>
        <v>5.15463</v>
      </c>
      <c r="E632" s="5">
        <f>$D$589-D632</f>
        <v>2.1076199999999998</v>
      </c>
      <c r="F632" s="8">
        <f>10^(-D632)</f>
        <v>7.0043848498407664E-6</v>
      </c>
      <c r="G632" s="5">
        <f>(D632-D631)/(C632-C631)</f>
        <v>-0.71976000000000306</v>
      </c>
      <c r="H632" s="5">
        <f>$C$9+$C$10*EXP(-$C$11*C632)</f>
        <v>5.0868934634669918</v>
      </c>
      <c r="I632" s="5">
        <f>D632-H632</f>
        <v>6.7736536533008262E-2</v>
      </c>
      <c r="J632" s="5">
        <f t="shared" si="16"/>
        <v>4.5882383814875626E-3</v>
      </c>
      <c r="K632" s="5">
        <f>$C$17+$C$16*C632</f>
        <v>5.2138056086188298</v>
      </c>
      <c r="L632" s="5">
        <f>(D632-K632)^2</f>
        <v>3.5017526554089184E-3</v>
      </c>
      <c r="M632" s="5">
        <f>$C$40+$C$41*EXP(-$C$42*C632)</f>
        <v>0</v>
      </c>
      <c r="N632" s="5">
        <f>(D632-M632)^2</f>
        <v>26.570210436900002</v>
      </c>
      <c r="O632" s="5">
        <f>(C632+C631)/2</f>
        <v>3.5393166666667337</v>
      </c>
      <c r="P632" s="5" t="str">
        <f>IF(AND(D631&gt;6,D632&lt;=6),C631+(6-D631)*(C632-C631)/(D632-D631),"")</f>
        <v/>
      </c>
      <c r="Q632" s="5" t="str">
        <f>IF(AND(D631&gt;5,D632&lt;=5),C631+(5-D631)*(C632-C631)/(D632-D631),"")</f>
        <v/>
      </c>
      <c r="R632" s="5" t="str">
        <f>IF(AND(D631&gt;4,D632&lt;=4),C631+(4-D631)*(C632-C631)/(D632-D631),"")</f>
        <v/>
      </c>
      <c r="S632" s="5" t="str">
        <f>IF(AND(D631&gt;3,D632&lt;=3),C631+(3-D631)*(C632-C631)/(D632-D631),"")</f>
        <v/>
      </c>
    </row>
    <row r="633" spans="1:19" ht="20.100000000000001" customHeight="1">
      <c r="A633" t="s">
        <v>3</v>
      </c>
      <c r="B633">
        <v>288</v>
      </c>
      <c r="C633" s="5">
        <f>('Raw Data'!C288-'Raw Data'!$C$244)/60</f>
        <v>3.6643166666667342</v>
      </c>
      <c r="D633" s="5">
        <f>'Raw Data'!J288</f>
        <v>5.0980999999999996</v>
      </c>
      <c r="E633" s="5">
        <f>$D$589-D633</f>
        <v>2.1641500000000002</v>
      </c>
      <c r="F633" s="8">
        <f>10^(-D633)</f>
        <v>7.978109633536667E-6</v>
      </c>
      <c r="G633" s="5">
        <f>(D633-D632)/(C633-C632)</f>
        <v>-0.67836000000000374</v>
      </c>
      <c r="H633" s="5">
        <f>$C$9+$C$10*EXP(-$C$11*C633)</f>
        <v>5.050643158560014</v>
      </c>
      <c r="I633" s="5">
        <f>D633-H633</f>
        <v>4.7456841439985631E-2</v>
      </c>
      <c r="J633" s="5">
        <f t="shared" si="16"/>
        <v>2.2521517994599375E-3</v>
      </c>
      <c r="K633" s="5">
        <f>$C$17+$C$16*C633</f>
        <v>5.2013631209682245</v>
      </c>
      <c r="L633" s="5">
        <f>(D633-K633)^2</f>
        <v>1.0663272152098243E-2</v>
      </c>
      <c r="M633" s="5">
        <f>$C$40+$C$41*EXP(-$C$42*C633)</f>
        <v>0</v>
      </c>
      <c r="N633" s="5">
        <f>(D633-M633)^2</f>
        <v>25.990623609999997</v>
      </c>
      <c r="O633" s="5">
        <f>(C633+C632)/2</f>
        <v>3.6226500000000676</v>
      </c>
      <c r="P633" s="5" t="str">
        <f>IF(AND(D632&gt;6,D633&lt;=6),C632+(6-D632)*(C633-C632)/(D633-D632),"")</f>
        <v/>
      </c>
      <c r="Q633" s="5" t="str">
        <f>IF(AND(D632&gt;5,D633&lt;=5),C632+(5-D632)*(C633-C632)/(D633-D632),"")</f>
        <v/>
      </c>
      <c r="R633" s="5" t="str">
        <f>IF(AND(D632&gt;4,D633&lt;=4),C632+(4-D632)*(C633-C632)/(D633-D632),"")</f>
        <v/>
      </c>
      <c r="S633" s="5" t="str">
        <f>IF(AND(D632&gt;3,D633&lt;=3),C632+(3-D632)*(C633-C632)/(D633-D632),"")</f>
        <v/>
      </c>
    </row>
    <row r="634" spans="1:19" ht="20.100000000000001" customHeight="1">
      <c r="A634" t="s">
        <v>3</v>
      </c>
      <c r="B634">
        <v>289</v>
      </c>
      <c r="C634" s="5">
        <f>('Raw Data'!C289-'Raw Data'!$C$244)/60</f>
        <v>3.7474000000000771</v>
      </c>
      <c r="D634" s="5">
        <f>'Raw Data'!J289</f>
        <v>5.0438799999999997</v>
      </c>
      <c r="E634" s="5">
        <f>$D$589-D634</f>
        <v>2.2183700000000002</v>
      </c>
      <c r="F634" s="8">
        <f>10^(-D634)</f>
        <v>9.0389919579798991E-6</v>
      </c>
      <c r="G634" s="5">
        <f>(D634-D633)/(C634-C633)</f>
        <v>-0.65259779338006418</v>
      </c>
      <c r="H634" s="5">
        <f>$C$9+$C$10*EXP(-$C$11*C634)</f>
        <v>5.0153013579758081</v>
      </c>
      <c r="I634" s="5">
        <f>D634-H634</f>
        <v>2.8578642024191581E-2</v>
      </c>
      <c r="J634" s="5">
        <f t="shared" si="16"/>
        <v>8.167387799468891E-4</v>
      </c>
      <c r="K634" s="5">
        <f>$C$17+$C$16*C634</f>
        <v>5.1889579607805691</v>
      </c>
      <c r="L634" s="5">
        <f>(D634-K634)^2</f>
        <v>2.1047614704248447E-2</v>
      </c>
      <c r="M634" s="5">
        <f>$C$40+$C$41*EXP(-$C$42*C634)</f>
        <v>0</v>
      </c>
      <c r="N634" s="5">
        <f>(D634-M634)^2</f>
        <v>25.440725454399995</v>
      </c>
      <c r="O634" s="5">
        <f>(C634+C633)/2</f>
        <v>3.7058583333334054</v>
      </c>
      <c r="P634" s="5" t="str">
        <f>IF(AND(D633&gt;6,D634&lt;=6),C633+(6-D633)*(C634-C633)/(D634-D633),"")</f>
        <v/>
      </c>
      <c r="Q634" s="5" t="str">
        <f>IF(AND(D633&gt;5,D634&lt;=5),C633+(5-D633)*(C634-C633)/(D634-D633),"")</f>
        <v/>
      </c>
      <c r="R634" s="5" t="str">
        <f>IF(AND(D633&gt;4,D634&lt;=4),C633+(4-D633)*(C634-C633)/(D634-D633),"")</f>
        <v/>
      </c>
      <c r="S634" s="5" t="str">
        <f>IF(AND(D633&gt;3,D634&lt;=3),C633+(3-D633)*(C634-C633)/(D634-D633),"")</f>
        <v/>
      </c>
    </row>
    <row r="635" spans="1:19" ht="20.100000000000001" customHeight="1">
      <c r="A635" t="s">
        <v>3</v>
      </c>
      <c r="B635">
        <v>290</v>
      </c>
      <c r="C635" s="5">
        <f>('Raw Data'!C290-'Raw Data'!$C$244)/60</f>
        <v>3.8309833333334007</v>
      </c>
      <c r="D635" s="5">
        <f>'Raw Data'!J290</f>
        <v>4.9781300000000002</v>
      </c>
      <c r="E635" s="5">
        <f>$D$589-D635</f>
        <v>2.2841199999999997</v>
      </c>
      <c r="F635" s="8">
        <f>10^(-D635)</f>
        <v>1.0516470308227258E-5</v>
      </c>
      <c r="G635" s="5">
        <f>(D635-D634)/(C635-C634)</f>
        <v>-0.78664007976080408</v>
      </c>
      <c r="H635" s="5">
        <f>$C$9+$C$10*EXP(-$C$11*C635)</f>
        <v>4.9805347867799954</v>
      </c>
      <c r="I635" s="5">
        <f>D635-H635</f>
        <v>-2.4047867799952272E-3</v>
      </c>
      <c r="J635" s="5">
        <f t="shared" si="16"/>
        <v>5.7829994572398132E-6</v>
      </c>
      <c r="K635" s="5">
        <f>$C$17+$C$16*C635</f>
        <v>5.1764781456670139</v>
      </c>
      <c r="L635" s="5">
        <f>(D635-K635)^2</f>
        <v>3.9341986889542907E-2</v>
      </c>
      <c r="M635" s="5">
        <f>$C$40+$C$41*EXP(-$C$42*C635)</f>
        <v>0</v>
      </c>
      <c r="N635" s="5">
        <f>(D635-M635)^2</f>
        <v>24.781778296900001</v>
      </c>
      <c r="O635" s="5">
        <f>(C635+C634)/2</f>
        <v>3.7891916666667389</v>
      </c>
      <c r="P635" s="5" t="str">
        <f>IF(AND(D634&gt;6,D635&lt;=6),C634+(6-D634)*(C635-C634)/(D635-D634),"")</f>
        <v/>
      </c>
      <c r="Q635" s="5">
        <f>IF(AND(D634&gt;5,D635&lt;=5),C634+(5-D634)*(C635-C634)/(D635-D634),"")</f>
        <v>3.8031815462611607</v>
      </c>
      <c r="R635" s="5" t="str">
        <f>IF(AND(D634&gt;4,D635&lt;=4),C634+(4-D634)*(C635-C634)/(D635-D634),"")</f>
        <v/>
      </c>
      <c r="S635" s="5" t="str">
        <f>IF(AND(D634&gt;3,D635&lt;=3),C634+(3-D634)*(C635-C634)/(D635-D634),"")</f>
        <v/>
      </c>
    </row>
    <row r="636" spans="1:19" ht="20.100000000000001" customHeight="1">
      <c r="A636" t="s">
        <v>3</v>
      </c>
      <c r="B636">
        <v>291</v>
      </c>
      <c r="C636" s="5">
        <f>('Raw Data'!C291-'Raw Data'!$C$244)/60</f>
        <v>3.9140666666667436</v>
      </c>
      <c r="D636" s="5">
        <f>'Raw Data'!J291</f>
        <v>4.9273699999999998</v>
      </c>
      <c r="E636" s="5">
        <f>$D$589-D636</f>
        <v>2.3348800000000001</v>
      </c>
      <c r="F636" s="8">
        <f>10^(-D636)</f>
        <v>1.1820340850219777E-5</v>
      </c>
      <c r="G636" s="5">
        <f>(D636-D635)/(C636-C635)</f>
        <v>-0.61095285857566084</v>
      </c>
      <c r="H636" s="5">
        <f>$C$9+$C$10*EXP(-$C$11*C636)</f>
        <v>4.9467420564470919</v>
      </c>
      <c r="I636" s="5">
        <f>D636-H636</f>
        <v>-1.9372056447092056E-2</v>
      </c>
      <c r="J636" s="5">
        <f t="shared" si="16"/>
        <v>3.7527657098932089E-4</v>
      </c>
      <c r="K636" s="5">
        <f>$C$17+$C$16*C636</f>
        <v>5.1640729854793586</v>
      </c>
      <c r="L636" s="5">
        <f>(D636-K636)^2</f>
        <v>5.6028303334841517E-2</v>
      </c>
      <c r="M636" s="5">
        <f>$C$40+$C$41*EXP(-$C$42*C636)</f>
        <v>0</v>
      </c>
      <c r="N636" s="5">
        <f>(D636-M636)^2</f>
        <v>24.278975116899996</v>
      </c>
      <c r="O636" s="5">
        <f>(C636+C635)/2</f>
        <v>3.8725250000000724</v>
      </c>
      <c r="P636" s="5" t="str">
        <f>IF(AND(D635&gt;6,D636&lt;=6),C635+(6-D635)*(C636-C635)/(D636-D635),"")</f>
        <v/>
      </c>
      <c r="Q636" s="5" t="str">
        <f>IF(AND(D635&gt;5,D636&lt;=5),C635+(5-D635)*(C636-C635)/(D636-D635),"")</f>
        <v/>
      </c>
      <c r="R636" s="5" t="str">
        <f>IF(AND(D635&gt;4,D636&lt;=4),C635+(4-D635)*(C636-C635)/(D636-D635),"")</f>
        <v/>
      </c>
      <c r="S636" s="5" t="str">
        <f>IF(AND(D635&gt;3,D636&lt;=3),C635+(3-D635)*(C636-C635)/(D636-D635),"")</f>
        <v/>
      </c>
    </row>
    <row r="637" spans="1:19" ht="20.100000000000001" customHeight="1">
      <c r="A637" t="s">
        <v>3</v>
      </c>
      <c r="B637">
        <v>292</v>
      </c>
      <c r="C637" s="5">
        <f>('Raw Data'!C292-'Raw Data'!$C$244)/60</f>
        <v>3.9971333333333559</v>
      </c>
      <c r="D637" s="5">
        <f>'Raw Data'!J292</f>
        <v>4.8708400000000003</v>
      </c>
      <c r="E637" s="5">
        <f>$D$589-D637</f>
        <v>2.3914099999999996</v>
      </c>
      <c r="F637" s="8">
        <f>10^(-D637)</f>
        <v>1.3463562786811885E-5</v>
      </c>
      <c r="G637" s="5">
        <f>(D637-D636)/(C637-C636)</f>
        <v>-0.68053772070670038</v>
      </c>
      <c r="H637" s="5">
        <f>$C$9+$C$10*EXP(-$C$11*C637)</f>
        <v>4.9137025442493858</v>
      </c>
      <c r="I637" s="5">
        <f>D637-H637</f>
        <v>-4.2862544249385515E-2</v>
      </c>
      <c r="J637" s="5">
        <f t="shared" si="16"/>
        <v>1.8371976995305312E-3</v>
      </c>
      <c r="K637" s="5">
        <f>$C$17+$C$16*C637</f>
        <v>5.1516703137892437</v>
      </c>
      <c r="L637" s="5">
        <f>(D637-K637)^2</f>
        <v>7.8865665142964905E-2</v>
      </c>
      <c r="M637" s="5">
        <f>$C$40+$C$41*EXP(-$C$42*C637)</f>
        <v>0</v>
      </c>
      <c r="N637" s="5">
        <f>(D637-M637)^2</f>
        <v>23.725082305600004</v>
      </c>
      <c r="O637" s="5">
        <f>(C637+C636)/2</f>
        <v>3.9556000000000497</v>
      </c>
      <c r="P637" s="5" t="str">
        <f>IF(AND(D636&gt;6,D637&lt;=6),C636+(6-D636)*(C637-C636)/(D637-D636),"")</f>
        <v/>
      </c>
      <c r="Q637" s="5" t="str">
        <f>IF(AND(D636&gt;5,D637&lt;=5),C636+(5-D636)*(C637-C636)/(D637-D636),"")</f>
        <v/>
      </c>
      <c r="R637" s="5" t="str">
        <f>IF(AND(D636&gt;4,D637&lt;=4),C636+(4-D636)*(C637-C636)/(D637-D636),"")</f>
        <v/>
      </c>
      <c r="S637" s="5" t="str">
        <f>IF(AND(D636&gt;3,D637&lt;=3),C636+(3-D636)*(C637-C636)/(D637-D636),"")</f>
        <v/>
      </c>
    </row>
    <row r="638" spans="1:19" ht="20.100000000000001" customHeight="1">
      <c r="A638" t="s">
        <v>3</v>
      </c>
      <c r="B638">
        <v>293</v>
      </c>
      <c r="C638" s="5">
        <f>('Raw Data'!C293-'Raw Data'!$C$244)/60</f>
        <v>4.0804666666666893</v>
      </c>
      <c r="D638" s="5">
        <f>'Raw Data'!J293</f>
        <v>4.8293100000000004</v>
      </c>
      <c r="E638" s="5">
        <f>$D$589-D638</f>
        <v>2.4329399999999994</v>
      </c>
      <c r="F638" s="8">
        <f>10^(-D638)</f>
        <v>1.4814602392834685E-5</v>
      </c>
      <c r="G638" s="5">
        <f>(D638-D637)/(C638-C637)</f>
        <v>-0.49835999999999725</v>
      </c>
      <c r="H638" s="5">
        <f>$C$9+$C$10*EXP(-$C$11*C638)</f>
        <v>4.8812903425341325</v>
      </c>
      <c r="I638" s="5">
        <f>D638-H638</f>
        <v>-5.1980342534132085E-2</v>
      </c>
      <c r="J638" s="5">
        <f t="shared" si="16"/>
        <v>2.7019560099657012E-3</v>
      </c>
      <c r="K638" s="5">
        <f>$C$17+$C$16*C638</f>
        <v>5.1392278261386384</v>
      </c>
      <c r="L638" s="5">
        <f>(D638-K638)^2</f>
        <v>9.6049058958499009E-2</v>
      </c>
      <c r="M638" s="5">
        <f>$C$40+$C$41*EXP(-$C$42*C638)</f>
        <v>0</v>
      </c>
      <c r="N638" s="5">
        <f>(D638-M638)^2</f>
        <v>23.322235076100004</v>
      </c>
      <c r="O638" s="5">
        <f>(C638+C637)/2</f>
        <v>4.0388000000000224</v>
      </c>
      <c r="P638" s="5" t="str">
        <f>IF(AND(D637&gt;6,D638&lt;=6),C637+(6-D637)*(C638-C637)/(D638-D637),"")</f>
        <v/>
      </c>
      <c r="Q638" s="5" t="str">
        <f>IF(AND(D637&gt;5,D638&lt;=5),C637+(5-D637)*(C638-C637)/(D638-D637),"")</f>
        <v/>
      </c>
      <c r="R638" s="5" t="str">
        <f>IF(AND(D637&gt;4,D638&lt;=4),C637+(4-D637)*(C638-C637)/(D638-D637),"")</f>
        <v/>
      </c>
      <c r="S638" s="5" t="str">
        <f>IF(AND(D637&gt;3,D638&lt;=3),C637+(3-D637)*(C638-C637)/(D638-D637),"")</f>
        <v/>
      </c>
    </row>
    <row r="639" spans="1:19" ht="20.100000000000001" customHeight="1">
      <c r="A639" t="s">
        <v>3</v>
      </c>
      <c r="B639">
        <v>294</v>
      </c>
      <c r="C639" s="5">
        <f>('Raw Data'!C294-'Raw Data'!$C$244)/60</f>
        <v>4.1638000000000224</v>
      </c>
      <c r="D639" s="5">
        <f>'Raw Data'!J294</f>
        <v>4.7727899999999996</v>
      </c>
      <c r="E639" s="5">
        <f>$D$589-D639</f>
        <v>2.4894600000000002</v>
      </c>
      <c r="F639" s="8">
        <f>10^(-D639)</f>
        <v>1.6873687432796413E-5</v>
      </c>
      <c r="G639" s="5">
        <f>(D639-D638)/(C639-C638)</f>
        <v>-0.67824000000001194</v>
      </c>
      <c r="H639" s="5">
        <f>$C$9+$C$10*EXP(-$C$11*C639)</f>
        <v>4.8495964312201094</v>
      </c>
      <c r="I639" s="5">
        <f>D639-H639</f>
        <v>-7.6806431220109772E-2</v>
      </c>
      <c r="J639" s="5">
        <f t="shared" si="16"/>
        <v>5.899227876769453E-3</v>
      </c>
      <c r="K639" s="5">
        <f>$C$17+$C$16*C639</f>
        <v>5.1267853384880331</v>
      </c>
      <c r="L639" s="5">
        <f>(D639-K639)^2</f>
        <v>0.12531269967125738</v>
      </c>
      <c r="M639" s="5">
        <f>$C$40+$C$41*EXP(-$C$42*C639)</f>
        <v>0</v>
      </c>
      <c r="N639" s="5">
        <f>(D639-M639)^2</f>
        <v>22.779524384099997</v>
      </c>
      <c r="O639" s="5">
        <f>(C639+C638)/2</f>
        <v>4.1221333333333554</v>
      </c>
      <c r="P639" s="5" t="str">
        <f>IF(AND(D638&gt;6,D639&lt;=6),C638+(6-D638)*(C639-C638)/(D639-D638),"")</f>
        <v/>
      </c>
      <c r="Q639" s="5" t="str">
        <f>IF(AND(D638&gt;5,D639&lt;=5),C638+(5-D638)*(C639-C638)/(D639-D638),"")</f>
        <v/>
      </c>
      <c r="R639" s="5" t="str">
        <f>IF(AND(D638&gt;4,D639&lt;=4),C638+(4-D638)*(C639-C638)/(D639-D638),"")</f>
        <v/>
      </c>
      <c r="S639" s="5" t="str">
        <f>IF(AND(D638&gt;3,D639&lt;=3),C638+(3-D638)*(C639-C638)/(D639-D638),"")</f>
        <v/>
      </c>
    </row>
    <row r="640" spans="1:19" ht="20.100000000000001" customHeight="1">
      <c r="A640" t="s">
        <v>3</v>
      </c>
      <c r="B640">
        <v>295</v>
      </c>
      <c r="C640" s="5">
        <f>('Raw Data'!C295-'Raw Data'!$C$244)/60</f>
        <v>4.2471333333333554</v>
      </c>
      <c r="D640" s="5">
        <f>'Raw Data'!J295</f>
        <v>4.7243300000000001</v>
      </c>
      <c r="E640" s="5">
        <f>$D$589-D640</f>
        <v>2.5379199999999997</v>
      </c>
      <c r="F640" s="8">
        <f>10^(-D640)</f>
        <v>1.8865572979564548E-5</v>
      </c>
      <c r="G640" s="5">
        <f>(D640-D639)/(C640-C639)</f>
        <v>-0.58151999999999615</v>
      </c>
      <c r="H640" s="5">
        <f>$C$9+$C$10*EXP(-$C$11*C640)</f>
        <v>4.8186048921939761</v>
      </c>
      <c r="I640" s="5">
        <f>D640-H640</f>
        <v>-9.4274892193976001E-2</v>
      </c>
      <c r="J640" s="5">
        <f t="shared" si="16"/>
        <v>8.8877552981857979E-3</v>
      </c>
      <c r="K640" s="5">
        <f>$C$17+$C$16*C640</f>
        <v>5.1143428508374278</v>
      </c>
      <c r="L640" s="5">
        <f>(D640-K640)^2</f>
        <v>0.15211002381833758</v>
      </c>
      <c r="M640" s="5">
        <f>$C$40+$C$41*EXP(-$C$42*C640)</f>
        <v>0</v>
      </c>
      <c r="N640" s="5">
        <f>(D640-M640)^2</f>
        <v>22.3192939489</v>
      </c>
      <c r="O640" s="5">
        <f>(C640+C639)/2</f>
        <v>4.2054666666666893</v>
      </c>
      <c r="P640" s="5" t="str">
        <f>IF(AND(D639&gt;6,D640&lt;=6),C639+(6-D639)*(C640-C639)/(D640-D639),"")</f>
        <v/>
      </c>
      <c r="Q640" s="5" t="str">
        <f>IF(AND(D639&gt;5,D640&lt;=5),C639+(5-D639)*(C640-C639)/(D640-D639),"")</f>
        <v/>
      </c>
      <c r="R640" s="5" t="str">
        <f>IF(AND(D639&gt;4,D640&lt;=4),C639+(4-D639)*(C640-C639)/(D640-D639),"")</f>
        <v/>
      </c>
      <c r="S640" s="5" t="str">
        <f>IF(AND(D639&gt;3,D640&lt;=3),C639+(3-D639)*(C640-C639)/(D640-D639),"")</f>
        <v/>
      </c>
    </row>
    <row r="641" spans="1:19" ht="20.100000000000001" customHeight="1">
      <c r="A641" t="s">
        <v>3</v>
      </c>
      <c r="B641">
        <v>296</v>
      </c>
      <c r="C641" s="5">
        <f>('Raw Data'!C296-'Raw Data'!$C$244)/60</f>
        <v>4.3302000000000893</v>
      </c>
      <c r="D641" s="5">
        <f>'Raw Data'!J296</f>
        <v>4.6943400000000004</v>
      </c>
      <c r="E641" s="5">
        <f>$D$589-D641</f>
        <v>2.5679099999999995</v>
      </c>
      <c r="F641" s="8">
        <f>10^(-D641)</f>
        <v>2.0214360193769108E-5</v>
      </c>
      <c r="G641" s="5">
        <f>(D641-D640)/(C641-C640)</f>
        <v>-0.36103531300130975</v>
      </c>
      <c r="H641" s="5">
        <f>$C$9+$C$10*EXP(-$C$11*C641)</f>
        <v>4.7883960561213428</v>
      </c>
      <c r="I641" s="5">
        <f>D641-H641</f>
        <v>-9.405605612134238E-2</v>
      </c>
      <c r="J641" s="5">
        <f t="shared" si="16"/>
        <v>8.8465416931011072E-3</v>
      </c>
      <c r="K641" s="5">
        <f>$C$17+$C$16*C641</f>
        <v>5.1019401791472943</v>
      </c>
      <c r="L641" s="5">
        <f>(D641-K641)^2</f>
        <v>0.16613790604090603</v>
      </c>
      <c r="M641" s="5">
        <f>$C$40+$C$41*EXP(-$C$42*C641)</f>
        <v>0</v>
      </c>
      <c r="N641" s="5">
        <f>(D641-M641)^2</f>
        <v>22.036828035600003</v>
      </c>
      <c r="O641" s="5">
        <f>(C641+C640)/2</f>
        <v>4.2886666666667228</v>
      </c>
      <c r="P641" s="5" t="str">
        <f>IF(AND(D640&gt;6,D641&lt;=6),C640+(6-D640)*(C641-C640)/(D641-D640),"")</f>
        <v/>
      </c>
      <c r="Q641" s="5" t="str">
        <f>IF(AND(D640&gt;5,D641&lt;=5),C640+(5-D640)*(C641-C640)/(D641-D640),"")</f>
        <v/>
      </c>
      <c r="R641" s="5" t="str">
        <f>IF(AND(D640&gt;4,D641&lt;=4),C640+(4-D640)*(C641-C640)/(D641-D640),"")</f>
        <v/>
      </c>
      <c r="S641" s="5" t="str">
        <f>IF(AND(D640&gt;3,D641&lt;=3),C640+(3-D640)*(C641-C640)/(D641-D640),"")</f>
        <v/>
      </c>
    </row>
    <row r="642" spans="1:19" ht="20.100000000000001" customHeight="1">
      <c r="A642" t="s">
        <v>3</v>
      </c>
      <c r="B642">
        <v>297</v>
      </c>
      <c r="C642" s="5">
        <f>('Raw Data'!C297-'Raw Data'!$C$244)/60</f>
        <v>4.4138000000000224</v>
      </c>
      <c r="D642" s="5">
        <f>'Raw Data'!J297</f>
        <v>4.6470399999999996</v>
      </c>
      <c r="E642" s="5">
        <f>$D$589-D642</f>
        <v>2.6152100000000003</v>
      </c>
      <c r="F642" s="8">
        <f>10^(-D642)</f>
        <v>2.2540315986092961E-5</v>
      </c>
      <c r="G642" s="5">
        <f>(D642-D641)/(C642-C641)</f>
        <v>-0.56578947368467292</v>
      </c>
      <c r="H642" s="5">
        <f>$C$9+$C$10*EXP(-$C$11*C642)</f>
        <v>4.7586670145497845</v>
      </c>
      <c r="I642" s="5">
        <f>D642-H642</f>
        <v>-0.11162701454978485</v>
      </c>
      <c r="J642" s="5">
        <f t="shared" si="16"/>
        <v>1.2460590377297879E-2</v>
      </c>
      <c r="K642" s="5">
        <f>$C$17+$C$16*C642</f>
        <v>5.0894578755362172</v>
      </c>
      <c r="L642" s="5">
        <f>(D642-K642)^2</f>
        <v>0.19573357659398011</v>
      </c>
      <c r="M642" s="5">
        <f>$C$40+$C$41*EXP(-$C$42*C642)</f>
        <v>0</v>
      </c>
      <c r="N642" s="5">
        <f>(D642-M642)^2</f>
        <v>21.594980761599995</v>
      </c>
      <c r="O642" s="5">
        <f>(C642+C641)/2</f>
        <v>4.3720000000000558</v>
      </c>
      <c r="P642" s="5" t="str">
        <f>IF(AND(D641&gt;6,D642&lt;=6),C641+(6-D641)*(C642-C641)/(D642-D641),"")</f>
        <v/>
      </c>
      <c r="Q642" s="5" t="str">
        <f>IF(AND(D641&gt;5,D642&lt;=5),C641+(5-D641)*(C642-C641)/(D642-D641),"")</f>
        <v/>
      </c>
      <c r="R642" s="5" t="str">
        <f>IF(AND(D641&gt;4,D642&lt;=4),C641+(4-D641)*(C642-C641)/(D642-D641),"")</f>
        <v/>
      </c>
      <c r="S642" s="5" t="str">
        <f>IF(AND(D641&gt;3,D642&lt;=3),C641+(3-D641)*(C642-C641)/(D642-D641),"")</f>
        <v/>
      </c>
    </row>
    <row r="643" spans="1:19" ht="20.100000000000001" customHeight="1">
      <c r="A643" t="s">
        <v>3</v>
      </c>
      <c r="B643">
        <v>298</v>
      </c>
      <c r="C643" s="5">
        <f>('Raw Data'!C298-'Raw Data'!$C$244)/60</f>
        <v>4.4968666666667563</v>
      </c>
      <c r="D643" s="5">
        <f>'Raw Data'!J298</f>
        <v>4.6066700000000003</v>
      </c>
      <c r="E643" s="5">
        <f>$D$589-D643</f>
        <v>2.6555799999999996</v>
      </c>
      <c r="F643" s="8">
        <f>10^(-D643)</f>
        <v>2.4736030059610635E-5</v>
      </c>
      <c r="G643" s="5">
        <f>(D643-D642)/(C643-C642)</f>
        <v>-0.48599518459028901</v>
      </c>
      <c r="H643" s="5">
        <f>$C$9+$C$10*EXP(-$C$11*C643)</f>
        <v>4.7297822652105097</v>
      </c>
      <c r="I643" s="5">
        <f>D643-H643</f>
        <v>-0.12311226521050944</v>
      </c>
      <c r="J643" s="5">
        <f t="shared" si="16"/>
        <v>1.5156629845262814E-2</v>
      </c>
      <c r="K643" s="5">
        <f>$C$17+$C$16*C643</f>
        <v>5.0770552038460837</v>
      </c>
      <c r="L643" s="5">
        <f>(D643-K643)^2</f>
        <v>0.22126223999732142</v>
      </c>
      <c r="M643" s="5">
        <f>$C$40+$C$41*EXP(-$C$42*C643)</f>
        <v>0</v>
      </c>
      <c r="N643" s="5">
        <f>(D643-M643)^2</f>
        <v>21.221408488900003</v>
      </c>
      <c r="O643" s="5">
        <f>(C643+C642)/2</f>
        <v>4.4553333333333889</v>
      </c>
      <c r="P643" s="5" t="str">
        <f>IF(AND(D642&gt;6,D643&lt;=6),C642+(6-D642)*(C643-C642)/(D643-D642),"")</f>
        <v/>
      </c>
      <c r="Q643" s="5" t="str">
        <f>IF(AND(D642&gt;5,D643&lt;=5),C642+(5-D642)*(C643-C642)/(D643-D642),"")</f>
        <v/>
      </c>
      <c r="R643" s="5" t="str">
        <f>IF(AND(D642&gt;4,D643&lt;=4),C642+(4-D642)*(C643-C642)/(D643-D642),"")</f>
        <v/>
      </c>
      <c r="S643" s="5" t="str">
        <f>IF(AND(D642&gt;3,D643&lt;=3),C642+(3-D642)*(C643-C642)/(D643-D642),"")</f>
        <v/>
      </c>
    </row>
    <row r="644" spans="1:19" ht="20.100000000000001" customHeight="1">
      <c r="A644" t="s">
        <v>3</v>
      </c>
      <c r="B644">
        <v>299</v>
      </c>
      <c r="C644" s="5">
        <f>('Raw Data'!C299-'Raw Data'!$C$244)/60</f>
        <v>4.5802000000000893</v>
      </c>
      <c r="D644" s="5">
        <f>'Raw Data'!J299</f>
        <v>4.5662900000000004</v>
      </c>
      <c r="E644" s="5">
        <f>$D$589-D644</f>
        <v>2.6959599999999995</v>
      </c>
      <c r="F644" s="8">
        <f>10^(-D644)</f>
        <v>2.7146259728760787E-5</v>
      </c>
      <c r="G644" s="5">
        <f>(D644-D643)/(C644-C643)</f>
        <v>-0.48456000000000005</v>
      </c>
      <c r="H644" s="5">
        <f>$C$9+$C$10*EXP(-$C$11*C644)</f>
        <v>4.7014459412213592</v>
      </c>
      <c r="I644" s="5">
        <f>D644-H644</f>
        <v>-0.13515594122135877</v>
      </c>
      <c r="J644" s="5">
        <f t="shared" si="16"/>
        <v>1.8267128447431384E-2</v>
      </c>
      <c r="K644" s="5">
        <f>$C$17+$C$16*C644</f>
        <v>5.0646127161954784</v>
      </c>
      <c r="L644" s="5">
        <f>(D644-K644)^2</f>
        <v>0.24832552947643888</v>
      </c>
      <c r="M644" s="5">
        <f>$C$40+$C$41*EXP(-$C$42*C644)</f>
        <v>0</v>
      </c>
      <c r="N644" s="5">
        <f>(D644-M644)^2</f>
        <v>20.851004364100003</v>
      </c>
      <c r="O644" s="5">
        <f>(C644+C643)/2</f>
        <v>4.5385333333334223</v>
      </c>
      <c r="P644" s="5" t="str">
        <f>IF(AND(D643&gt;6,D644&lt;=6),C643+(6-D643)*(C644-C643)/(D644-D643),"")</f>
        <v/>
      </c>
      <c r="Q644" s="5" t="str">
        <f>IF(AND(D643&gt;5,D644&lt;=5),C643+(5-D643)*(C644-C643)/(D644-D643),"")</f>
        <v/>
      </c>
      <c r="R644" s="5" t="str">
        <f>IF(AND(D643&gt;4,D644&lt;=4),C643+(4-D643)*(C644-C643)/(D644-D643),"")</f>
        <v/>
      </c>
      <c r="S644" s="5" t="str">
        <f>IF(AND(D643&gt;3,D644&lt;=3),C643+(3-D643)*(C644-C643)/(D644-D643),"")</f>
        <v/>
      </c>
    </row>
    <row r="645" spans="1:19" ht="20.100000000000001" customHeight="1">
      <c r="A645" t="s">
        <v>3</v>
      </c>
      <c r="B645">
        <v>300</v>
      </c>
      <c r="C645" s="5">
        <f>('Raw Data'!C300-'Raw Data'!$C$244)/60</f>
        <v>4.6635333333334223</v>
      </c>
      <c r="D645" s="5">
        <f>'Raw Data'!J300</f>
        <v>4.5339900000000002</v>
      </c>
      <c r="E645" s="5">
        <f>$D$589-D645</f>
        <v>2.7282599999999997</v>
      </c>
      <c r="F645" s="8">
        <f>10^(-D645)</f>
        <v>2.9242197097152641E-5</v>
      </c>
      <c r="G645" s="5">
        <f>(D645-D644)/(C645-C644)</f>
        <v>-0.387600000000004</v>
      </c>
      <c r="H645" s="5">
        <f>$C$9+$C$10*EXP(-$C$11*C645)</f>
        <v>4.6737375816545681</v>
      </c>
      <c r="I645" s="5">
        <f>D645-H645</f>
        <v>-0.13974758165456791</v>
      </c>
      <c r="J645" s="5">
        <f t="shared" si="16"/>
        <v>1.9529386578300126E-2</v>
      </c>
      <c r="K645" s="5">
        <f>$C$17+$C$16*C645</f>
        <v>5.052170228544874</v>
      </c>
      <c r="L645" s="5">
        <f>(D645-K645)^2</f>
        <v>0.2685107492548176</v>
      </c>
      <c r="M645" s="5">
        <f>$C$40+$C$41*EXP(-$C$42*C645)</f>
        <v>0</v>
      </c>
      <c r="N645" s="5">
        <f>(D645-M645)^2</f>
        <v>20.557065320100001</v>
      </c>
      <c r="O645" s="5">
        <f>(C645+C644)/2</f>
        <v>4.6218666666667563</v>
      </c>
      <c r="P645" s="5" t="str">
        <f>IF(AND(D644&gt;6,D645&lt;=6),C644+(6-D644)*(C645-C644)/(D645-D644),"")</f>
        <v/>
      </c>
      <c r="Q645" s="5" t="str">
        <f>IF(AND(D644&gt;5,D645&lt;=5),C644+(5-D644)*(C645-C644)/(D645-D644),"")</f>
        <v/>
      </c>
      <c r="R645" s="5" t="str">
        <f>IF(AND(D644&gt;4,D645&lt;=4),C644+(4-D644)*(C645-C644)/(D645-D644),"")</f>
        <v/>
      </c>
      <c r="S645" s="5" t="str">
        <f>IF(AND(D644&gt;3,D645&lt;=3),C644+(3-D644)*(C645-C644)/(D645-D644),"")</f>
        <v/>
      </c>
    </row>
    <row r="646" spans="1:19" ht="20.100000000000001" customHeight="1">
      <c r="A646" t="s">
        <v>3</v>
      </c>
      <c r="B646">
        <v>301</v>
      </c>
      <c r="C646" s="5">
        <f>('Raw Data'!C301-'Raw Data'!$C$244)/60</f>
        <v>4.7468666666667563</v>
      </c>
      <c r="D646" s="5">
        <f>'Raw Data'!J301</f>
        <v>4.4982300000000004</v>
      </c>
      <c r="E646" s="5">
        <f>$D$589-D646</f>
        <v>2.7640199999999995</v>
      </c>
      <c r="F646" s="8">
        <f>10^(-D646)</f>
        <v>3.1751920608189163E-5</v>
      </c>
      <c r="G646" s="5">
        <f>(D646-D645)/(C646-C645)</f>
        <v>-0.42911999999999445</v>
      </c>
      <c r="H646" s="5">
        <f>$C$9+$C$10*EXP(-$C$11*C646)</f>
        <v>4.6466432701208449</v>
      </c>
      <c r="I646" s="5">
        <f>D646-H646</f>
        <v>-0.14841327012084449</v>
      </c>
      <c r="J646" s="5">
        <f t="shared" si="16"/>
        <v>2.2026498747962749E-2</v>
      </c>
      <c r="K646" s="5">
        <f>$C$17+$C$16*C646</f>
        <v>5.0397277408942678</v>
      </c>
      <c r="L646" s="5">
        <f>(D646-K646)^2</f>
        <v>0.29321980339359516</v>
      </c>
      <c r="M646" s="5">
        <f>$C$40+$C$41*EXP(-$C$42*C646)</f>
        <v>0</v>
      </c>
      <c r="N646" s="5">
        <f>(D646-M646)^2</f>
        <v>20.234073132900004</v>
      </c>
      <c r="O646" s="5">
        <f>(C646+C645)/2</f>
        <v>4.7052000000000893</v>
      </c>
      <c r="P646" s="5" t="str">
        <f>IF(AND(D645&gt;6,D646&lt;=6),C645+(6-D645)*(C646-C645)/(D646-D645),"")</f>
        <v/>
      </c>
      <c r="Q646" s="5" t="str">
        <f>IF(AND(D645&gt;5,D646&lt;=5),C645+(5-D645)*(C646-C645)/(D646-D645),"")</f>
        <v/>
      </c>
      <c r="R646" s="5" t="str">
        <f>IF(AND(D645&gt;4,D646&lt;=4),C645+(4-D645)*(C646-C645)/(D646-D645),"")</f>
        <v/>
      </c>
      <c r="S646" s="5" t="str">
        <f>IF(AND(D645&gt;3,D646&lt;=3),C645+(3-D645)*(C646-C645)/(D646-D645),"")</f>
        <v/>
      </c>
    </row>
    <row r="647" spans="1:19" ht="20.100000000000001" customHeight="1">
      <c r="A647" t="s">
        <v>3</v>
      </c>
      <c r="B647">
        <v>302</v>
      </c>
      <c r="C647" s="5">
        <f>('Raw Data'!C302-'Raw Data'!$C$244)/60</f>
        <v>4.8299500000000988</v>
      </c>
      <c r="D647" s="5">
        <f>'Raw Data'!J302</f>
        <v>4.4659300000000002</v>
      </c>
      <c r="E647" s="5">
        <f>$D$589-D647</f>
        <v>2.7963199999999997</v>
      </c>
      <c r="F647" s="8">
        <f>10^(-D647)</f>
        <v>3.4203456752979139E-5</v>
      </c>
      <c r="G647" s="5">
        <f>(D647-D646)/(C647-C646)</f>
        <v>-0.38876629889664976</v>
      </c>
      <c r="H647" s="5">
        <f>$C$9+$C$10*EXP(-$C$11*C647)</f>
        <v>4.6202279956107857</v>
      </c>
      <c r="I647" s="5">
        <f>D647-H647</f>
        <v>-0.1542979956107855</v>
      </c>
      <c r="J647" s="5">
        <f t="shared" si="16"/>
        <v>2.3807871449505982E-2</v>
      </c>
      <c r="K647" s="5">
        <f>$C$17+$C$16*C647</f>
        <v>5.0273225807066133</v>
      </c>
      <c r="L647" s="5">
        <f>(D647-K647)^2</f>
        <v>0.31516162967243116</v>
      </c>
      <c r="M647" s="5">
        <f>$C$40+$C$41*EXP(-$C$42*C647)</f>
        <v>0</v>
      </c>
      <c r="N647" s="5">
        <f>(D647-M647)^2</f>
        <v>19.944530764900001</v>
      </c>
      <c r="O647" s="5">
        <f>(C647+C646)/2</f>
        <v>4.7884083333334271</v>
      </c>
      <c r="P647" s="5" t="str">
        <f>IF(AND(D646&gt;6,D647&lt;=6),C646+(6-D646)*(C647-C646)/(D647-D646),"")</f>
        <v/>
      </c>
      <c r="Q647" s="5" t="str">
        <f>IF(AND(D646&gt;5,D647&lt;=5),C646+(5-D646)*(C647-C646)/(D647-D646),"")</f>
        <v/>
      </c>
      <c r="R647" s="5" t="str">
        <f>IF(AND(D646&gt;4,D647&lt;=4),C646+(4-D646)*(C647-C646)/(D647-D646),"")</f>
        <v/>
      </c>
      <c r="S647" s="5" t="str">
        <f>IF(AND(D646&gt;3,D647&lt;=3),C646+(3-D646)*(C647-C646)/(D647-D646),"")</f>
        <v/>
      </c>
    </row>
    <row r="648" spans="1:19" ht="20.100000000000001" customHeight="1">
      <c r="A648" t="s">
        <v>3</v>
      </c>
      <c r="B648">
        <v>303</v>
      </c>
      <c r="C648" s="5">
        <f>('Raw Data'!C303-'Raw Data'!$C$244)/60</f>
        <v>4.9135333333334223</v>
      </c>
      <c r="D648" s="5">
        <f>'Raw Data'!J303</f>
        <v>4.4290099999999999</v>
      </c>
      <c r="E648" s="5">
        <f>$D$589-D648</f>
        <v>2.83324</v>
      </c>
      <c r="F648" s="8">
        <f>10^(-D648)</f>
        <v>3.723831317173709E-5</v>
      </c>
      <c r="G648" s="5">
        <f>(D648-D647)/(C648-C647)</f>
        <v>-0.44171485543375388</v>
      </c>
      <c r="H648" s="5">
        <f>$C$9+$C$10*EXP(-$C$11*C648)</f>
        <v>4.59424266077413</v>
      </c>
      <c r="I648" s="5">
        <f>D648-H648</f>
        <v>-0.16523266077413012</v>
      </c>
      <c r="J648" s="5">
        <f t="shared" si="16"/>
        <v>2.7301832186498759E-2</v>
      </c>
      <c r="K648" s="5">
        <f>$C$17+$C$16*C648</f>
        <v>5.0148427655930581</v>
      </c>
      <c r="L648" s="5">
        <f>(D648-K648)^2</f>
        <v>0.34320002924241105</v>
      </c>
      <c r="M648" s="5">
        <f>$C$40+$C$41*EXP(-$C$42*C648)</f>
        <v>0</v>
      </c>
      <c r="N648" s="5">
        <f>(D648-M648)^2</f>
        <v>19.616129580099997</v>
      </c>
      <c r="O648" s="5">
        <f>(C648+C647)/2</f>
        <v>4.871741666666761</v>
      </c>
      <c r="P648" s="5" t="str">
        <f>IF(AND(D647&gt;6,D648&lt;=6),C647+(6-D647)*(C648-C647)/(D648-D647),"")</f>
        <v/>
      </c>
      <c r="Q648" s="5" t="str">
        <f>IF(AND(D647&gt;5,D648&lt;=5),C647+(5-D647)*(C648-C647)/(D648-D647),"")</f>
        <v/>
      </c>
      <c r="R648" s="5" t="str">
        <f>IF(AND(D647&gt;4,D648&lt;=4),C647+(4-D647)*(C648-C647)/(D648-D647),"")</f>
        <v/>
      </c>
      <c r="S648" s="5" t="str">
        <f>IF(AND(D647&gt;3,D648&lt;=3),C647+(3-D647)*(C648-C647)/(D648-D647),"")</f>
        <v/>
      </c>
    </row>
    <row r="649" spans="1:19" ht="20.100000000000001" customHeight="1">
      <c r="A649" t="s">
        <v>3</v>
      </c>
      <c r="B649">
        <v>304</v>
      </c>
      <c r="C649" s="5">
        <f>('Raw Data'!C304-'Raw Data'!$C$244)/60</f>
        <v>4.9966166666667657</v>
      </c>
      <c r="D649" s="5">
        <f>'Raw Data'!J304</f>
        <v>4.4082499999999998</v>
      </c>
      <c r="E649" s="5">
        <f>$D$589-D649</f>
        <v>2.8540000000000001</v>
      </c>
      <c r="F649" s="8">
        <f>10^(-D649)</f>
        <v>3.9061597443108865E-5</v>
      </c>
      <c r="G649" s="5">
        <f>(D649-D648)/(C649-C648)</f>
        <v>-0.24986960882645054</v>
      </c>
      <c r="H649" s="5">
        <f>$C$9+$C$10*EXP(-$C$11*C649)</f>
        <v>4.5689851969937756</v>
      </c>
      <c r="I649" s="5">
        <f>D649-H649</f>
        <v>-0.16073519699377581</v>
      </c>
      <c r="J649" s="5">
        <f t="shared" si="16"/>
        <v>2.5835803552627917E-2</v>
      </c>
      <c r="K649" s="5">
        <f>$C$17+$C$16*C649</f>
        <v>5.0024376054054027</v>
      </c>
      <c r="L649" s="5">
        <f>(D649-K649)^2</f>
        <v>0.35305891041740683</v>
      </c>
      <c r="M649" s="5">
        <f>$C$40+$C$41*EXP(-$C$42*C649)</f>
        <v>0</v>
      </c>
      <c r="N649" s="5">
        <f>(D649-M649)^2</f>
        <v>19.432668062499999</v>
      </c>
      <c r="O649" s="5">
        <f>(C649+C648)/2</f>
        <v>4.955075000000094</v>
      </c>
      <c r="P649" s="5" t="str">
        <f>IF(AND(D648&gt;6,D649&lt;=6),C648+(6-D648)*(C649-C648)/(D649-D648),"")</f>
        <v/>
      </c>
      <c r="Q649" s="5" t="str">
        <f>IF(AND(D648&gt;5,D649&lt;=5),C648+(5-D648)*(C649-C648)/(D649-D648),"")</f>
        <v/>
      </c>
      <c r="R649" s="5" t="str">
        <f>IF(AND(D648&gt;4,D649&lt;=4),C648+(4-D648)*(C649-C648)/(D649-D648),"")</f>
        <v/>
      </c>
      <c r="S649" s="5" t="str">
        <f>IF(AND(D648&gt;3,D649&lt;=3),C648+(3-D648)*(C649-C648)/(D649-D648),"")</f>
        <v/>
      </c>
    </row>
    <row r="650" spans="1:19" ht="20.100000000000001" customHeight="1">
      <c r="A650" t="s">
        <v>3</v>
      </c>
      <c r="B650">
        <v>305</v>
      </c>
      <c r="C650" s="5">
        <f>('Raw Data'!C305-'Raw Data'!$C$244)/60</f>
        <v>5.0799500000000988</v>
      </c>
      <c r="D650" s="5">
        <f>'Raw Data'!J305</f>
        <v>4.37479</v>
      </c>
      <c r="E650" s="5">
        <f>$D$589-D650</f>
        <v>2.8874599999999999</v>
      </c>
      <c r="F650" s="8">
        <f>10^(-D650)</f>
        <v>4.2190046107307799E-5</v>
      </c>
      <c r="G650" s="5">
        <f>(D650-D649)/(C650-C649)</f>
        <v>-0.40151999999999932</v>
      </c>
      <c r="H650" s="5">
        <f>$C$9+$C$10*EXP(-$C$11*C650)</f>
        <v>4.544212314688119</v>
      </c>
      <c r="I650" s="5">
        <f>D650-H650</f>
        <v>-0.16942231468811908</v>
      </c>
      <c r="J650" s="5">
        <f t="shared" si="16"/>
        <v>2.8703920714280049E-2</v>
      </c>
      <c r="K650" s="5">
        <f>$C$17+$C$16*C650</f>
        <v>4.9899951177547974</v>
      </c>
      <c r="L650" s="5">
        <f>(D650-K650)^2</f>
        <v>0.37847733691169422</v>
      </c>
      <c r="M650" s="5">
        <f>$C$40+$C$41*EXP(-$C$42*C650)</f>
        <v>0</v>
      </c>
      <c r="N650" s="5">
        <f>(D650-M650)^2</f>
        <v>19.138787544100001</v>
      </c>
      <c r="O650" s="5">
        <f>(C650+C649)/2</f>
        <v>5.0382833333334318</v>
      </c>
      <c r="P650" s="5" t="str">
        <f>IF(AND(D649&gt;6,D650&lt;=6),C649+(6-D649)*(C650-C649)/(D650-D649),"")</f>
        <v/>
      </c>
      <c r="Q650" s="5" t="str">
        <f>IF(AND(D649&gt;5,D650&lt;=5),C649+(5-D649)*(C650-C649)/(D650-D649),"")</f>
        <v/>
      </c>
      <c r="R650" s="5" t="str">
        <f>IF(AND(D649&gt;4,D650&lt;=4),C649+(4-D649)*(C650-C649)/(D650-D649),"")</f>
        <v/>
      </c>
      <c r="S650" s="5" t="str">
        <f>IF(AND(D649&gt;3,D650&lt;=3),C649+(3-D649)*(C650-C649)/(D650-D649),"")</f>
        <v/>
      </c>
    </row>
    <row r="651" spans="1:19" ht="20.100000000000001" customHeight="1">
      <c r="A651" t="s">
        <v>3</v>
      </c>
      <c r="B651">
        <v>306</v>
      </c>
      <c r="C651" s="5">
        <f>('Raw Data'!C306-'Raw Data'!$C$244)/60</f>
        <v>5.1632833333334327</v>
      </c>
      <c r="D651" s="5">
        <f>'Raw Data'!J306</f>
        <v>4.3448000000000002</v>
      </c>
      <c r="E651" s="5">
        <f>$D$589-D651</f>
        <v>2.9174499999999997</v>
      </c>
      <c r="F651" s="8">
        <f>10^(-D651)</f>
        <v>4.5206407964850108E-5</v>
      </c>
      <c r="G651" s="5">
        <f>(D651-D650)/(C651-C650)</f>
        <v>-0.35987999999999432</v>
      </c>
      <c r="H651" s="5">
        <f>$C$9+$C$10*EXP(-$C$11*C651)</f>
        <v>4.519988426977994</v>
      </c>
      <c r="I651" s="5">
        <f>D651-H651</f>
        <v>-0.17518842697799375</v>
      </c>
      <c r="J651" s="5">
        <f t="shared" si="16"/>
        <v>3.0690984947023849E-2</v>
      </c>
      <c r="K651" s="5">
        <f>$C$17+$C$16*C651</f>
        <v>4.9775526301041921</v>
      </c>
      <c r="L651" s="5">
        <f>(D651-K651)^2</f>
        <v>0.40037589090377229</v>
      </c>
      <c r="M651" s="5">
        <f>$C$40+$C$41*EXP(-$C$42*C651)</f>
        <v>0</v>
      </c>
      <c r="N651" s="5">
        <f>(D651-M651)^2</f>
        <v>18.877287040000002</v>
      </c>
      <c r="O651" s="5">
        <f>(C651+C650)/2</f>
        <v>5.1216166666667657</v>
      </c>
      <c r="P651" s="5" t="str">
        <f>IF(AND(D650&gt;6,D651&lt;=6),C650+(6-D650)*(C651-C650)/(D651-D650),"")</f>
        <v/>
      </c>
      <c r="Q651" s="5" t="str">
        <f>IF(AND(D650&gt;5,D651&lt;=5),C650+(5-D650)*(C651-C650)/(D651-D650),"")</f>
        <v/>
      </c>
      <c r="R651" s="5" t="str">
        <f>IF(AND(D650&gt;4,D651&lt;=4),C650+(4-D650)*(C651-C650)/(D651-D650),"")</f>
        <v/>
      </c>
      <c r="S651" s="5" t="str">
        <f>IF(AND(D650&gt;3,D651&lt;=3),C650+(3-D650)*(C651-C650)/(D651-D650),"")</f>
        <v/>
      </c>
    </row>
    <row r="652" spans="1:19" ht="20.100000000000001" customHeight="1">
      <c r="A652" t="s">
        <v>3</v>
      </c>
      <c r="B652">
        <v>307</v>
      </c>
      <c r="C652" s="5">
        <f>('Raw Data'!C307-'Raw Data'!$C$244)/60</f>
        <v>5.2466166666667657</v>
      </c>
      <c r="D652" s="5">
        <f>'Raw Data'!J307</f>
        <v>4.3228799999999996</v>
      </c>
      <c r="E652" s="5">
        <f>$D$589-D652</f>
        <v>2.9393700000000003</v>
      </c>
      <c r="F652" s="8">
        <f>10^(-D652)</f>
        <v>4.7546658406641675E-5</v>
      </c>
      <c r="G652" s="5">
        <f>(D652-D651)/(C652-C651)</f>
        <v>-0.26304000000000821</v>
      </c>
      <c r="H652" s="5">
        <f>$C$9+$C$10*EXP(-$C$11*C652)</f>
        <v>4.4963013675332082</v>
      </c>
      <c r="I652" s="5">
        <f>D652-H652</f>
        <v>-0.17342136753320858</v>
      </c>
      <c r="J652" s="5">
        <f t="shared" si="16"/>
        <v>3.0074970717088211E-2</v>
      </c>
      <c r="K652" s="5">
        <f>$C$17+$C$16*C652</f>
        <v>4.9651101424535868</v>
      </c>
      <c r="L652" s="5">
        <f>(D652-K652)^2</f>
        <v>0.41245955587595495</v>
      </c>
      <c r="M652" s="5">
        <f>$C$40+$C$41*EXP(-$C$42*C652)</f>
        <v>0</v>
      </c>
      <c r="N652" s="5">
        <f>(D652-M652)^2</f>
        <v>18.687291494399997</v>
      </c>
      <c r="O652" s="5">
        <f>(C652+C651)/2</f>
        <v>5.2049500000000997</v>
      </c>
      <c r="P652" s="5" t="str">
        <f>IF(AND(D651&gt;6,D652&lt;=6),C651+(6-D651)*(C652-C651)/(D652-D651),"")</f>
        <v/>
      </c>
      <c r="Q652" s="5" t="str">
        <f>IF(AND(D651&gt;5,D652&lt;=5),C651+(5-D651)*(C652-C651)/(D652-D651),"")</f>
        <v/>
      </c>
      <c r="R652" s="5" t="str">
        <f>IF(AND(D651&gt;4,D652&lt;=4),C651+(4-D651)*(C652-C651)/(D652-D651),"")</f>
        <v/>
      </c>
      <c r="S652" s="5" t="str">
        <f>IF(AND(D651&gt;3,D652&lt;=3),C651+(3-D651)*(C652-C651)/(D652-D651),"")</f>
        <v/>
      </c>
    </row>
    <row r="653" spans="1:19" ht="20.100000000000001" customHeight="1">
      <c r="A653" t="s">
        <v>3</v>
      </c>
      <c r="B653">
        <v>308</v>
      </c>
      <c r="C653" s="5">
        <f>('Raw Data'!C308-'Raw Data'!$C$244)/60</f>
        <v>5.3296833333333771</v>
      </c>
      <c r="D653" s="5">
        <f>'Raw Data'!J308</f>
        <v>4.2859699999999998</v>
      </c>
      <c r="E653" s="5">
        <f>$D$589-D653</f>
        <v>2.97628</v>
      </c>
      <c r="F653" s="8">
        <f>10^(-D653)</f>
        <v>5.1764258819878907E-5</v>
      </c>
      <c r="G653" s="5">
        <f>(D653-D652)/(C653-C652)</f>
        <v>-0.44434189406128849</v>
      </c>
      <c r="H653" s="5">
        <f>$C$9+$C$10*EXP(-$C$11*C653)</f>
        <v>4.473212533667752</v>
      </c>
      <c r="I653" s="5">
        <f>D653-H653</f>
        <v>-0.18724253366775212</v>
      </c>
      <c r="J653" s="5">
        <f t="shared" si="16"/>
        <v>3.5059766414319286E-2</v>
      </c>
      <c r="K653" s="5">
        <f>$C$17+$C$16*C653</f>
        <v>4.952707470763472</v>
      </c>
      <c r="L653" s="5">
        <f>(D653-K653)^2</f>
        <v>0.44453885492007184</v>
      </c>
      <c r="M653" s="5">
        <f>$C$40+$C$41*EXP(-$C$42*C653)</f>
        <v>0</v>
      </c>
      <c r="N653" s="5">
        <f>(D653-M653)^2</f>
        <v>18.369538840899999</v>
      </c>
      <c r="O653" s="5">
        <f>(C653+C652)/2</f>
        <v>5.288150000000071</v>
      </c>
      <c r="P653" s="5" t="str">
        <f>IF(AND(D652&gt;6,D653&lt;=6),C652+(6-D652)*(C653-C652)/(D653-D652),"")</f>
        <v/>
      </c>
      <c r="Q653" s="5" t="str">
        <f>IF(AND(D652&gt;5,D653&lt;=5),C652+(5-D652)*(C653-C652)/(D653-D652),"")</f>
        <v/>
      </c>
      <c r="R653" s="5" t="str">
        <f>IF(AND(D652&gt;4,D653&lt;=4),C652+(4-D652)*(C653-C652)/(D653-D652),"")</f>
        <v/>
      </c>
      <c r="S653" s="5" t="str">
        <f>IF(AND(D652&gt;3,D653&lt;=3),C652+(3-D652)*(C653-C652)/(D653-D652),"")</f>
        <v/>
      </c>
    </row>
    <row r="654" spans="1:19" ht="20.100000000000001" customHeight="1">
      <c r="A654" t="s">
        <v>3</v>
      </c>
      <c r="B654">
        <v>309</v>
      </c>
      <c r="C654" s="5">
        <f>('Raw Data'!C309-'Raw Data'!$C$244)/60</f>
        <v>5.4132833333334327</v>
      </c>
      <c r="D654" s="5">
        <f>'Raw Data'!J309</f>
        <v>4.2744299999999997</v>
      </c>
      <c r="E654" s="5">
        <f>$D$589-D654</f>
        <v>2.9878200000000001</v>
      </c>
      <c r="F654" s="8">
        <f>10^(-D654)</f>
        <v>5.3158167344454735E-5</v>
      </c>
      <c r="G654" s="5">
        <f>(D654-D653)/(C654-C653)</f>
        <v>-0.13803827751187114</v>
      </c>
      <c r="H654" s="5">
        <f>$C$9+$C$10*EXP(-$C$11*C654)</f>
        <v>4.4504904102407989</v>
      </c>
      <c r="I654" s="5">
        <f>D654-H654</f>
        <v>-0.17606041024079921</v>
      </c>
      <c r="J654" s="5">
        <f t="shared" si="16"/>
        <v>3.0997268054158516E-2</v>
      </c>
      <c r="K654" s="5">
        <f>$C$17+$C$16*C654</f>
        <v>4.9402251671523763</v>
      </c>
      <c r="L654" s="5">
        <f>(D654-K654)^2</f>
        <v>0.44328320460346099</v>
      </c>
      <c r="M654" s="5">
        <f>$C$40+$C$41*EXP(-$C$42*C654)</f>
        <v>0</v>
      </c>
      <c r="N654" s="5">
        <f>(D654-M654)^2</f>
        <v>18.270751824899996</v>
      </c>
      <c r="O654" s="5">
        <f>(C654+C653)/2</f>
        <v>5.3714833333334049</v>
      </c>
      <c r="P654" s="5" t="str">
        <f>IF(AND(D653&gt;6,D654&lt;=6),C653+(6-D653)*(C654-C653)/(D654-D653),"")</f>
        <v/>
      </c>
      <c r="Q654" s="5" t="str">
        <f>IF(AND(D653&gt;5,D654&lt;=5),C653+(5-D653)*(C654-C653)/(D654-D653),"")</f>
        <v/>
      </c>
      <c r="R654" s="5" t="str">
        <f>IF(AND(D653&gt;4,D654&lt;=4),C653+(4-D653)*(C654-C653)/(D654-D653),"")</f>
        <v/>
      </c>
      <c r="S654" s="5" t="str">
        <f>IF(AND(D653&gt;3,D654&lt;=3),C653+(3-D653)*(C654-C653)/(D654-D653),"")</f>
        <v/>
      </c>
    </row>
    <row r="655" spans="1:19" ht="20.100000000000001" customHeight="1">
      <c r="A655" t="s">
        <v>3</v>
      </c>
      <c r="B655">
        <v>310</v>
      </c>
      <c r="C655" s="5">
        <f>('Raw Data'!C310-'Raw Data'!$C$244)/60</f>
        <v>5.496350000000044</v>
      </c>
      <c r="D655" s="5">
        <f>'Raw Data'!J310</f>
        <v>4.25251</v>
      </c>
      <c r="E655" s="5">
        <f>$D$589-D655</f>
        <v>3.0097399999999999</v>
      </c>
      <c r="F655" s="8">
        <f>10^(-D655)</f>
        <v>5.5910065365403769E-5</v>
      </c>
      <c r="G655" s="5">
        <f>(D655-D654)/(C655-C654)</f>
        <v>-0.26388443017673741</v>
      </c>
      <c r="H655" s="5">
        <f>$C$9+$C$10*EXP(-$C$11*C655)</f>
        <v>4.4284135855284417</v>
      </c>
      <c r="I655" s="5">
        <f>D655-H655</f>
        <v>-0.17590358552844165</v>
      </c>
      <c r="J655" s="5">
        <f t="shared" si="16"/>
        <v>3.0942071401761789E-2</v>
      </c>
      <c r="K655" s="5">
        <f>$C$17+$C$16*C655</f>
        <v>4.9278224954622614</v>
      </c>
      <c r="L655" s="5">
        <f>(D655-K655)^2</f>
        <v>0.45604696652746674</v>
      </c>
      <c r="M655" s="5">
        <f>$C$40+$C$41*EXP(-$C$42*C655)</f>
        <v>0</v>
      </c>
      <c r="N655" s="5">
        <f>(D655-M655)^2</f>
        <v>18.083841300100001</v>
      </c>
      <c r="O655" s="5">
        <f>(C655+C654)/2</f>
        <v>5.4548166666667388</v>
      </c>
      <c r="P655" s="5" t="str">
        <f>IF(AND(D654&gt;6,D655&lt;=6),C654+(6-D654)*(C655-C654)/(D655-D654),"")</f>
        <v/>
      </c>
      <c r="Q655" s="5" t="str">
        <f>IF(AND(D654&gt;5,D655&lt;=5),C654+(5-D654)*(C655-C654)/(D655-D654),"")</f>
        <v/>
      </c>
      <c r="R655" s="5" t="str">
        <f>IF(AND(D654&gt;4,D655&lt;=4),C654+(4-D654)*(C655-C654)/(D655-D654),"")</f>
        <v/>
      </c>
      <c r="S655" s="5" t="str">
        <f>IF(AND(D654&gt;3,D655&lt;=3),C654+(3-D654)*(C655-C654)/(D655-D654),"")</f>
        <v/>
      </c>
    </row>
    <row r="656" spans="1:19" ht="20.100000000000001" customHeight="1">
      <c r="A656" t="s">
        <v>3</v>
      </c>
      <c r="B656">
        <v>311</v>
      </c>
      <c r="C656" s="5">
        <f>('Raw Data'!C311-'Raw Data'!$C$244)/60</f>
        <v>5.5796833333333771</v>
      </c>
      <c r="D656" s="5">
        <f>'Raw Data'!J311</f>
        <v>4.2190599999999998</v>
      </c>
      <c r="E656" s="5">
        <f>$D$589-D656</f>
        <v>3.0431900000000001</v>
      </c>
      <c r="F656" s="8">
        <f>10^(-D656)</f>
        <v>6.038651965531917E-5</v>
      </c>
      <c r="G656" s="5">
        <f>(D656-D655)/(C656-C655)</f>
        <v>-0.40140000000000386</v>
      </c>
      <c r="H656" s="5">
        <f>$C$9+$C$10*EXP(-$C$11*C656)</f>
        <v>4.4067559263133971</v>
      </c>
      <c r="I656" s="5">
        <f>D656-H656</f>
        <v>-0.18769592631339727</v>
      </c>
      <c r="J656" s="5">
        <f t="shared" si="16"/>
        <v>3.5229760754644256E-2</v>
      </c>
      <c r="K656" s="5">
        <f>$C$17+$C$16*C656</f>
        <v>4.9153800078116561</v>
      </c>
      <c r="L656" s="5">
        <f>(D656-K656)^2</f>
        <v>0.48486155327882502</v>
      </c>
      <c r="M656" s="5">
        <f>$C$40+$C$41*EXP(-$C$42*C656)</f>
        <v>0</v>
      </c>
      <c r="N656" s="5">
        <f>(D656-M656)^2</f>
        <v>17.8004672836</v>
      </c>
      <c r="O656" s="5">
        <f>(C656+C655)/2</f>
        <v>5.5380166666667101</v>
      </c>
      <c r="P656" s="5" t="str">
        <f>IF(AND(D655&gt;6,D656&lt;=6),C655+(6-D655)*(C656-C655)/(D656-D655),"")</f>
        <v/>
      </c>
      <c r="Q656" s="5" t="str">
        <f>IF(AND(D655&gt;5,D656&lt;=5),C655+(5-D655)*(C656-C655)/(D656-D655),"")</f>
        <v/>
      </c>
      <c r="R656" s="5" t="str">
        <f>IF(AND(D655&gt;4,D656&lt;=4),C655+(4-D655)*(C656-C655)/(D656-D655),"")</f>
        <v/>
      </c>
      <c r="S656" s="5" t="str">
        <f>IF(AND(D655&gt;3,D656&lt;=3),C655+(3-D655)*(C656-C655)/(D656-D655),"")</f>
        <v/>
      </c>
    </row>
    <row r="657" spans="1:19" ht="20.100000000000001" customHeight="1">
      <c r="A657" t="s">
        <v>3</v>
      </c>
      <c r="B657">
        <v>312</v>
      </c>
      <c r="C657" s="5">
        <f>('Raw Data'!C312-'Raw Data'!$C$244)/60</f>
        <v>5.6630166666667101</v>
      </c>
      <c r="D657" s="5">
        <f>'Raw Data'!J312</f>
        <v>4.2109800000000002</v>
      </c>
      <c r="E657" s="5">
        <f>$D$589-D657</f>
        <v>3.0512699999999997</v>
      </c>
      <c r="F657" s="8">
        <f>10^(-D657)</f>
        <v>6.1520520330413149E-5</v>
      </c>
      <c r="G657" s="5">
        <f>(D657-D656)/(C657-C656)</f>
        <v>-9.6959999999996063E-2</v>
      </c>
      <c r="H657" s="5">
        <f>$C$9+$C$10*EXP(-$C$11*C657)</f>
        <v>4.3855782248890627</v>
      </c>
      <c r="I657" s="5">
        <f>D657-H657</f>
        <v>-0.17459822488906251</v>
      </c>
      <c r="J657" s="5">
        <f t="shared" si="16"/>
        <v>3.0484540134411649E-2</v>
      </c>
      <c r="K657" s="5">
        <f>$C$17+$C$16*C657</f>
        <v>4.9029375201610508</v>
      </c>
      <c r="L657" s="5">
        <f>(D657-K657)^2</f>
        <v>0.47880520970743073</v>
      </c>
      <c r="M657" s="5">
        <f>$C$40+$C$41*EXP(-$C$42*C657)</f>
        <v>0</v>
      </c>
      <c r="N657" s="5">
        <f>(D657-M657)^2</f>
        <v>17.732352560400003</v>
      </c>
      <c r="O657" s="5">
        <f>(C657+C656)/2</f>
        <v>5.621350000000044</v>
      </c>
      <c r="P657" s="5" t="str">
        <f>IF(AND(D656&gt;6,D657&lt;=6),C656+(6-D656)*(C657-C656)/(D657-D656),"")</f>
        <v/>
      </c>
      <c r="Q657" s="5" t="str">
        <f>IF(AND(D656&gt;5,D657&lt;=5),C656+(5-D656)*(C657-C656)/(D657-D656),"")</f>
        <v/>
      </c>
      <c r="R657" s="5" t="str">
        <f>IF(AND(D656&gt;4,D657&lt;=4),C656+(4-D656)*(C657-C656)/(D657-D656),"")</f>
        <v/>
      </c>
      <c r="S657" s="5" t="str">
        <f>IF(AND(D656&gt;3,D657&lt;=3),C656+(3-D656)*(C657-C656)/(D657-D656),"")</f>
        <v/>
      </c>
    </row>
    <row r="658" spans="1:19" ht="20.100000000000001" customHeight="1">
      <c r="A658" t="s">
        <v>3</v>
      </c>
      <c r="B658">
        <v>313</v>
      </c>
      <c r="C658" s="5">
        <f>('Raw Data'!C313-'Raw Data'!$C$244)/60</f>
        <v>5.746350000000044</v>
      </c>
      <c r="D658" s="5">
        <f>'Raw Data'!J313</f>
        <v>4.1867599999999996</v>
      </c>
      <c r="E658" s="5">
        <f>$D$589-D658</f>
        <v>3.0754900000000003</v>
      </c>
      <c r="F658" s="8">
        <f>10^(-D658)</f>
        <v>6.5048906457675432E-5</v>
      </c>
      <c r="G658" s="5">
        <f>(D658-D657)/(C658-C657)</f>
        <v>-0.29064000000000484</v>
      </c>
      <c r="H658" s="5">
        <f>$C$9+$C$10*EXP(-$C$11*C658)</f>
        <v>4.3648698448575427</v>
      </c>
      <c r="I658" s="5">
        <f>D658-H658</f>
        <v>-0.17810984485754311</v>
      </c>
      <c r="J658" s="5">
        <f t="shared" si="16"/>
        <v>3.1723116835178075E-2</v>
      </c>
      <c r="K658" s="5">
        <f>$C$17+$C$16*C658</f>
        <v>4.8904950325104455</v>
      </c>
      <c r="L658" s="5">
        <f>(D658-K658)^2</f>
        <v>0.49524299598247834</v>
      </c>
      <c r="M658" s="5">
        <f>$C$40+$C$41*EXP(-$C$42*C658)</f>
        <v>0</v>
      </c>
      <c r="N658" s="5">
        <f>(D658-M658)^2</f>
        <v>17.528959297599997</v>
      </c>
      <c r="O658" s="5">
        <f>(C658+C657)/2</f>
        <v>5.7046833333333771</v>
      </c>
      <c r="P658" s="5" t="str">
        <f>IF(AND(D657&gt;6,D658&lt;=6),C657+(6-D657)*(C658-C657)/(D658-D657),"")</f>
        <v/>
      </c>
      <c r="Q658" s="5" t="str">
        <f>IF(AND(D657&gt;5,D658&lt;=5),C657+(5-D657)*(C658-C657)/(D658-D657),"")</f>
        <v/>
      </c>
      <c r="R658" s="5" t="str">
        <f>IF(AND(D657&gt;4,D658&lt;=4),C657+(4-D657)*(C658-C657)/(D658-D657),"")</f>
        <v/>
      </c>
      <c r="S658" s="5" t="str">
        <f>IF(AND(D657&gt;3,D658&lt;=3),C657+(3-D657)*(C658-C657)/(D658-D657),"")</f>
        <v/>
      </c>
    </row>
    <row r="659" spans="1:19" ht="20.100000000000001" customHeight="1">
      <c r="A659" t="s">
        <v>3</v>
      </c>
      <c r="B659">
        <v>314</v>
      </c>
      <c r="C659" s="5">
        <f>('Raw Data'!C314-'Raw Data'!$C$244)/60</f>
        <v>5.8294333333333874</v>
      </c>
      <c r="D659" s="5">
        <f>'Raw Data'!J314</f>
        <v>4.1694500000000003</v>
      </c>
      <c r="E659" s="5">
        <f>$D$589-D659</f>
        <v>3.0927999999999995</v>
      </c>
      <c r="F659" s="8">
        <f>10^(-D659)</f>
        <v>6.7693972399945237E-5</v>
      </c>
      <c r="G659" s="5">
        <f>(D659-D658)/(C659-C658)</f>
        <v>-0.20834503510528196</v>
      </c>
      <c r="H659" s="5">
        <f>$C$9+$C$10*EXP(-$C$11*C659)</f>
        <v>4.3446804577786207</v>
      </c>
      <c r="I659" s="5">
        <f>D659-H659</f>
        <v>-0.17523045777862034</v>
      </c>
      <c r="J659" s="5">
        <f t="shared" si="16"/>
        <v>3.0705713333304845E-2</v>
      </c>
      <c r="K659" s="5">
        <f>$C$17+$C$16*C659</f>
        <v>4.8780898723227901</v>
      </c>
      <c r="L659" s="5">
        <f>(D659-K659)^2</f>
        <v>0.50217046864565984</v>
      </c>
      <c r="M659" s="5">
        <f>$C$40+$C$41*EXP(-$C$42*C659)</f>
        <v>0</v>
      </c>
      <c r="N659" s="5">
        <f>(D659-M659)^2</f>
        <v>17.384313302500004</v>
      </c>
      <c r="O659" s="5">
        <f>(C659+C658)/2</f>
        <v>5.7878916666667157</v>
      </c>
      <c r="P659" s="5" t="str">
        <f>IF(AND(D658&gt;6,D659&lt;=6),C658+(6-D658)*(C659-C658)/(D659-D658),"")</f>
        <v/>
      </c>
      <c r="Q659" s="5" t="str">
        <f>IF(AND(D658&gt;5,D659&lt;=5),C658+(5-D658)*(C659-C658)/(D659-D658),"")</f>
        <v/>
      </c>
      <c r="R659" s="5" t="str">
        <f>IF(AND(D658&gt;4,D659&lt;=4),C658+(4-D658)*(C659-C658)/(D659-D658),"")</f>
        <v/>
      </c>
      <c r="S659" s="5" t="str">
        <f>IF(AND(D658&gt;3,D659&lt;=3),C658+(3-D658)*(C659-C658)/(D659-D658),"")</f>
        <v/>
      </c>
    </row>
    <row r="660" spans="1:19" ht="20.100000000000001" customHeight="1">
      <c r="A660" t="s">
        <v>3</v>
      </c>
      <c r="B660">
        <v>315</v>
      </c>
      <c r="C660" s="5">
        <f>('Raw Data'!C315-'Raw Data'!$C$244)/60</f>
        <v>5.9127666666667213</v>
      </c>
      <c r="D660" s="5">
        <f>'Raw Data'!J315</f>
        <v>4.1544600000000003</v>
      </c>
      <c r="E660" s="5">
        <f>$D$589-D660</f>
        <v>3.1077899999999996</v>
      </c>
      <c r="F660" s="8">
        <f>10^(-D660)</f>
        <v>7.0071271791976634E-5</v>
      </c>
      <c r="G660" s="5">
        <f>(D660-D659)/(C660-C659)</f>
        <v>-0.17987999999999943</v>
      </c>
      <c r="H660" s="5">
        <f>$C$9+$C$10*EXP(-$C$11*C660)</f>
        <v>4.3248784177052819</v>
      </c>
      <c r="I660" s="5">
        <f>D660-H660</f>
        <v>-0.17041841770528166</v>
      </c>
      <c r="J660" s="5">
        <f t="shared" si="16"/>
        <v>2.9042437093171856E-2</v>
      </c>
      <c r="K660" s="5">
        <f>$C$17+$C$16*C660</f>
        <v>4.8656473846721848</v>
      </c>
      <c r="L660" s="5">
        <f>(D660-K660)^2</f>
        <v>0.5057874961168618</v>
      </c>
      <c r="M660" s="5">
        <f>$C$40+$C$41*EXP(-$C$42*C660)</f>
        <v>0</v>
      </c>
      <c r="N660" s="5">
        <f>(D660-M660)^2</f>
        <v>17.259537891600001</v>
      </c>
      <c r="O660" s="5">
        <f>(C660+C659)/2</f>
        <v>5.8711000000000544</v>
      </c>
      <c r="P660" s="5" t="str">
        <f>IF(AND(D659&gt;6,D660&lt;=6),C659+(6-D659)*(C660-C659)/(D660-D659),"")</f>
        <v/>
      </c>
      <c r="Q660" s="5" t="str">
        <f>IF(AND(D659&gt;5,D660&lt;=5),C659+(5-D659)*(C660-C659)/(D660-D659),"")</f>
        <v/>
      </c>
      <c r="R660" s="5" t="str">
        <f>IF(AND(D659&gt;4,D660&lt;=4),C659+(4-D659)*(C660-C659)/(D660-D659),"")</f>
        <v/>
      </c>
      <c r="S660" s="5" t="str">
        <f>IF(AND(D659&gt;3,D660&lt;=3),C659+(3-D659)*(C660-C659)/(D660-D659),"")</f>
        <v/>
      </c>
    </row>
    <row r="661" spans="1:19" ht="20.100000000000001" customHeight="1">
      <c r="A661" t="s">
        <v>3</v>
      </c>
      <c r="B661">
        <v>316</v>
      </c>
      <c r="C661" s="5">
        <f>('Raw Data'!C316-'Raw Data'!$C$244)/60</f>
        <v>5.9961000000000544</v>
      </c>
      <c r="D661" s="5">
        <f>'Raw Data'!J316</f>
        <v>4.1406099999999997</v>
      </c>
      <c r="E661" s="5">
        <f>$D$589-D661</f>
        <v>3.1216400000000002</v>
      </c>
      <c r="F661" s="8">
        <f>10^(-D661)</f>
        <v>7.2341914831738945E-5</v>
      </c>
      <c r="G661" s="5">
        <f>(D661-D660)/(C661-C660)</f>
        <v>-0.16620000000000759</v>
      </c>
      <c r="H661" s="5">
        <f>$C$9+$C$10*EXP(-$C$11*C661)</f>
        <v>4.3055152128408061</v>
      </c>
      <c r="I661" s="5">
        <f>D661-H661</f>
        <v>-0.16490521284080639</v>
      </c>
      <c r="J661" s="5">
        <f t="shared" si="16"/>
        <v>2.7193729222071656E-2</v>
      </c>
      <c r="K661" s="5">
        <f>$C$17+$C$16*C661</f>
        <v>4.8532048970215795</v>
      </c>
      <c r="L661" s="5">
        <f>(D661-K661)^2</f>
        <v>0.50779148726119605</v>
      </c>
      <c r="M661" s="5">
        <f>$C$40+$C$41*EXP(-$C$42*C661)</f>
        <v>0</v>
      </c>
      <c r="N661" s="5">
        <f>(D661-M661)^2</f>
        <v>17.144651172099998</v>
      </c>
      <c r="O661" s="5">
        <f>(C661+C660)/2</f>
        <v>5.9544333333333874</v>
      </c>
      <c r="P661" s="5" t="str">
        <f>IF(AND(D660&gt;6,D661&lt;=6),C660+(6-D660)*(C661-C660)/(D661-D660),"")</f>
        <v/>
      </c>
      <c r="Q661" s="5" t="str">
        <f>IF(AND(D660&gt;5,D661&lt;=5),C660+(5-D660)*(C661-C660)/(D661-D660),"")</f>
        <v/>
      </c>
      <c r="R661" s="5" t="str">
        <f>IF(AND(D660&gt;4,D661&lt;=4),C660+(4-D660)*(C661-C660)/(D661-D660),"")</f>
        <v/>
      </c>
      <c r="S661" s="5" t="str">
        <f>IF(AND(D660&gt;3,D661&lt;=3),C660+(3-D660)*(C661-C660)/(D661-D660),"")</f>
        <v/>
      </c>
    </row>
    <row r="662" spans="1:19" ht="20.100000000000001" customHeight="1">
      <c r="A662" t="s">
        <v>3</v>
      </c>
      <c r="B662">
        <v>317</v>
      </c>
      <c r="C662" s="5">
        <f>('Raw Data'!C317-'Raw Data'!$C$244)/60</f>
        <v>6.0791666666666675</v>
      </c>
      <c r="D662" s="5">
        <f>'Raw Data'!J317</f>
        <v>4.11639</v>
      </c>
      <c r="E662" s="5">
        <f>$D$589-D662</f>
        <v>3.1458599999999999</v>
      </c>
      <c r="F662" s="8">
        <f>10^(-D662)</f>
        <v>7.6490940349419826E-5</v>
      </c>
      <c r="G662" s="5">
        <f>(D662-D661)/(C662-C661)</f>
        <v>-0.29157303370804938</v>
      </c>
      <c r="H662" s="5">
        <f>$C$9+$C$10*EXP(-$C$11*C662)</f>
        <v>4.286641032984889</v>
      </c>
      <c r="I662" s="5">
        <f>D662-H662</f>
        <v>-0.17025103298488897</v>
      </c>
      <c r="J662" s="5">
        <f t="shared" si="16"/>
        <v>2.8985414232421753E-2</v>
      </c>
      <c r="K662" s="5">
        <f>$C$17+$C$16*C662</f>
        <v>4.8408022253314646</v>
      </c>
      <c r="L662" s="5">
        <f>(D662-K662)^2</f>
        <v>0.52477307220968472</v>
      </c>
      <c r="M662" s="5">
        <f>$C$40+$C$41*EXP(-$C$42*C662)</f>
        <v>0</v>
      </c>
      <c r="N662" s="5">
        <f>(D662-M662)^2</f>
        <v>16.944666632099999</v>
      </c>
      <c r="O662" s="5">
        <f>(C662+C661)/2</f>
        <v>6.0376333333333605</v>
      </c>
      <c r="P662" s="5" t="str">
        <f>IF(AND(D661&gt;6,D662&lt;=6),C661+(6-D661)*(C662-C661)/(D662-D661),"")</f>
        <v/>
      </c>
      <c r="Q662" s="5" t="str">
        <f>IF(AND(D661&gt;5,D662&lt;=5),C661+(5-D661)*(C662-C661)/(D662-D661),"")</f>
        <v/>
      </c>
      <c r="R662" s="5" t="str">
        <f>IF(AND(D661&gt;4,D662&lt;=4),C661+(4-D661)*(C662-C661)/(D662-D661),"")</f>
        <v/>
      </c>
      <c r="S662" s="5" t="str">
        <f>IF(AND(D661&gt;3,D662&lt;=3),C661+(3-D661)*(C662-C661)/(D662-D661),"")</f>
        <v/>
      </c>
    </row>
    <row r="663" spans="1:19" ht="20.100000000000001" customHeight="1">
      <c r="A663" t="s">
        <v>3</v>
      </c>
      <c r="B663">
        <v>318</v>
      </c>
      <c r="C663" s="5">
        <f>('Raw Data'!C318-'Raw Data'!$C$244)/60</f>
        <v>6.1627666666667213</v>
      </c>
      <c r="D663" s="5">
        <f>'Raw Data'!J318</f>
        <v>4.1036999999999999</v>
      </c>
      <c r="E663" s="5">
        <f>$D$589-D663</f>
        <v>3.15855</v>
      </c>
      <c r="F663" s="8">
        <f>10^(-D663)</f>
        <v>7.8758964948684603E-5</v>
      </c>
      <c r="G663" s="5">
        <f>(D663-D662)/(C663-C662)</f>
        <v>-0.15179425837310903</v>
      </c>
      <c r="H663" s="5">
        <f>$C$9+$C$10*EXP(-$C$11*C663)</f>
        <v>4.2680666239537661</v>
      </c>
      <c r="I663" s="5">
        <f>D663-H663</f>
        <v>-0.16436662395376622</v>
      </c>
      <c r="J663" s="5">
        <f t="shared" si="16"/>
        <v>2.7016387069958795E-2</v>
      </c>
      <c r="K663" s="5">
        <f>$C$17+$C$16*C663</f>
        <v>4.8283199217203689</v>
      </c>
      <c r="L663" s="5">
        <f>(D663-K663)^2</f>
        <v>0.52507403095403371</v>
      </c>
      <c r="M663" s="5">
        <f>$C$40+$C$41*EXP(-$C$42*C663)</f>
        <v>0</v>
      </c>
      <c r="N663" s="5">
        <f>(D663-M663)^2</f>
        <v>16.840353690000001</v>
      </c>
      <c r="O663" s="5">
        <f>(C663+C662)/2</f>
        <v>6.1209666666666944</v>
      </c>
      <c r="P663" s="5" t="str">
        <f>IF(AND(D662&gt;6,D663&lt;=6),C662+(6-D662)*(C663-C662)/(D663-D662),"")</f>
        <v/>
      </c>
      <c r="Q663" s="5" t="str">
        <f>IF(AND(D662&gt;5,D663&lt;=5),C662+(5-D662)*(C663-C662)/(D663-D662),"")</f>
        <v/>
      </c>
      <c r="R663" s="5" t="str">
        <f>IF(AND(D662&gt;4,D663&lt;=4),C662+(4-D662)*(C663-C662)/(D663-D662),"")</f>
        <v/>
      </c>
      <c r="S663" s="5" t="str">
        <f>IF(AND(D662&gt;3,D663&lt;=3),C662+(3-D662)*(C663-C662)/(D663-D662),"")</f>
        <v/>
      </c>
    </row>
    <row r="664" spans="1:19" ht="20.100000000000001" customHeight="1">
      <c r="A664" t="s">
        <v>3</v>
      </c>
      <c r="B664">
        <v>319</v>
      </c>
      <c r="C664" s="5">
        <f>('Raw Data'!C319-'Raw Data'!$C$244)/60</f>
        <v>6.2458333333333345</v>
      </c>
      <c r="D664" s="5">
        <f>'Raw Data'!J319</f>
        <v>4.0875500000000002</v>
      </c>
      <c r="E664" s="5">
        <f>$D$589-D664</f>
        <v>3.1746999999999996</v>
      </c>
      <c r="F664" s="8">
        <f>10^(-D664)</f>
        <v>8.1742892254345364E-5</v>
      </c>
      <c r="G664" s="5">
        <f>(D664-D663)/(C664-C663)</f>
        <v>-0.19442215088294634</v>
      </c>
      <c r="H664" s="5">
        <f>$C$9+$C$10*EXP(-$C$11*C664)</f>
        <v>4.250019720299095</v>
      </c>
      <c r="I664" s="5">
        <f>D664-H664</f>
        <v>-0.16246972029909479</v>
      </c>
      <c r="J664" s="5">
        <f t="shared" si="16"/>
        <v>2.6396410014066094E-2</v>
      </c>
      <c r="K664" s="5">
        <f>$C$17+$C$16*C664</f>
        <v>4.8159172500302541</v>
      </c>
      <c r="L664" s="5">
        <f>(D664-K664)^2</f>
        <v>0.53051885091663431</v>
      </c>
      <c r="M664" s="5">
        <f>$C$40+$C$41*EXP(-$C$42*C664)</f>
        <v>0</v>
      </c>
      <c r="N664" s="5">
        <f>(D664-M664)^2</f>
        <v>16.708065002500003</v>
      </c>
      <c r="O664" s="5">
        <f>(C664+C663)/2</f>
        <v>6.2043000000000283</v>
      </c>
      <c r="P664" s="5" t="str">
        <f>IF(AND(D663&gt;6,D664&lt;=6),C663+(6-D663)*(C664-C663)/(D664-D663),"")</f>
        <v/>
      </c>
      <c r="Q664" s="5" t="str">
        <f>IF(AND(D663&gt;5,D664&lt;=5),C663+(5-D663)*(C664-C663)/(D664-D663),"")</f>
        <v/>
      </c>
      <c r="R664" s="5" t="str">
        <f>IF(AND(D663&gt;4,D664&lt;=4),C663+(4-D663)*(C664-C663)/(D664-D663),"")</f>
        <v/>
      </c>
      <c r="S664" s="5" t="str">
        <f>IF(AND(D663&gt;3,D664&lt;=3),C663+(3-D663)*(C664-C663)/(D664-D663),"")</f>
        <v/>
      </c>
    </row>
    <row r="665" spans="1:19" ht="20.100000000000001" customHeight="1">
      <c r="A665" t="s">
        <v>3</v>
      </c>
      <c r="B665">
        <v>320</v>
      </c>
      <c r="C665" s="5">
        <f>('Raw Data'!C320-'Raw Data'!$C$244)/60</f>
        <v>6.3291666666666675</v>
      </c>
      <c r="D665" s="5">
        <f>'Raw Data'!J320</f>
        <v>4.0817800000000002</v>
      </c>
      <c r="E665" s="5">
        <f>$D$589-D665</f>
        <v>3.1804699999999997</v>
      </c>
      <c r="F665" s="8">
        <f>10^(-D665)</f>
        <v>8.2836167956265125E-5</v>
      </c>
      <c r="G665" s="5">
        <f>(D665-D664)/(C665-C664)</f>
        <v>-6.9240000000000884E-2</v>
      </c>
      <c r="H665" s="5">
        <f>$C$9+$C$10*EXP(-$C$11*C665)</f>
        <v>4.2323154673400731</v>
      </c>
      <c r="I665" s="5">
        <f>D665-H665</f>
        <v>-0.15053546734007295</v>
      </c>
      <c r="J665" s="5">
        <f t="shared" si="16"/>
        <v>2.266092692729417E-2</v>
      </c>
      <c r="K665" s="5">
        <f>$C$17+$C$16*C665</f>
        <v>4.8034747623796488</v>
      </c>
      <c r="L665" s="5">
        <f>(D665-K665)^2</f>
        <v>0.52084333004621741</v>
      </c>
      <c r="M665" s="5">
        <f>$C$40+$C$41*EXP(-$C$42*C665)</f>
        <v>0</v>
      </c>
      <c r="N665" s="5">
        <f>(D665-M665)^2</f>
        <v>16.660927968400003</v>
      </c>
      <c r="O665" s="5">
        <f>(C665+C664)/2</f>
        <v>6.2875000000000014</v>
      </c>
      <c r="P665" s="5" t="str">
        <f>IF(AND(D664&gt;6,D665&lt;=6),C664+(6-D664)*(C665-C664)/(D665-D664),"")</f>
        <v/>
      </c>
      <c r="Q665" s="5" t="str">
        <f>IF(AND(D664&gt;5,D665&lt;=5),C664+(5-D664)*(C665-C664)/(D665-D664),"")</f>
        <v/>
      </c>
      <c r="R665" s="5" t="str">
        <f>IF(AND(D664&gt;4,D665&lt;=4),C664+(4-D664)*(C665-C664)/(D665-D664),"")</f>
        <v/>
      </c>
      <c r="S665" s="5" t="str">
        <f>IF(AND(D664&gt;3,D665&lt;=3),C664+(3-D664)*(C665-C664)/(D665-D664),"")</f>
        <v/>
      </c>
    </row>
    <row r="666" spans="1:19" ht="20.100000000000001" customHeight="1">
      <c r="A666" t="s">
        <v>3</v>
      </c>
      <c r="B666">
        <v>321</v>
      </c>
      <c r="C666" s="5">
        <f>('Raw Data'!C321-'Raw Data'!$C$244)/60</f>
        <v>6.4122333333334005</v>
      </c>
      <c r="D666" s="5">
        <f>'Raw Data'!J321</f>
        <v>4.0610200000000001</v>
      </c>
      <c r="E666" s="5">
        <f>$D$589-D666</f>
        <v>3.2012299999999998</v>
      </c>
      <c r="F666" s="8">
        <f>10^(-D666)</f>
        <v>8.6892041310109719E-5</v>
      </c>
      <c r="G666" s="5">
        <f>(D666-D665)/(C666-C665)</f>
        <v>-0.24991974317797189</v>
      </c>
      <c r="H666" s="5">
        <f>$C$9+$C$10*EXP(-$C$11*C666)</f>
        <v>4.2150583419363752</v>
      </c>
      <c r="I666" s="5">
        <f>D666-H666</f>
        <v>-0.15403834193637511</v>
      </c>
      <c r="J666" s="5">
        <f t="shared" si="16"/>
        <v>2.3727810786507618E-2</v>
      </c>
      <c r="K666" s="5">
        <f>$C$17+$C$16*C666</f>
        <v>4.7910720906895152</v>
      </c>
      <c r="L666" s="5">
        <f>(D666-K666)^2</f>
        <v>0.53297605512013202</v>
      </c>
      <c r="M666" s="5">
        <f>$C$40+$C$41*EXP(-$C$42*C666)</f>
        <v>0</v>
      </c>
      <c r="N666" s="5">
        <f>(D666-M666)^2</f>
        <v>16.491883440400002</v>
      </c>
      <c r="O666" s="5">
        <f>(C666+C665)/2</f>
        <v>6.370700000000034</v>
      </c>
      <c r="P666" s="5" t="str">
        <f>IF(AND(D665&gt;6,D666&lt;=6),C665+(6-D665)*(C666-C665)/(D666-D665),"")</f>
        <v/>
      </c>
      <c r="Q666" s="5" t="str">
        <f>IF(AND(D665&gt;5,D666&lt;=5),C665+(5-D665)*(C666-C665)/(D666-D665),"")</f>
        <v/>
      </c>
      <c r="R666" s="5" t="str">
        <f>IF(AND(D665&gt;4,D666&lt;=4),C665+(4-D665)*(C666-C665)/(D666-D665),"")</f>
        <v/>
      </c>
      <c r="S666" s="5" t="str">
        <f>IF(AND(D665&gt;3,D666&lt;=3),C665+(3-D665)*(C666-C665)/(D666-D665),"")</f>
        <v/>
      </c>
    </row>
    <row r="667" spans="1:19" ht="20.100000000000001" customHeight="1">
      <c r="A667" t="s">
        <v>3</v>
      </c>
      <c r="B667">
        <v>322</v>
      </c>
      <c r="C667" s="5">
        <f>('Raw Data'!C322-'Raw Data'!$C$244)/60</f>
        <v>6.4958333333333345</v>
      </c>
      <c r="D667" s="5">
        <f>'Raw Data'!J322</f>
        <v>4.0471700000000004</v>
      </c>
      <c r="E667" s="5">
        <f>$D$589-D667</f>
        <v>3.2150799999999995</v>
      </c>
      <c r="F667" s="8">
        <f>10^(-D667)</f>
        <v>8.9707757419805505E-5</v>
      </c>
      <c r="G667" s="5">
        <f>(D667-D666)/(C667-C666)</f>
        <v>-0.16566985645945739</v>
      </c>
      <c r="H667" s="5">
        <f>$C$9+$C$10*EXP(-$C$11*C667)</f>
        <v>4.1980753043476859</v>
      </c>
      <c r="I667" s="5">
        <f>D667-H667</f>
        <v>-0.15090530434768556</v>
      </c>
      <c r="J667" s="5">
        <f t="shared" ref="J667:J730" si="17">I667^2</f>
        <v>2.2772410880267609E-2</v>
      </c>
      <c r="K667" s="5">
        <f>$C$17+$C$16*C667</f>
        <v>4.7785897870784382</v>
      </c>
      <c r="L667" s="5">
        <f>(D667-K667)^2</f>
        <v>0.53497490492986732</v>
      </c>
      <c r="M667" s="5">
        <f>$C$40+$C$41*EXP(-$C$42*C667)</f>
        <v>0</v>
      </c>
      <c r="N667" s="5">
        <f>(D667-M667)^2</f>
        <v>16.379585008900005</v>
      </c>
      <c r="O667" s="5">
        <f>(C667+C666)/2</f>
        <v>6.454033333333367</v>
      </c>
      <c r="P667" s="5" t="str">
        <f>IF(AND(D666&gt;6,D667&lt;=6),C666+(6-D666)*(C667-C666)/(D667-D666),"")</f>
        <v/>
      </c>
      <c r="Q667" s="5" t="str">
        <f>IF(AND(D666&gt;5,D667&lt;=5),C666+(5-D666)*(C667-C666)/(D667-D666),"")</f>
        <v/>
      </c>
      <c r="R667" s="5" t="str">
        <f>IF(AND(D666&gt;4,D667&lt;=4),C666+(4-D666)*(C667-C666)/(D667-D666),"")</f>
        <v/>
      </c>
      <c r="S667" s="5" t="str">
        <f>IF(AND(D666&gt;3,D667&lt;=3),C666+(3-D666)*(C667-C666)/(D667-D666),"")</f>
        <v/>
      </c>
    </row>
    <row r="668" spans="1:19" ht="20.100000000000001" customHeight="1">
      <c r="A668" t="s">
        <v>3</v>
      </c>
      <c r="B668">
        <v>323</v>
      </c>
      <c r="C668" s="5">
        <f>('Raw Data'!C323-'Raw Data'!$C$244)/60</f>
        <v>6.5789000000000666</v>
      </c>
      <c r="D668" s="5">
        <f>'Raw Data'!J323</f>
        <v>4.0356399999999999</v>
      </c>
      <c r="E668" s="5">
        <f>$D$589-D668</f>
        <v>3.22661</v>
      </c>
      <c r="F668" s="8">
        <f>10^(-D668)</f>
        <v>9.2121287691957843E-5</v>
      </c>
      <c r="G668" s="5">
        <f>(D668-D667)/(C668-C667)</f>
        <v>-0.1388041733546316</v>
      </c>
      <c r="H668" s="5">
        <f>$C$9+$C$10*EXP(-$C$11*C668)</f>
        <v>4.1815745778581341</v>
      </c>
      <c r="I668" s="5">
        <f>D668-H668</f>
        <v>-0.14593457785813424</v>
      </c>
      <c r="J668" s="5">
        <f t="shared" si="17"/>
        <v>2.1296901014631844E-2</v>
      </c>
      <c r="K668" s="5">
        <f>$C$17+$C$16*C668</f>
        <v>4.7661871153883055</v>
      </c>
      <c r="L668" s="5">
        <f>(D668-K668)^2</f>
        <v>0.53369908780217434</v>
      </c>
      <c r="M668" s="5">
        <f>$C$40+$C$41*EXP(-$C$42*C668)</f>
        <v>0</v>
      </c>
      <c r="N668" s="5">
        <f>(D668-M668)^2</f>
        <v>16.2863902096</v>
      </c>
      <c r="O668" s="5">
        <f>(C668+C667)/2</f>
        <v>6.537366666666701</v>
      </c>
      <c r="P668" s="5" t="str">
        <f>IF(AND(D667&gt;6,D668&lt;=6),C667+(6-D667)*(C668-C667)/(D668-D667),"")</f>
        <v/>
      </c>
      <c r="Q668" s="5" t="str">
        <f>IF(AND(D667&gt;5,D668&lt;=5),C667+(5-D667)*(C668-C667)/(D668-D667),"")</f>
        <v/>
      </c>
      <c r="R668" s="5" t="str">
        <f>IF(AND(D667&gt;4,D668&lt;=4),C667+(4-D667)*(C668-C667)/(D668-D667),"")</f>
        <v/>
      </c>
      <c r="S668" s="5" t="str">
        <f>IF(AND(D667&gt;3,D668&lt;=3),C667+(3-D667)*(C668-C667)/(D668-D667),"")</f>
        <v/>
      </c>
    </row>
    <row r="669" spans="1:19" ht="20.100000000000001" customHeight="1">
      <c r="A669" t="s">
        <v>3</v>
      </c>
      <c r="B669">
        <v>324</v>
      </c>
      <c r="C669" s="5">
        <f>('Raw Data'!C324-'Raw Data'!$C$244)/60</f>
        <v>6.6622333333334005</v>
      </c>
      <c r="D669" s="5">
        <f>'Raw Data'!J324</f>
        <v>4.0137200000000002</v>
      </c>
      <c r="E669" s="5">
        <f>$D$589-D669</f>
        <v>3.2485299999999997</v>
      </c>
      <c r="F669" s="8">
        <f>10^(-D669)</f>
        <v>9.6890232935011302E-5</v>
      </c>
      <c r="G669" s="5">
        <f>(D669-D668)/(C669-C668)</f>
        <v>-0.26303999999999472</v>
      </c>
      <c r="H669" s="5">
        <f>$C$9+$C$10*EXP(-$C$11*C669)</f>
        <v>4.1653871453008247</v>
      </c>
      <c r="I669" s="5">
        <f>D669-H669</f>
        <v>-0.15166714530082448</v>
      </c>
      <c r="J669" s="5">
        <f t="shared" si="17"/>
        <v>2.3002922963701405E-2</v>
      </c>
      <c r="K669" s="5">
        <f>$C$17+$C$16*C669</f>
        <v>4.7537446277376993</v>
      </c>
      <c r="L669" s="5">
        <f>(D669-K669)^2</f>
        <v>0.54763644965832026</v>
      </c>
      <c r="M669" s="5">
        <f>$C$40+$C$41*EXP(-$C$42*C669)</f>
        <v>0</v>
      </c>
      <c r="N669" s="5">
        <f>(D669-M669)^2</f>
        <v>16.109948238400001</v>
      </c>
      <c r="O669" s="5">
        <f>(C669+C668)/2</f>
        <v>6.6205666666667335</v>
      </c>
      <c r="P669" s="5" t="str">
        <f>IF(AND(D668&gt;6,D669&lt;=6),C668+(6-D668)*(C669-C668)/(D669-D668),"")</f>
        <v/>
      </c>
      <c r="Q669" s="5" t="str">
        <f>IF(AND(D668&gt;5,D669&lt;=5),C668+(5-D668)*(C669-C668)/(D669-D668),"")</f>
        <v/>
      </c>
      <c r="R669" s="5" t="str">
        <f>IF(AND(D668&gt;4,D669&lt;=4),C668+(4-D668)*(C669-C668)/(D669-D668),"")</f>
        <v/>
      </c>
      <c r="S669" s="5" t="str">
        <f>IF(AND(D668&gt;3,D669&lt;=3),C668+(3-D668)*(C669-C668)/(D669-D668),"")</f>
        <v/>
      </c>
    </row>
    <row r="670" spans="1:19" ht="20.100000000000001" customHeight="1">
      <c r="A670" t="s">
        <v>3</v>
      </c>
      <c r="B670">
        <v>325</v>
      </c>
      <c r="C670" s="5">
        <f>('Raw Data'!C325-'Raw Data'!$C$244)/60</f>
        <v>6.7455666666667335</v>
      </c>
      <c r="D670" s="5">
        <f>'Raw Data'!J325</f>
        <v>4.0102599999999997</v>
      </c>
      <c r="E670" s="5">
        <f>$D$589-D670</f>
        <v>3.2519900000000002</v>
      </c>
      <c r="F670" s="8">
        <f>10^(-D670)</f>
        <v>9.7665235136294313E-5</v>
      </c>
      <c r="G670" s="5">
        <f>(D670-D669)/(C670-C669)</f>
        <v>-4.1520000000005698E-2</v>
      </c>
      <c r="H670" s="5">
        <f>$C$9+$C$10*EXP(-$C$11*C670)</f>
        <v>4.149558444233854</v>
      </c>
      <c r="I670" s="5">
        <f>D670-H670</f>
        <v>-0.13929844423385429</v>
      </c>
      <c r="J670" s="5">
        <f t="shared" si="17"/>
        <v>1.9404056565972213E-2</v>
      </c>
      <c r="K670" s="5">
        <f>$C$17+$C$16*C670</f>
        <v>4.7413021400870949</v>
      </c>
      <c r="L670" s="5">
        <f>(D670-K670)^2</f>
        <v>0.53442261058312013</v>
      </c>
      <c r="M670" s="5">
        <f>$C$40+$C$41*EXP(-$C$42*C670)</f>
        <v>0</v>
      </c>
      <c r="N670" s="5">
        <f>(D670-M670)^2</f>
        <v>16.082185267599996</v>
      </c>
      <c r="O670" s="5">
        <f>(C670+C669)/2</f>
        <v>6.7039000000000666</v>
      </c>
      <c r="P670" s="5" t="str">
        <f>IF(AND(D669&gt;6,D670&lt;=6),C669+(6-D669)*(C670-C669)/(D670-D669),"")</f>
        <v/>
      </c>
      <c r="Q670" s="5" t="str">
        <f>IF(AND(D669&gt;5,D670&lt;=5),C669+(5-D669)*(C670-C669)/(D670-D669),"")</f>
        <v/>
      </c>
      <c r="R670" s="5" t="str">
        <f>IF(AND(D669&gt;4,D670&lt;=4),C669+(4-D669)*(C670-C669)/(D670-D669),"")</f>
        <v/>
      </c>
      <c r="S670" s="5" t="str">
        <f>IF(AND(D669&gt;3,D670&lt;=3),C669+(3-D669)*(C670-C669)/(D670-D669),"")</f>
        <v/>
      </c>
    </row>
    <row r="671" spans="1:19" ht="20.100000000000001" customHeight="1">
      <c r="A671" t="s">
        <v>3</v>
      </c>
      <c r="B671">
        <v>326</v>
      </c>
      <c r="C671" s="5">
        <f>('Raw Data'!C326-'Raw Data'!$C$244)/60</f>
        <v>6.8289000000000666</v>
      </c>
      <c r="D671" s="5">
        <f>'Raw Data'!J326</f>
        <v>4.0044899999999997</v>
      </c>
      <c r="E671" s="5">
        <f>$D$589-D671</f>
        <v>3.2577600000000002</v>
      </c>
      <c r="F671" s="8">
        <f>10^(-D671)</f>
        <v>9.8971465262879166E-5</v>
      </c>
      <c r="G671" s="5">
        <f>(D671-D670)/(C671-C670)</f>
        <v>-6.9240000000000884E-2</v>
      </c>
      <c r="H671" s="5">
        <f>$C$9+$C$10*EXP(-$C$11*C671)</f>
        <v>4.134080524768831</v>
      </c>
      <c r="I671" s="5">
        <f>D671-H671</f>
        <v>-0.12959052476883137</v>
      </c>
      <c r="J671" s="5">
        <f t="shared" si="17"/>
        <v>1.6793704109861099E-2</v>
      </c>
      <c r="K671" s="5">
        <f>$C$17+$C$16*C671</f>
        <v>4.7288596524364888</v>
      </c>
      <c r="L671" s="5">
        <f>(D671-K671)^2</f>
        <v>0.52471139337096007</v>
      </c>
      <c r="M671" s="5">
        <f>$C$40+$C$41*EXP(-$C$42*C671)</f>
        <v>0</v>
      </c>
      <c r="N671" s="5">
        <f>(D671-M671)^2</f>
        <v>16.035940160099997</v>
      </c>
      <c r="O671" s="5">
        <f>(C671+C670)/2</f>
        <v>6.7872333333334005</v>
      </c>
      <c r="P671" s="5" t="str">
        <f>IF(AND(D670&gt;6,D671&lt;=6),C670+(6-D670)*(C671-C670)/(D671-D670),"")</f>
        <v/>
      </c>
      <c r="Q671" s="5" t="str">
        <f>IF(AND(D670&gt;5,D671&lt;=5),C670+(5-D670)*(C671-C670)/(D671-D670),"")</f>
        <v/>
      </c>
      <c r="R671" s="5" t="str">
        <f>IF(AND(D670&gt;4,D671&lt;=4),C670+(4-D670)*(C671-C670)/(D671-D670),"")</f>
        <v/>
      </c>
      <c r="S671" s="5" t="str">
        <f>IF(AND(D670&gt;3,D671&lt;=3),C670+(3-D670)*(C671-C670)/(D671-D670),"")</f>
        <v/>
      </c>
    </row>
    <row r="672" spans="1:19" ht="20.100000000000001" customHeight="1">
      <c r="A672" t="s">
        <v>3</v>
      </c>
      <c r="B672">
        <v>327</v>
      </c>
      <c r="C672" s="5">
        <f>('Raw Data'!C327-'Raw Data'!$C$244)/60</f>
        <v>6.9119833333334109</v>
      </c>
      <c r="D672" s="5">
        <f>'Raw Data'!J327</f>
        <v>3.98603</v>
      </c>
      <c r="E672" s="5">
        <f>$D$589-D672</f>
        <v>3.2762199999999999</v>
      </c>
      <c r="F672" s="8">
        <f>10^(-D672)</f>
        <v>1.0326900675948322E-4</v>
      </c>
      <c r="G672" s="5">
        <f>(D672-D671)/(C672-C671)</f>
        <v>-0.22218655967900422</v>
      </c>
      <c r="H672" s="5">
        <f>$C$9+$C$10*EXP(-$C$11*C672)</f>
        <v>4.1189905125718322</v>
      </c>
      <c r="I672" s="5">
        <f>D672-H672</f>
        <v>-0.13296051257183228</v>
      </c>
      <c r="J672" s="5">
        <f t="shared" si="17"/>
        <v>1.7678497903364371E-2</v>
      </c>
      <c r="K672" s="5">
        <f>$C$17+$C$16*C672</f>
        <v>4.7164544922488343</v>
      </c>
      <c r="L672" s="5">
        <f>(D672-K672)^2</f>
        <v>0.53351993887696747</v>
      </c>
      <c r="M672" s="5">
        <f>$C$40+$C$41*EXP(-$C$42*C672)</f>
        <v>0</v>
      </c>
      <c r="N672" s="5">
        <f>(D672-M672)^2</f>
        <v>15.8884351609</v>
      </c>
      <c r="O672" s="5">
        <f>(C672+C671)/2</f>
        <v>6.8704416666667392</v>
      </c>
      <c r="P672" s="5" t="str">
        <f>IF(AND(D671&gt;6,D672&lt;=6),C671+(6-D671)*(C672-C671)/(D672-D671),"")</f>
        <v/>
      </c>
      <c r="Q672" s="5" t="str">
        <f>IF(AND(D671&gt;5,D672&lt;=5),C671+(5-D671)*(C672-C671)/(D672-D671),"")</f>
        <v/>
      </c>
      <c r="R672" s="5">
        <f>IF(AND(D671&gt;4,D672&lt;=4),C671+(4-D671)*(C672-C671)/(D672-D671),"")</f>
        <v>6.8491082430481001</v>
      </c>
      <c r="S672" s="5" t="str">
        <f>IF(AND(D671&gt;3,D672&lt;=3),C671+(3-D671)*(C672-C671)/(D672-D671),"")</f>
        <v/>
      </c>
    </row>
    <row r="673" spans="1:19" ht="20.100000000000001" customHeight="1">
      <c r="A673" t="s">
        <v>3</v>
      </c>
      <c r="B673">
        <v>328</v>
      </c>
      <c r="C673" s="5">
        <f>('Raw Data'!C328-'Raw Data'!$C$244)/60</f>
        <v>6.9955666666667335</v>
      </c>
      <c r="D673" s="5">
        <f>'Raw Data'!J328</f>
        <v>3.98373</v>
      </c>
      <c r="E673" s="5">
        <f>$D$589-D673</f>
        <v>3.2785199999999999</v>
      </c>
      <c r="F673" s="8">
        <f>10^(-D673)</f>
        <v>1.0381736456815107E-4</v>
      </c>
      <c r="G673" s="5">
        <f>(D673-D672)/(C673-C672)</f>
        <v>-2.7517447657032044E-2</v>
      </c>
      <c r="H673" s="5">
        <f>$C$9+$C$10*EXP(-$C$11*C673)</f>
        <v>4.104146108078556</v>
      </c>
      <c r="I673" s="5">
        <f>D673-H673</f>
        <v>-0.12041610807855596</v>
      </c>
      <c r="J673" s="5">
        <f t="shared" si="17"/>
        <v>1.4500039084786471E-2</v>
      </c>
      <c r="K673" s="5">
        <f>$C$17+$C$16*C673</f>
        <v>4.7039746771352782</v>
      </c>
      <c r="L673" s="5">
        <f>(D673-K673)^2</f>
        <v>0.51875239494170111</v>
      </c>
      <c r="M673" s="5">
        <f>$C$40+$C$41*EXP(-$C$42*C673)</f>
        <v>0</v>
      </c>
      <c r="N673" s="5">
        <f>(D673-M673)^2</f>
        <v>15.8701047129</v>
      </c>
      <c r="O673" s="5">
        <f>(C673+C672)/2</f>
        <v>6.9537750000000722</v>
      </c>
      <c r="P673" s="5" t="str">
        <f>IF(AND(D672&gt;6,D673&lt;=6),C672+(6-D672)*(C673-C672)/(D673-D672),"")</f>
        <v/>
      </c>
      <c r="Q673" s="5" t="str">
        <f>IF(AND(D672&gt;5,D673&lt;=5),C672+(5-D672)*(C673-C672)/(D673-D672),"")</f>
        <v/>
      </c>
      <c r="R673" s="5" t="str">
        <f>IF(AND(D672&gt;4,D673&lt;=4),C672+(4-D672)*(C673-C672)/(D673-D672),"")</f>
        <v/>
      </c>
      <c r="S673" s="5" t="str">
        <f>IF(AND(D672&gt;3,D673&lt;=3),C672+(3-D672)*(C673-C672)/(D673-D672),"")</f>
        <v/>
      </c>
    </row>
    <row r="674" spans="1:19" ht="20.100000000000001" customHeight="1">
      <c r="A674" t="s">
        <v>3</v>
      </c>
      <c r="B674">
        <v>329</v>
      </c>
      <c r="C674" s="5">
        <f>('Raw Data'!C329-'Raw Data'!$C$244)/60</f>
        <v>7.0786500000000778</v>
      </c>
      <c r="D674" s="5">
        <f>'Raw Data'!J329</f>
        <v>3.9710399999999999</v>
      </c>
      <c r="E674" s="5">
        <f>$D$589-D674</f>
        <v>3.29121</v>
      </c>
      <c r="F674" s="8">
        <f>10^(-D674)</f>
        <v>1.068956420163795E-4</v>
      </c>
      <c r="G674" s="5">
        <f>(D674-D673)/(C674-C673)</f>
        <v>-0.15273821464391277</v>
      </c>
      <c r="H674" s="5">
        <f>$C$9+$C$10*EXP(-$C$11*C674)</f>
        <v>4.0897175078243482</v>
      </c>
      <c r="I674" s="5">
        <f>D674-H674</f>
        <v>-0.11867750782434827</v>
      </c>
      <c r="J674" s="5">
        <f t="shared" si="17"/>
        <v>1.4084350863398246E-2</v>
      </c>
      <c r="K674" s="5">
        <f>$C$17+$C$16*C674</f>
        <v>4.6915695169476237</v>
      </c>
      <c r="L674" s="5">
        <f>(D674-K674)^2</f>
        <v>0.51916278479277611</v>
      </c>
      <c r="M674" s="5">
        <f>$C$40+$C$41*EXP(-$C$42*C674)</f>
        <v>0</v>
      </c>
      <c r="N674" s="5">
        <f>(D674-M674)^2</f>
        <v>15.769158681599999</v>
      </c>
      <c r="O674" s="5">
        <f>(C674+C673)/2</f>
        <v>7.0371083333334052</v>
      </c>
      <c r="P674" s="5" t="str">
        <f>IF(AND(D673&gt;6,D674&lt;=6),C673+(6-D673)*(C674-C673)/(D674-D673),"")</f>
        <v/>
      </c>
      <c r="Q674" s="5" t="str">
        <f>IF(AND(D673&gt;5,D674&lt;=5),C673+(5-D673)*(C674-C673)/(D674-D673),"")</f>
        <v/>
      </c>
      <c r="R674" s="5" t="str">
        <f>IF(AND(D673&gt;4,D674&lt;=4),C673+(4-D673)*(C674-C673)/(D674-D673),"")</f>
        <v/>
      </c>
      <c r="S674" s="5" t="str">
        <f>IF(AND(D673&gt;3,D674&lt;=3),C673+(3-D673)*(C674-C673)/(D674-D673),"")</f>
        <v/>
      </c>
    </row>
    <row r="675" spans="1:19" ht="20.100000000000001" customHeight="1">
      <c r="A675" t="s">
        <v>3</v>
      </c>
      <c r="B675">
        <v>330</v>
      </c>
      <c r="C675" s="5">
        <f>('Raw Data'!C330-'Raw Data'!$C$244)/60</f>
        <v>7.1619833333334109</v>
      </c>
      <c r="D675" s="5">
        <f>'Raw Data'!J330</f>
        <v>3.9560399999999998</v>
      </c>
      <c r="E675" s="5">
        <f>$D$589-D675</f>
        <v>3.3062100000000001</v>
      </c>
      <c r="F675" s="8">
        <f>10^(-D675)</f>
        <v>1.1065218648541455E-4</v>
      </c>
      <c r="G675" s="5">
        <f>(D675-D674)/(C675-C674)</f>
        <v>-0.18000000000000213</v>
      </c>
      <c r="H675" s="5">
        <f>$C$9+$C$10*EXP(-$C$11*C675)</f>
        <v>4.0755657299957742</v>
      </c>
      <c r="I675" s="5">
        <f>D675-H675</f>
        <v>-0.11952572999577438</v>
      </c>
      <c r="J675" s="5">
        <f t="shared" si="17"/>
        <v>1.4286400131022758E-2</v>
      </c>
      <c r="K675" s="5">
        <f>$C$17+$C$16*C675</f>
        <v>4.6791270292970184</v>
      </c>
      <c r="L675" s="5">
        <f>(D675-K675)^2</f>
        <v>0.52285485193758752</v>
      </c>
      <c r="M675" s="5">
        <f>$C$40+$C$41*EXP(-$C$42*C675)</f>
        <v>0</v>
      </c>
      <c r="N675" s="5">
        <f>(D675-M675)^2</f>
        <v>15.650252481599999</v>
      </c>
      <c r="O675" s="5">
        <f>(C675+C674)/2</f>
        <v>7.1203166666667439</v>
      </c>
      <c r="P675" s="5" t="str">
        <f>IF(AND(D674&gt;6,D675&lt;=6),C674+(6-D674)*(C675-C674)/(D675-D674),"")</f>
        <v/>
      </c>
      <c r="Q675" s="5" t="str">
        <f>IF(AND(D674&gt;5,D675&lt;=5),C674+(5-D674)*(C675-C674)/(D675-D674),"")</f>
        <v/>
      </c>
      <c r="R675" s="5" t="str">
        <f>IF(AND(D674&gt;4,D675&lt;=4),C674+(4-D674)*(C675-C674)/(D675-D674),"")</f>
        <v/>
      </c>
      <c r="S675" s="5" t="str">
        <f>IF(AND(D674&gt;3,D675&lt;=3),C674+(3-D674)*(C675-C674)/(D675-D674),"")</f>
        <v/>
      </c>
    </row>
    <row r="676" spans="1:19" ht="20.100000000000001" customHeight="1">
      <c r="A676" t="s">
        <v>3</v>
      </c>
      <c r="B676">
        <v>331</v>
      </c>
      <c r="C676" s="5">
        <f>('Raw Data'!C331-'Raw Data'!$C$244)/60</f>
        <v>7.2453166666667439</v>
      </c>
      <c r="D676" s="5">
        <f>'Raw Data'!J331</f>
        <v>3.9491200000000002</v>
      </c>
      <c r="E676" s="5">
        <f>$D$589-D676</f>
        <v>3.3131299999999997</v>
      </c>
      <c r="F676" s="8">
        <f>10^(-D676)</f>
        <v>1.1242942770554393E-4</v>
      </c>
      <c r="G676" s="5">
        <f>(D676-D675)/(C676-C675)</f>
        <v>-8.3039999999995409E-2</v>
      </c>
      <c r="H676" s="5">
        <f>$C$9+$C$10*EXP(-$C$11*C676)</f>
        <v>4.0617275712870571</v>
      </c>
      <c r="I676" s="5">
        <f>D676-H676</f>
        <v>-0.1126075712870569</v>
      </c>
      <c r="J676" s="5">
        <f t="shared" si="17"/>
        <v>1.2680465111169601E-2</v>
      </c>
      <c r="K676" s="5">
        <f>$C$17+$C$16*C676</f>
        <v>4.6666845416464131</v>
      </c>
      <c r="L676" s="5">
        <f>(D676-K676)^2</f>
        <v>0.51489887142822666</v>
      </c>
      <c r="M676" s="5">
        <f>$C$40+$C$41*EXP(-$C$42*C676)</f>
        <v>0</v>
      </c>
      <c r="N676" s="5">
        <f>(D676-M676)^2</f>
        <v>15.595548774400001</v>
      </c>
      <c r="O676" s="5">
        <f>(C676+C675)/2</f>
        <v>7.2036500000000778</v>
      </c>
      <c r="P676" s="5" t="str">
        <f>IF(AND(D675&gt;6,D676&lt;=6),C675+(6-D675)*(C676-C675)/(D676-D675),"")</f>
        <v/>
      </c>
      <c r="Q676" s="5" t="str">
        <f>IF(AND(D675&gt;5,D676&lt;=5),C675+(5-D675)*(C676-C675)/(D676-D675),"")</f>
        <v/>
      </c>
      <c r="R676" s="5" t="str">
        <f>IF(AND(D675&gt;4,D676&lt;=4),C675+(4-D675)*(C676-C675)/(D676-D675),"")</f>
        <v/>
      </c>
      <c r="S676" s="5" t="str">
        <f>IF(AND(D675&gt;3,D676&lt;=3),C675+(3-D675)*(C676-C675)/(D676-D675),"")</f>
        <v/>
      </c>
    </row>
    <row r="677" spans="1:19" ht="20.100000000000001" customHeight="1">
      <c r="A677" t="s">
        <v>3</v>
      </c>
      <c r="B677">
        <v>332</v>
      </c>
      <c r="C677" s="5">
        <f>('Raw Data'!C332-'Raw Data'!$C$244)/60</f>
        <v>7.3286500000000778</v>
      </c>
      <c r="D677" s="5">
        <f>'Raw Data'!J332</f>
        <v>3.9433500000000001</v>
      </c>
      <c r="E677" s="5">
        <f>$D$589-D677</f>
        <v>3.3188999999999997</v>
      </c>
      <c r="F677" s="8">
        <f>10^(-D677)</f>
        <v>1.1393312249907727E-4</v>
      </c>
      <c r="G677" s="5">
        <f>(D677-D676)/(C677-C676)</f>
        <v>-6.9240000000000149E-2</v>
      </c>
      <c r="H677" s="5">
        <f>$C$9+$C$10*EXP(-$C$11*C677)</f>
        <v>4.0481960815500591</v>
      </c>
      <c r="I677" s="5">
        <f>D677-H677</f>
        <v>-0.10484608155005892</v>
      </c>
      <c r="J677" s="5">
        <f t="shared" si="17"/>
        <v>1.0992700816401605E-2</v>
      </c>
      <c r="K677" s="5">
        <f>$C$17+$C$16*C677</f>
        <v>4.6542420539958078</v>
      </c>
      <c r="L677" s="5">
        <f>(D677-K677)^2</f>
        <v>0.50536751243437839</v>
      </c>
      <c r="M677" s="5">
        <f>$C$40+$C$41*EXP(-$C$42*C677)</f>
        <v>0</v>
      </c>
      <c r="N677" s="5">
        <f>(D677-M677)^2</f>
        <v>15.550009222500002</v>
      </c>
      <c r="O677" s="5">
        <f>(C677+C676)/2</f>
        <v>7.2869833333334109</v>
      </c>
      <c r="P677" s="5" t="str">
        <f>IF(AND(D676&gt;6,D677&lt;=6),C676+(6-D676)*(C677-C676)/(D677-D676),"")</f>
        <v/>
      </c>
      <c r="Q677" s="5" t="str">
        <f>IF(AND(D676&gt;5,D677&lt;=5),C676+(5-D676)*(C677-C676)/(D677-D676),"")</f>
        <v/>
      </c>
      <c r="R677" s="5" t="str">
        <f>IF(AND(D676&gt;4,D677&lt;=4),C676+(4-D676)*(C677-C676)/(D677-D676),"")</f>
        <v/>
      </c>
      <c r="S677" s="5" t="str">
        <f>IF(AND(D676&gt;3,D677&lt;=3),C676+(3-D676)*(C677-C676)/(D677-D676),"")</f>
        <v/>
      </c>
    </row>
    <row r="678" spans="1:19" ht="20.100000000000001" customHeight="1">
      <c r="A678" t="s">
        <v>3</v>
      </c>
      <c r="B678">
        <v>333</v>
      </c>
      <c r="C678" s="5">
        <f>('Raw Data'!C333-'Raw Data'!$C$244)/60</f>
        <v>7.4117166666666892</v>
      </c>
      <c r="D678" s="5">
        <f>'Raw Data'!J333</f>
        <v>3.92374</v>
      </c>
      <c r="E678" s="5">
        <f>$D$589-D678</f>
        <v>3.3385099999999999</v>
      </c>
      <c r="F678" s="8">
        <f>10^(-D678)</f>
        <v>1.1919553849288562E-4</v>
      </c>
      <c r="G678" s="5">
        <f>(D678-D677)/(C678-C677)</f>
        <v>-0.23607544141267886</v>
      </c>
      <c r="H678" s="5">
        <f>$C$9+$C$10*EXP(-$C$11*C678)</f>
        <v>4.0350063346666207</v>
      </c>
      <c r="I678" s="5">
        <f>D678-H678</f>
        <v>-0.11126633466662073</v>
      </c>
      <c r="J678" s="5">
        <f t="shared" si="17"/>
        <v>1.2380197230144444E-2</v>
      </c>
      <c r="K678" s="5">
        <f>$C$17+$C$16*C678</f>
        <v>4.6418393823056929</v>
      </c>
      <c r="L678" s="5">
        <f>(D678-K678)^2</f>
        <v>0.51566672286781767</v>
      </c>
      <c r="M678" s="5">
        <f>$C$40+$C$41*EXP(-$C$42*C678)</f>
        <v>0</v>
      </c>
      <c r="N678" s="5">
        <f>(D678-M678)^2</f>
        <v>15.395735587600001</v>
      </c>
      <c r="O678" s="5">
        <f>(C678+C677)/2</f>
        <v>7.370183333333383</v>
      </c>
      <c r="P678" s="5" t="str">
        <f>IF(AND(D677&gt;6,D678&lt;=6),C677+(6-D677)*(C678-C677)/(D678-D677),"")</f>
        <v/>
      </c>
      <c r="Q678" s="5" t="str">
        <f>IF(AND(D677&gt;5,D678&lt;=5),C677+(5-D677)*(C678-C677)/(D678-D677),"")</f>
        <v/>
      </c>
      <c r="R678" s="5" t="str">
        <f>IF(AND(D677&gt;4,D678&lt;=4),C677+(4-D677)*(C678-C677)/(D678-D677),"")</f>
        <v/>
      </c>
      <c r="S678" s="5" t="str">
        <f>IF(AND(D677&gt;3,D678&lt;=3),C677+(3-D677)*(C678-C677)/(D678-D677),"")</f>
        <v/>
      </c>
    </row>
    <row r="679" spans="1:19" ht="20.100000000000001" customHeight="1">
      <c r="A679" t="s">
        <v>3</v>
      </c>
      <c r="B679">
        <v>334</v>
      </c>
      <c r="C679" s="5">
        <f>('Raw Data'!C334-'Raw Data'!$C$244)/60</f>
        <v>7.4950500000000222</v>
      </c>
      <c r="D679" s="5">
        <f>'Raw Data'!J334</f>
        <v>3.9295100000000001</v>
      </c>
      <c r="E679" s="5">
        <f>$D$589-D679</f>
        <v>3.3327399999999998</v>
      </c>
      <c r="F679" s="8">
        <f>10^(-D679)</f>
        <v>1.1762239008167091E-4</v>
      </c>
      <c r="G679" s="5">
        <f>(D679-D678)/(C679-C678)</f>
        <v>6.9240000000000884E-2</v>
      </c>
      <c r="H679" s="5">
        <f>$C$9+$C$10*EXP(-$C$11*C679)</f>
        <v>4.0220670172214676</v>
      </c>
      <c r="I679" s="5">
        <f>D679-H679</f>
        <v>-9.2557017221467586E-2</v>
      </c>
      <c r="J679" s="5">
        <f t="shared" si="17"/>
        <v>8.5668014369350478E-3</v>
      </c>
      <c r="K679" s="5">
        <f>$C$17+$C$16*C679</f>
        <v>4.6293968946550876</v>
      </c>
      <c r="L679" s="5">
        <f>(D679-K679)^2</f>
        <v>0.48984166530994167</v>
      </c>
      <c r="M679" s="5">
        <f>$C$40+$C$41*EXP(-$C$42*C679)</f>
        <v>0</v>
      </c>
      <c r="N679" s="5">
        <f>(D679-M679)^2</f>
        <v>15.441048840100001</v>
      </c>
      <c r="O679" s="5">
        <f>(C679+C678)/2</f>
        <v>7.4533833333333561</v>
      </c>
      <c r="P679" s="5" t="str">
        <f>IF(AND(D678&gt;6,D679&lt;=6),C678+(6-D678)*(C679-C678)/(D679-D678),"")</f>
        <v/>
      </c>
      <c r="Q679" s="5" t="str">
        <f>IF(AND(D678&gt;5,D679&lt;=5),C678+(5-D678)*(C679-C678)/(D679-D678),"")</f>
        <v/>
      </c>
      <c r="R679" s="5" t="str">
        <f>IF(AND(D678&gt;4,D679&lt;=4),C678+(4-D678)*(C679-C678)/(D679-D678),"")</f>
        <v/>
      </c>
      <c r="S679" s="5" t="str">
        <f>IF(AND(D678&gt;3,D679&lt;=3),C678+(3-D678)*(C679-C678)/(D679-D678),"")</f>
        <v/>
      </c>
    </row>
    <row r="680" spans="1:19" ht="20.100000000000001" customHeight="1">
      <c r="A680" t="s">
        <v>3</v>
      </c>
      <c r="B680">
        <v>335</v>
      </c>
      <c r="C680" s="5">
        <f>('Raw Data'!C335-'Raw Data'!$C$244)/60</f>
        <v>7.5783833333333552</v>
      </c>
      <c r="D680" s="5">
        <f>'Raw Data'!J335</f>
        <v>3.9191199999999999</v>
      </c>
      <c r="E680" s="5">
        <f>$D$589-D680</f>
        <v>3.3431299999999999</v>
      </c>
      <c r="F680" s="8">
        <f>10^(-D680)</f>
        <v>1.2047030226330609E-4</v>
      </c>
      <c r="G680" s="5">
        <f>(D680-D679)/(C680-C679)</f>
        <v>-0.1246800000000019</v>
      </c>
      <c r="H680" s="5">
        <f>$C$9+$C$10*EXP(-$C$11*C680)</f>
        <v>4.009414449426985</v>
      </c>
      <c r="I680" s="5">
        <f>D680-H680</f>
        <v>-9.0294449426985057E-2</v>
      </c>
      <c r="J680" s="5">
        <f t="shared" si="17"/>
        <v>8.1530875973223615E-3</v>
      </c>
      <c r="K680" s="5">
        <f>$C$17+$C$16*C680</f>
        <v>4.6169544070044823</v>
      </c>
      <c r="L680" s="5">
        <f>(D680-K680)^2</f>
        <v>0.48697285959929759</v>
      </c>
      <c r="M680" s="5">
        <f>$C$40+$C$41*EXP(-$C$42*C680)</f>
        <v>0</v>
      </c>
      <c r="N680" s="5">
        <f>(D680-M680)^2</f>
        <v>15.359501574399999</v>
      </c>
      <c r="O680" s="5">
        <f>(C680+C679)/2</f>
        <v>7.5367166666666883</v>
      </c>
      <c r="P680" s="5" t="str">
        <f>IF(AND(D679&gt;6,D680&lt;=6),C679+(6-D679)*(C680-C679)/(D680-D679),"")</f>
        <v/>
      </c>
      <c r="Q680" s="5" t="str">
        <f>IF(AND(D679&gt;5,D680&lt;=5),C679+(5-D679)*(C680-C679)/(D680-D679),"")</f>
        <v/>
      </c>
      <c r="R680" s="5" t="str">
        <f>IF(AND(D679&gt;4,D680&lt;=4),C679+(4-D679)*(C680-C679)/(D680-D679),"")</f>
        <v/>
      </c>
      <c r="S680" s="5" t="str">
        <f>IF(AND(D679&gt;3,D680&lt;=3),C679+(3-D679)*(C680-C679)/(D680-D679),"")</f>
        <v/>
      </c>
    </row>
    <row r="681" spans="1:19" ht="20.100000000000001" customHeight="1">
      <c r="A681" t="s">
        <v>3</v>
      </c>
      <c r="B681">
        <v>336</v>
      </c>
      <c r="C681" s="5">
        <f>('Raw Data'!C336-'Raw Data'!$C$244)/60</f>
        <v>7.6614500000000891</v>
      </c>
      <c r="D681" s="5">
        <f>'Raw Data'!J336</f>
        <v>3.9145099999999999</v>
      </c>
      <c r="E681" s="5">
        <f>$D$589-D681</f>
        <v>3.3477399999999999</v>
      </c>
      <c r="F681" s="8">
        <f>10^(-D681)</f>
        <v>1.2175589571914377E-4</v>
      </c>
      <c r="G681" s="5">
        <f>(D681-D680)/(C681-C680)</f>
        <v>-5.549759229530022E-2</v>
      </c>
      <c r="H681" s="5">
        <f>$C$9+$C$10*EXP(-$C$11*C681)</f>
        <v>3.9970814269824042</v>
      </c>
      <c r="I681" s="5">
        <f>D681-H681</f>
        <v>-8.2571426982404272E-2</v>
      </c>
      <c r="J681" s="5">
        <f t="shared" si="17"/>
        <v>6.8180405539105199E-3</v>
      </c>
      <c r="K681" s="5">
        <f>$C$17+$C$16*C681</f>
        <v>4.6045517353143488</v>
      </c>
      <c r="L681" s="5">
        <f>(D681-K681)^2</f>
        <v>0.47615759647563788</v>
      </c>
      <c r="M681" s="5">
        <f>$C$40+$C$41*EXP(-$C$42*C681)</f>
        <v>0</v>
      </c>
      <c r="N681" s="5">
        <f>(D681-M681)^2</f>
        <v>15.3233885401</v>
      </c>
      <c r="O681" s="5">
        <f>(C681+C680)/2</f>
        <v>7.6199166666667217</v>
      </c>
      <c r="P681" s="5" t="str">
        <f>IF(AND(D680&gt;6,D681&lt;=6),C680+(6-D680)*(C681-C680)/(D681-D680),"")</f>
        <v/>
      </c>
      <c r="Q681" s="5" t="str">
        <f>IF(AND(D680&gt;5,D681&lt;=5),C680+(5-D680)*(C681-C680)/(D681-D680),"")</f>
        <v/>
      </c>
      <c r="R681" s="5" t="str">
        <f>IF(AND(D680&gt;4,D681&lt;=4),C680+(4-D680)*(C681-C680)/(D681-D680),"")</f>
        <v/>
      </c>
      <c r="S681" s="5" t="str">
        <f>IF(AND(D680&gt;3,D681&lt;=3),C680+(3-D680)*(C681-C680)/(D681-D680),"")</f>
        <v/>
      </c>
    </row>
    <row r="682" spans="1:19" ht="20.100000000000001" customHeight="1">
      <c r="A682" t="s">
        <v>3</v>
      </c>
      <c r="B682">
        <v>337</v>
      </c>
      <c r="C682" s="5">
        <f>('Raw Data'!C337-'Raw Data'!$C$244)/60</f>
        <v>7.7450500000000222</v>
      </c>
      <c r="D682" s="5">
        <f>'Raw Data'!J337</f>
        <v>3.9006699999999999</v>
      </c>
      <c r="E682" s="5">
        <f>$D$589-D682</f>
        <v>3.36158</v>
      </c>
      <c r="F682" s="8">
        <f>10^(-D682)</f>
        <v>1.2569847246253021E-4</v>
      </c>
      <c r="G682" s="5">
        <f>(D682-D681)/(C682-C681)</f>
        <v>-0.1655502392345832</v>
      </c>
      <c r="H682" s="5">
        <f>$C$9+$C$10*EXP(-$C$11*C682)</f>
        <v>3.984944284853646</v>
      </c>
      <c r="I682" s="5">
        <f>D682-H682</f>
        <v>-8.4274284853646186E-2</v>
      </c>
      <c r="J682" s="5">
        <f t="shared" si="17"/>
        <v>7.102155087593499E-3</v>
      </c>
      <c r="K682" s="5">
        <f>$C$17+$C$16*C682</f>
        <v>4.5920694317032718</v>
      </c>
      <c r="L682" s="5">
        <f>(D682-K682)^2</f>
        <v>0.47803317415960733</v>
      </c>
      <c r="M682" s="5">
        <f>$C$40+$C$41*EXP(-$C$42*C682)</f>
        <v>0</v>
      </c>
      <c r="N682" s="5">
        <f>(D682-M682)^2</f>
        <v>15.215226448899999</v>
      </c>
      <c r="O682" s="5">
        <f>(C682+C681)/2</f>
        <v>7.7032500000000557</v>
      </c>
      <c r="P682" s="5" t="str">
        <f>IF(AND(D681&gt;6,D682&lt;=6),C681+(6-D681)*(C682-C681)/(D682-D681),"")</f>
        <v/>
      </c>
      <c r="Q682" s="5" t="str">
        <f>IF(AND(D681&gt;5,D682&lt;=5),C681+(5-D681)*(C682-C681)/(D682-D681),"")</f>
        <v/>
      </c>
      <c r="R682" s="5" t="str">
        <f>IF(AND(D681&gt;4,D682&lt;=4),C681+(4-D681)*(C682-C681)/(D682-D681),"")</f>
        <v/>
      </c>
      <c r="S682" s="5" t="str">
        <f>IF(AND(D681&gt;3,D682&lt;=3),C681+(3-D681)*(C682-C681)/(D682-D681),"")</f>
        <v/>
      </c>
    </row>
    <row r="683" spans="1:19" ht="20.100000000000001" customHeight="1">
      <c r="A683" t="s">
        <v>3</v>
      </c>
      <c r="B683">
        <v>338</v>
      </c>
      <c r="C683" s="5">
        <f>('Raw Data'!C338-'Raw Data'!$C$244)/60</f>
        <v>7.8281166666667561</v>
      </c>
      <c r="D683" s="5">
        <f>'Raw Data'!J338</f>
        <v>3.8983599999999998</v>
      </c>
      <c r="E683" s="5">
        <f>$D$589-D683</f>
        <v>3.36389</v>
      </c>
      <c r="F683" s="8">
        <f>10^(-D683)</f>
        <v>1.263688403166033E-4</v>
      </c>
      <c r="G683" s="5">
        <f>(D683-D682)/(C683-C682)</f>
        <v>-2.7808988764022848E-2</v>
      </c>
      <c r="H683" s="5">
        <f>$C$9+$C$10*EXP(-$C$11*C683)</f>
        <v>3.9731518324383712</v>
      </c>
      <c r="I683" s="5">
        <f>D683-H683</f>
        <v>-7.4791832438371397E-2</v>
      </c>
      <c r="J683" s="5">
        <f t="shared" si="17"/>
        <v>5.5938181994894236E-3</v>
      </c>
      <c r="K683" s="5">
        <f>$C$17+$C$16*C683</f>
        <v>4.5796667600131382</v>
      </c>
      <c r="L683" s="5">
        <f>(D683-K683)^2</f>
        <v>0.46417890123960015</v>
      </c>
      <c r="M683" s="5">
        <f>$C$40+$C$41*EXP(-$C$42*C683)</f>
        <v>0</v>
      </c>
      <c r="N683" s="5">
        <f>(D683-M683)^2</f>
        <v>15.197210689599999</v>
      </c>
      <c r="O683" s="5">
        <f>(C683+C682)/2</f>
        <v>7.7865833333333896</v>
      </c>
      <c r="P683" s="5" t="str">
        <f>IF(AND(D682&gt;6,D683&lt;=6),C682+(6-D682)*(C683-C682)/(D683-D682),"")</f>
        <v/>
      </c>
      <c r="Q683" s="5" t="str">
        <f>IF(AND(D682&gt;5,D683&lt;=5),C682+(5-D682)*(C683-C682)/(D683-D682),"")</f>
        <v/>
      </c>
      <c r="R683" s="5" t="str">
        <f>IF(AND(D682&gt;4,D683&lt;=4),C682+(4-D682)*(C683-C682)/(D683-D682),"")</f>
        <v/>
      </c>
      <c r="S683" s="5" t="str">
        <f>IF(AND(D682&gt;3,D683&lt;=3),C682+(3-D682)*(C683-C682)/(D683-D682),"")</f>
        <v/>
      </c>
    </row>
    <row r="684" spans="1:19" ht="20.100000000000001" customHeight="1">
      <c r="A684" t="s">
        <v>3</v>
      </c>
      <c r="B684">
        <v>339</v>
      </c>
      <c r="C684" s="5">
        <f>('Raw Data'!C339-'Raw Data'!$C$244)/60</f>
        <v>7.9114500000000891</v>
      </c>
      <c r="D684" s="5">
        <f>'Raw Data'!J339</f>
        <v>3.8914399999999998</v>
      </c>
      <c r="E684" s="5">
        <f>$D$589-D684</f>
        <v>3.3708100000000001</v>
      </c>
      <c r="F684" s="8">
        <f>10^(-D684)</f>
        <v>1.2839851473230241E-4</v>
      </c>
      <c r="G684" s="5">
        <f>(D684-D683)/(C684-C683)</f>
        <v>-8.3040000000000738E-2</v>
      </c>
      <c r="H684" s="5">
        <f>$C$9+$C$10*EXP(-$C$11*C684)</f>
        <v>3.9615832794853594</v>
      </c>
      <c r="I684" s="5">
        <f>D684-H684</f>
        <v>-7.0143279485359589E-2</v>
      </c>
      <c r="J684" s="5">
        <f t="shared" si="17"/>
        <v>4.9200796569612675E-3</v>
      </c>
      <c r="K684" s="5">
        <f>$C$17+$C$16*C684</f>
        <v>4.5672242723625329</v>
      </c>
      <c r="L684" s="5">
        <f>(D684-K684)^2</f>
        <v>0.45668438277255835</v>
      </c>
      <c r="M684" s="5">
        <f>$C$40+$C$41*EXP(-$C$42*C684)</f>
        <v>0</v>
      </c>
      <c r="N684" s="5">
        <f>(D684-M684)^2</f>
        <v>15.143305273599998</v>
      </c>
      <c r="O684" s="5">
        <f>(C684+C683)/2</f>
        <v>7.8697833333334231</v>
      </c>
      <c r="P684" s="5" t="str">
        <f>IF(AND(D683&gt;6,D684&lt;=6),C683+(6-D683)*(C684-C683)/(D684-D683),"")</f>
        <v/>
      </c>
      <c r="Q684" s="5" t="str">
        <f>IF(AND(D683&gt;5,D684&lt;=5),C683+(5-D683)*(C684-C683)/(D684-D683),"")</f>
        <v/>
      </c>
      <c r="R684" s="5" t="str">
        <f>IF(AND(D683&gt;4,D684&lt;=4),C683+(4-D683)*(C684-C683)/(D684-D683),"")</f>
        <v/>
      </c>
      <c r="S684" s="5" t="str">
        <f>IF(AND(D683&gt;3,D684&lt;=3),C683+(3-D683)*(C684-C683)/(D684-D683),"")</f>
        <v/>
      </c>
    </row>
    <row r="685" spans="1:19" ht="20.100000000000001" customHeight="1">
      <c r="A685" t="s">
        <v>3</v>
      </c>
      <c r="B685">
        <v>340</v>
      </c>
      <c r="C685" s="5">
        <f>('Raw Data'!C340-'Raw Data'!$C$244)/60</f>
        <v>7.9947833333334222</v>
      </c>
      <c r="D685" s="5">
        <f>'Raw Data'!J340</f>
        <v>3.8718300000000001</v>
      </c>
      <c r="E685" s="5">
        <f>$D$589-D685</f>
        <v>3.3904199999999998</v>
      </c>
      <c r="F685" s="8">
        <f>10^(-D685)</f>
        <v>1.3432906752228654E-4</v>
      </c>
      <c r="G685" s="5">
        <f>(D685-D684)/(C685-C684)</f>
        <v>-0.23531999999999703</v>
      </c>
      <c r="H685" s="5">
        <f>$C$9+$C$10*EXP(-$C$11*C685)</f>
        <v>3.9502710985189</v>
      </c>
      <c r="I685" s="5">
        <f>D685-H685</f>
        <v>-7.844109851889991E-2</v>
      </c>
      <c r="J685" s="5">
        <f t="shared" si="17"/>
        <v>6.1530059368517616E-3</v>
      </c>
      <c r="K685" s="5">
        <f>$C$17+$C$16*C685</f>
        <v>4.5547817847119276</v>
      </c>
      <c r="L685" s="5">
        <f>(D685-K685)^2</f>
        <v>0.46642314024120701</v>
      </c>
      <c r="M685" s="5">
        <f>$C$40+$C$41*EXP(-$C$42*C685)</f>
        <v>0</v>
      </c>
      <c r="N685" s="5">
        <f>(D685-M685)^2</f>
        <v>14.9910675489</v>
      </c>
      <c r="O685" s="5">
        <f>(C685+C684)/2</f>
        <v>7.9531166666667552</v>
      </c>
      <c r="P685" s="5" t="str">
        <f>IF(AND(D684&gt;6,D685&lt;=6),C684+(6-D684)*(C685-C684)/(D685-D684),"")</f>
        <v/>
      </c>
      <c r="Q685" s="5" t="str">
        <f>IF(AND(D684&gt;5,D685&lt;=5),C684+(5-D684)*(C685-C684)/(D685-D684),"")</f>
        <v/>
      </c>
      <c r="R685" s="5" t="str">
        <f>IF(AND(D684&gt;4,D685&lt;=4),C684+(4-D684)*(C685-C684)/(D685-D684),"")</f>
        <v/>
      </c>
      <c r="S685" s="5" t="str">
        <f>IF(AND(D684&gt;3,D685&lt;=3),C684+(3-D684)*(C685-C684)/(D685-D684),"")</f>
        <v/>
      </c>
    </row>
    <row r="686" spans="1:19" ht="20.100000000000001" customHeight="1">
      <c r="A686" t="s">
        <v>3</v>
      </c>
      <c r="B686">
        <v>341</v>
      </c>
      <c r="C686" s="5">
        <f>('Raw Data'!C341-'Raw Data'!$C$244)/60</f>
        <v>8.0781166666667552</v>
      </c>
      <c r="D686" s="5">
        <f>'Raw Data'!J341</f>
        <v>3.8706700000000001</v>
      </c>
      <c r="E686" s="5">
        <f>$D$589-D686</f>
        <v>3.3915799999999998</v>
      </c>
      <c r="F686" s="8">
        <f>10^(-D686)</f>
        <v>1.3468833988247874E-4</v>
      </c>
      <c r="G686" s="5">
        <f>(D686-D685)/(C686-C685)</f>
        <v>-1.3920000000000649E-2</v>
      </c>
      <c r="H686" s="5">
        <f>$C$9+$C$10*EXP(-$C$11*C686)</f>
        <v>3.9392096080509309</v>
      </c>
      <c r="I686" s="5">
        <f>D686-H686</f>
        <v>-6.8539608050930845E-2</v>
      </c>
      <c r="J686" s="5">
        <f t="shared" si="17"/>
        <v>4.697677871775224E-3</v>
      </c>
      <c r="K686" s="5">
        <f>$C$17+$C$16*C686</f>
        <v>4.5423392970613223</v>
      </c>
      <c r="L686" s="5">
        <f>(D686-K686)^2</f>
        <v>0.45113964461485079</v>
      </c>
      <c r="M686" s="5">
        <f>$C$40+$C$41*EXP(-$C$42*C686)</f>
        <v>0</v>
      </c>
      <c r="N686" s="5">
        <f>(D686-M686)^2</f>
        <v>14.9820862489</v>
      </c>
      <c r="O686" s="5">
        <f>(C686+C685)/2</f>
        <v>8.0364500000000891</v>
      </c>
      <c r="P686" s="5" t="str">
        <f>IF(AND(D685&gt;6,D686&lt;=6),C685+(6-D685)*(C686-C685)/(D686-D685),"")</f>
        <v/>
      </c>
      <c r="Q686" s="5" t="str">
        <f>IF(AND(D685&gt;5,D686&lt;=5),C685+(5-D685)*(C686-C685)/(D686-D685),"")</f>
        <v/>
      </c>
      <c r="R686" s="5" t="str">
        <f>IF(AND(D685&gt;4,D686&lt;=4),C685+(4-D685)*(C686-C685)/(D686-D685),"")</f>
        <v/>
      </c>
      <c r="S686" s="5" t="str">
        <f>IF(AND(D685&gt;3,D686&lt;=3),C685+(3-D685)*(C686-C685)/(D686-D685),"")</f>
        <v/>
      </c>
    </row>
    <row r="687" spans="1:19" ht="20.100000000000001" customHeight="1">
      <c r="A687" t="s">
        <v>3</v>
      </c>
      <c r="B687">
        <v>342</v>
      </c>
      <c r="C687" s="5">
        <f>('Raw Data'!C342-'Raw Data'!$C$244)/60</f>
        <v>8.1612000000000986</v>
      </c>
      <c r="D687" s="5">
        <f>'Raw Data'!J342</f>
        <v>3.86721</v>
      </c>
      <c r="E687" s="5">
        <f>$D$589-D687</f>
        <v>3.3950399999999998</v>
      </c>
      <c r="F687" s="8">
        <f>10^(-D687)</f>
        <v>1.3576568025760297E-4</v>
      </c>
      <c r="G687" s="5">
        <f>(D687-D686)/(C687-C686)</f>
        <v>-4.1644934804408423E-2</v>
      </c>
      <c r="H687" s="5">
        <f>$C$9+$C$10*EXP(-$C$11*C687)</f>
        <v>3.9284253404072178</v>
      </c>
      <c r="I687" s="5">
        <f>D687-H687</f>
        <v>-6.1215340407217766E-2</v>
      </c>
      <c r="J687" s="5">
        <f t="shared" si="17"/>
        <v>3.7473179011715484E-3</v>
      </c>
      <c r="K687" s="5">
        <f>$C$17+$C$16*C687</f>
        <v>4.5299341368736679</v>
      </c>
      <c r="L687" s="5">
        <f>(D687-K687)^2</f>
        <v>0.43920328159494798</v>
      </c>
      <c r="M687" s="5">
        <f>$C$40+$C$41*EXP(-$C$42*C687)</f>
        <v>0</v>
      </c>
      <c r="N687" s="5">
        <f>(D687-M687)^2</f>
        <v>14.9553131841</v>
      </c>
      <c r="O687" s="5">
        <f>(C687+C686)/2</f>
        <v>8.119658333333426</v>
      </c>
      <c r="P687" s="5" t="str">
        <f>IF(AND(D686&gt;6,D687&lt;=6),C686+(6-D686)*(C687-C686)/(D687-D686),"")</f>
        <v/>
      </c>
      <c r="Q687" s="5" t="str">
        <f>IF(AND(D686&gt;5,D687&lt;=5),C686+(5-D686)*(C687-C686)/(D687-D686),"")</f>
        <v/>
      </c>
      <c r="R687" s="5" t="str">
        <f>IF(AND(D686&gt;4,D687&lt;=4),C686+(4-D686)*(C687-C686)/(D687-D686),"")</f>
        <v/>
      </c>
      <c r="S687" s="5" t="str">
        <f>IF(AND(D686&gt;3,D687&lt;=3),C686+(3-D686)*(C687-C686)/(D687-D686),"")</f>
        <v/>
      </c>
    </row>
    <row r="688" spans="1:19" ht="20.100000000000001" customHeight="1">
      <c r="A688" t="s">
        <v>3</v>
      </c>
      <c r="B688">
        <v>343</v>
      </c>
      <c r="C688" s="5">
        <f>('Raw Data'!C343-'Raw Data'!$C$244)/60</f>
        <v>8.2447833333334231</v>
      </c>
      <c r="D688" s="5">
        <f>'Raw Data'!J343</f>
        <v>3.85337</v>
      </c>
      <c r="E688" s="5">
        <f>$D$589-D688</f>
        <v>3.4088799999999999</v>
      </c>
      <c r="F688" s="8">
        <f>10^(-D688)</f>
        <v>1.4016190772874246E-4</v>
      </c>
      <c r="G688" s="5">
        <f>(D688-D687)/(C688-C687)</f>
        <v>-0.1655832502492707</v>
      </c>
      <c r="H688" s="5">
        <f>$C$9+$C$10*EXP(-$C$11*C688)</f>
        <v>3.917816599408396</v>
      </c>
      <c r="I688" s="5">
        <f>D688-H688</f>
        <v>-6.4446599408396033E-2</v>
      </c>
      <c r="J688" s="5">
        <f t="shared" si="17"/>
        <v>4.1533641753062718E-3</v>
      </c>
      <c r="K688" s="5">
        <f>$C$17+$C$16*C688</f>
        <v>4.5174543217601117</v>
      </c>
      <c r="L688" s="5">
        <f>(D688-K688)^2</f>
        <v>0.4410079864075877</v>
      </c>
      <c r="M688" s="5">
        <f>$C$40+$C$41*EXP(-$C$42*C688)</f>
        <v>0</v>
      </c>
      <c r="N688" s="5">
        <f>(D688-M688)^2</f>
        <v>14.8484603569</v>
      </c>
      <c r="O688" s="5">
        <f>(C688+C687)/2</f>
        <v>8.2029916666667617</v>
      </c>
      <c r="P688" s="5" t="str">
        <f>IF(AND(D687&gt;6,D688&lt;=6),C687+(6-D687)*(C688-C687)/(D688-D687),"")</f>
        <v/>
      </c>
      <c r="Q688" s="5" t="str">
        <f>IF(AND(D687&gt;5,D688&lt;=5),C687+(5-D687)*(C688-C687)/(D688-D687),"")</f>
        <v/>
      </c>
      <c r="R688" s="5" t="str">
        <f>IF(AND(D687&gt;4,D688&lt;=4),C687+(4-D687)*(C688-C687)/(D688-D687),"")</f>
        <v/>
      </c>
      <c r="S688" s="5" t="str">
        <f>IF(AND(D687&gt;3,D688&lt;=3),C687+(3-D687)*(C688-C687)/(D688-D687),"")</f>
        <v/>
      </c>
    </row>
    <row r="689" spans="1:19" ht="20.100000000000001" customHeight="1">
      <c r="A689" t="s">
        <v>3</v>
      </c>
      <c r="B689">
        <v>344</v>
      </c>
      <c r="C689" s="5">
        <f>('Raw Data'!C344-'Raw Data'!$C$244)/60</f>
        <v>8.3278666666667664</v>
      </c>
      <c r="D689" s="5">
        <f>'Raw Data'!J344</f>
        <v>3.8545199999999999</v>
      </c>
      <c r="E689" s="5">
        <f>$D$589-D689</f>
        <v>3.4077299999999999</v>
      </c>
      <c r="F689" s="8">
        <f>10^(-D689)</f>
        <v>1.3979125375890316E-4</v>
      </c>
      <c r="G689" s="5">
        <f>(D689-D688)/(C689-C688)</f>
        <v>1.38415245737193E-2</v>
      </c>
      <c r="H689" s="5">
        <f>$C$9+$C$10*EXP(-$C$11*C689)</f>
        <v>3.9075050181562312</v>
      </c>
      <c r="I689" s="5">
        <f>D689-H689</f>
        <v>-5.2985018156231245E-2</v>
      </c>
      <c r="J689" s="5">
        <f t="shared" si="17"/>
        <v>2.8074121490161545E-3</v>
      </c>
      <c r="K689" s="5">
        <f>$C$17+$C$16*C689</f>
        <v>4.5050491615724564</v>
      </c>
      <c r="L689" s="5">
        <f>(D689-K689)^2</f>
        <v>0.42318819005616315</v>
      </c>
      <c r="M689" s="5">
        <f>$C$40+$C$41*EXP(-$C$42*C689)</f>
        <v>0</v>
      </c>
      <c r="N689" s="5">
        <f>(D689-M689)^2</f>
        <v>14.8573244304</v>
      </c>
      <c r="O689" s="5">
        <f>(C689+C688)/2</f>
        <v>8.2863250000000939</v>
      </c>
      <c r="P689" s="5" t="str">
        <f>IF(AND(D688&gt;6,D689&lt;=6),C688+(6-D688)*(C689-C688)/(D689-D688),"")</f>
        <v/>
      </c>
      <c r="Q689" s="5" t="str">
        <f>IF(AND(D688&gt;5,D689&lt;=5),C688+(5-D688)*(C689-C688)/(D689-D688),"")</f>
        <v/>
      </c>
      <c r="R689" s="5" t="str">
        <f>IF(AND(D688&gt;4,D689&lt;=4),C688+(4-D688)*(C689-C688)/(D689-D688),"")</f>
        <v/>
      </c>
      <c r="S689" s="5" t="str">
        <f>IF(AND(D688&gt;3,D689&lt;=3),C688+(3-D688)*(C689-C688)/(D689-D688),"")</f>
        <v/>
      </c>
    </row>
    <row r="690" spans="1:19" ht="20.100000000000001" customHeight="1">
      <c r="A690" t="s">
        <v>3</v>
      </c>
      <c r="B690">
        <v>345</v>
      </c>
      <c r="C690" s="5">
        <f>('Raw Data'!C345-'Raw Data'!$C$244)/60</f>
        <v>8.4112000000000986</v>
      </c>
      <c r="D690" s="5">
        <f>'Raw Data'!J345</f>
        <v>3.8452899999999999</v>
      </c>
      <c r="E690" s="5">
        <f>$D$589-D690</f>
        <v>3.41696</v>
      </c>
      <c r="F690" s="8">
        <f>10^(-D690)</f>
        <v>1.4279401335254901E-4</v>
      </c>
      <c r="G690" s="5">
        <f>(D690-D689)/(C690-C689)</f>
        <v>-0.11076000000000243</v>
      </c>
      <c r="H690" s="5">
        <f>$C$9+$C$10*EXP(-$C$11*C690)</f>
        <v>3.8973912715438814</v>
      </c>
      <c r="I690" s="5">
        <f>D690-H690</f>
        <v>-5.2101271543881555E-2</v>
      </c>
      <c r="J690" s="5">
        <f t="shared" si="17"/>
        <v>2.7145424964892819E-3</v>
      </c>
      <c r="K690" s="5">
        <f>$C$17+$C$16*C690</f>
        <v>4.492606673921852</v>
      </c>
      <c r="L690" s="5">
        <f>(D690-K690)^2</f>
        <v>0.41901887633724938</v>
      </c>
      <c r="M690" s="5">
        <f>$C$40+$C$41*EXP(-$C$42*C690)</f>
        <v>0</v>
      </c>
      <c r="N690" s="5">
        <f>(D690-M690)^2</f>
        <v>14.7862551841</v>
      </c>
      <c r="O690" s="5">
        <f>(C690+C689)/2</f>
        <v>8.3695333333334325</v>
      </c>
      <c r="P690" s="5" t="str">
        <f>IF(AND(D689&gt;6,D690&lt;=6),C689+(6-D689)*(C690-C689)/(D690-D689),"")</f>
        <v/>
      </c>
      <c r="Q690" s="5" t="str">
        <f>IF(AND(D689&gt;5,D690&lt;=5),C689+(5-D689)*(C690-C689)/(D690-D689),"")</f>
        <v/>
      </c>
      <c r="R690" s="5" t="str">
        <f>IF(AND(D689&gt;4,D690&lt;=4),C689+(4-D689)*(C690-C689)/(D690-D689),"")</f>
        <v/>
      </c>
      <c r="S690" s="5" t="str">
        <f>IF(AND(D689&gt;3,D690&lt;=3),C689+(3-D689)*(C690-C689)/(D690-D689),"")</f>
        <v/>
      </c>
    </row>
    <row r="691" spans="1:19" ht="20.100000000000001" customHeight="1">
      <c r="A691" t="s">
        <v>3</v>
      </c>
      <c r="B691">
        <v>346</v>
      </c>
      <c r="C691" s="5">
        <f>('Raw Data'!C346-'Raw Data'!$C$244)/60</f>
        <v>8.4942666666667108</v>
      </c>
      <c r="D691" s="5">
        <f>'Raw Data'!J346</f>
        <v>3.8429899999999999</v>
      </c>
      <c r="E691" s="5">
        <f>$D$589-D691</f>
        <v>3.41926</v>
      </c>
      <c r="F691" s="8">
        <f>10^(-D691)</f>
        <v>1.4355224870999037E-4</v>
      </c>
      <c r="G691" s="5">
        <f>(D691-D690)/(C691-C690)</f>
        <v>-2.7688603531317933E-2</v>
      </c>
      <c r="H691" s="5">
        <f>$C$9+$C$10*EXP(-$C$11*C691)</f>
        <v>3.8875329513993235</v>
      </c>
      <c r="I691" s="5">
        <f>D691-H691</f>
        <v>-4.4542951399323627E-2</v>
      </c>
      <c r="J691" s="5">
        <f t="shared" si="17"/>
        <v>1.9840745193625067E-3</v>
      </c>
      <c r="K691" s="5">
        <f>$C$17+$C$16*C691</f>
        <v>4.4802040022317371</v>
      </c>
      <c r="L691" s="5">
        <f>(D691-K691)^2</f>
        <v>0.40604168464018836</v>
      </c>
      <c r="M691" s="5">
        <f>$C$40+$C$41*EXP(-$C$42*C691)</f>
        <v>0</v>
      </c>
      <c r="N691" s="5">
        <f>(D691-M691)^2</f>
        <v>14.7685721401</v>
      </c>
      <c r="O691" s="5">
        <f>(C691+C690)/2</f>
        <v>8.4527333333334056</v>
      </c>
      <c r="P691" s="5" t="str">
        <f>IF(AND(D690&gt;6,D691&lt;=6),C690+(6-D690)*(C691-C690)/(D691-D690),"")</f>
        <v/>
      </c>
      <c r="Q691" s="5" t="str">
        <f>IF(AND(D690&gt;5,D691&lt;=5),C690+(5-D690)*(C691-C690)/(D691-D690),"")</f>
        <v/>
      </c>
      <c r="R691" s="5" t="str">
        <f>IF(AND(D690&gt;4,D691&lt;=4),C690+(4-D690)*(C691-C690)/(D691-D690),"")</f>
        <v/>
      </c>
      <c r="S691" s="5" t="str">
        <f>IF(AND(D690&gt;3,D691&lt;=3),C690+(3-D690)*(C691-C690)/(D691-D690),"")</f>
        <v/>
      </c>
    </row>
    <row r="692" spans="1:19" ht="20.100000000000001" customHeight="1">
      <c r="A692" t="s">
        <v>3</v>
      </c>
      <c r="B692">
        <v>347</v>
      </c>
      <c r="C692" s="5">
        <f>('Raw Data'!C347-'Raw Data'!$C$244)/60</f>
        <v>8.5778666666667664</v>
      </c>
      <c r="D692" s="5">
        <f>'Raw Data'!J347</f>
        <v>3.8325999999999998</v>
      </c>
      <c r="E692" s="5">
        <f>$D$589-D692</f>
        <v>3.4296500000000001</v>
      </c>
      <c r="F692" s="8">
        <f>10^(-D692)</f>
        <v>1.470279831982833E-4</v>
      </c>
      <c r="G692" s="5">
        <f>(D692-D691)/(C692-C691)</f>
        <v>-0.12428229665063645</v>
      </c>
      <c r="H692" s="5">
        <f>$C$9+$C$10*EXP(-$C$11*C692)</f>
        <v>3.8778312068931973</v>
      </c>
      <c r="I692" s="5">
        <f>D692-H692</f>
        <v>-4.5231206893197484E-2</v>
      </c>
      <c r="J692" s="5">
        <f t="shared" si="17"/>
        <v>2.0458620770152356E-3</v>
      </c>
      <c r="K692" s="5">
        <f>$C$17+$C$16*C692</f>
        <v>4.4677216986206414</v>
      </c>
      <c r="L692" s="5">
        <f>(D692-K692)^2</f>
        <v>0.40337957205876912</v>
      </c>
      <c r="M692" s="5">
        <f>$C$40+$C$41*EXP(-$C$42*C692)</f>
        <v>0</v>
      </c>
      <c r="N692" s="5">
        <f>(D692-M692)^2</f>
        <v>14.688822759999999</v>
      </c>
      <c r="O692" s="5">
        <f>(C692+C691)/2</f>
        <v>8.5360666666667377</v>
      </c>
      <c r="P692" s="5" t="str">
        <f>IF(AND(D691&gt;6,D692&lt;=6),C691+(6-D691)*(C692-C691)/(D692-D691),"")</f>
        <v/>
      </c>
      <c r="Q692" s="5" t="str">
        <f>IF(AND(D691&gt;5,D692&lt;=5),C691+(5-D691)*(C692-C691)/(D692-D691),"")</f>
        <v/>
      </c>
      <c r="R692" s="5" t="str">
        <f>IF(AND(D691&gt;4,D692&lt;=4),C691+(4-D691)*(C692-C691)/(D692-D691),"")</f>
        <v/>
      </c>
      <c r="S692" s="5" t="str">
        <f>IF(AND(D691&gt;3,D692&lt;=3),C691+(3-D691)*(C692-C691)/(D692-D691),"")</f>
        <v/>
      </c>
    </row>
    <row r="693" spans="1:19" ht="20.100000000000001" customHeight="1">
      <c r="A693" t="s">
        <v>3</v>
      </c>
      <c r="B693">
        <v>348</v>
      </c>
      <c r="C693" s="5">
        <f>('Raw Data'!C348-'Raw Data'!$C$244)/60</f>
        <v>8.6609333333333787</v>
      </c>
      <c r="D693" s="5">
        <f>'Raw Data'!J348</f>
        <v>3.8360699999999999</v>
      </c>
      <c r="E693" s="5">
        <f>$D$589-D693</f>
        <v>3.42618</v>
      </c>
      <c r="F693" s="8">
        <f>10^(-D693)</f>
        <v>1.4585791461459757E-4</v>
      </c>
      <c r="G693" s="5">
        <f>(D693-D692)/(C693-C692)</f>
        <v>4.1773675762468203E-2</v>
      </c>
      <c r="H693" s="5">
        <f>$C$9+$C$10*EXP(-$C$11*C693)</f>
        <v>3.8684049878360569</v>
      </c>
      <c r="I693" s="5">
        <f>D693-H693</f>
        <v>-3.2334987836057039E-2</v>
      </c>
      <c r="J693" s="5">
        <f t="shared" si="17"/>
        <v>1.0455514383579567E-3</v>
      </c>
      <c r="K693" s="5">
        <f>$C$17+$C$16*C693</f>
        <v>4.4553190269305256</v>
      </c>
      <c r="L693" s="5">
        <f>(D693-K693)^2</f>
        <v>0.38346935735440302</v>
      </c>
      <c r="M693" s="5">
        <f>$C$40+$C$41*EXP(-$C$42*C693)</f>
        <v>0</v>
      </c>
      <c r="N693" s="5">
        <f>(D693-M693)^2</f>
        <v>14.715433044899999</v>
      </c>
      <c r="O693" s="5">
        <f>(C693+C692)/2</f>
        <v>8.6194000000000734</v>
      </c>
      <c r="P693" s="5" t="str">
        <f>IF(AND(D692&gt;6,D693&lt;=6),C692+(6-D692)*(C693-C692)/(D693-D692),"")</f>
        <v/>
      </c>
      <c r="Q693" s="5" t="str">
        <f>IF(AND(D692&gt;5,D693&lt;=5),C692+(5-D692)*(C693-C692)/(D693-D692),"")</f>
        <v/>
      </c>
      <c r="R693" s="5" t="str">
        <f>IF(AND(D692&gt;4,D693&lt;=4),C692+(4-D692)*(C693-C692)/(D693-D692),"")</f>
        <v/>
      </c>
      <c r="S693" s="5" t="str">
        <f>IF(AND(D692&gt;3,D693&lt;=3),C692+(3-D692)*(C693-C692)/(D693-D692),"")</f>
        <v/>
      </c>
    </row>
    <row r="694" spans="1:19" ht="20.100000000000001" customHeight="1">
      <c r="A694" t="s">
        <v>3</v>
      </c>
      <c r="B694">
        <v>349</v>
      </c>
      <c r="C694" s="5">
        <f>('Raw Data'!C349-'Raw Data'!$C$244)/60</f>
        <v>8.7442666666667108</v>
      </c>
      <c r="D694" s="5">
        <f>'Raw Data'!J349</f>
        <v>3.8222200000000002</v>
      </c>
      <c r="E694" s="5">
        <f>$D$589-D694</f>
        <v>3.4400299999999997</v>
      </c>
      <c r="F694" s="8">
        <f>10^(-D694)</f>
        <v>1.5058440594469791E-4</v>
      </c>
      <c r="G694" s="5">
        <f>(D694-D693)/(C694-C693)</f>
        <v>-0.16619999999999871</v>
      </c>
      <c r="H694" s="5">
        <f>$C$9+$C$10*EXP(-$C$11*C694)</f>
        <v>3.8591577413372606</v>
      </c>
      <c r="I694" s="5">
        <f>D694-H694</f>
        <v>-3.6937741337260466E-2</v>
      </c>
      <c r="J694" s="5">
        <f t="shared" si="17"/>
        <v>1.3643967350983606E-3</v>
      </c>
      <c r="K694" s="5">
        <f>$C$17+$C$16*C694</f>
        <v>4.4428765392799203</v>
      </c>
      <c r="L694" s="5">
        <f>(D694-K694)^2</f>
        <v>0.38521453975092707</v>
      </c>
      <c r="M694" s="5">
        <f>$C$40+$C$41*EXP(-$C$42*C694)</f>
        <v>0</v>
      </c>
      <c r="N694" s="5">
        <f>(D694-M694)^2</f>
        <v>14.609365728400002</v>
      </c>
      <c r="O694" s="5">
        <f>(C694+C693)/2</f>
        <v>8.7026000000000447</v>
      </c>
      <c r="P694" s="5" t="str">
        <f>IF(AND(D693&gt;6,D694&lt;=6),C693+(6-D693)*(C694-C693)/(D694-D693),"")</f>
        <v/>
      </c>
      <c r="Q694" s="5" t="str">
        <f>IF(AND(D693&gt;5,D694&lt;=5),C693+(5-D693)*(C694-C693)/(D694-D693),"")</f>
        <v/>
      </c>
      <c r="R694" s="5" t="str">
        <f>IF(AND(D693&gt;4,D694&lt;=4),C693+(4-D693)*(C694-C693)/(D694-D693),"")</f>
        <v/>
      </c>
      <c r="S694" s="5" t="str">
        <f>IF(AND(D693&gt;3,D694&lt;=3),C693+(3-D693)*(C694-C693)/(D694-D693),"")</f>
        <v/>
      </c>
    </row>
    <row r="695" spans="1:19" ht="20.100000000000001" customHeight="1">
      <c r="A695" t="s">
        <v>3</v>
      </c>
      <c r="B695">
        <v>350</v>
      </c>
      <c r="C695" s="5">
        <f>('Raw Data'!C350-'Raw Data'!$C$244)/60</f>
        <v>8.8276000000000447</v>
      </c>
      <c r="D695" s="5">
        <f>'Raw Data'!J350</f>
        <v>3.8199100000000001</v>
      </c>
      <c r="E695" s="5">
        <f>$D$589-D695</f>
        <v>3.4423399999999997</v>
      </c>
      <c r="F695" s="8">
        <f>10^(-D695)</f>
        <v>1.5138749402597966E-4</v>
      </c>
      <c r="G695" s="5">
        <f>(D695-D694)/(C695-C694)</f>
        <v>-2.7720000000000213E-2</v>
      </c>
      <c r="H695" s="5">
        <f>$C$9+$C$10*EXP(-$C$11*C695)</f>
        <v>3.8501154240949287</v>
      </c>
      <c r="I695" s="5">
        <f>D695-H695</f>
        <v>-3.0205424094928546E-2</v>
      </c>
      <c r="J695" s="5">
        <f t="shared" si="17"/>
        <v>9.1236764475449001E-4</v>
      </c>
      <c r="K695" s="5">
        <f>$C$17+$C$16*C695</f>
        <v>4.4304340516293159</v>
      </c>
      <c r="L695" s="5">
        <f>(D695-K695)^2</f>
        <v>0.37273961761787544</v>
      </c>
      <c r="M695" s="5">
        <f>$C$40+$C$41*EXP(-$C$42*C695)</f>
        <v>0</v>
      </c>
      <c r="N695" s="5">
        <f>(D695-M695)^2</f>
        <v>14.591712408100001</v>
      </c>
      <c r="O695" s="5">
        <f>(C695+C694)/2</f>
        <v>8.7859333333333787</v>
      </c>
      <c r="P695" s="5" t="str">
        <f>IF(AND(D694&gt;6,D695&lt;=6),C694+(6-D694)*(C695-C694)/(D695-D694),"")</f>
        <v/>
      </c>
      <c r="Q695" s="5" t="str">
        <f>IF(AND(D694&gt;5,D695&lt;=5),C694+(5-D694)*(C695-C694)/(D695-D694),"")</f>
        <v/>
      </c>
      <c r="R695" s="5" t="str">
        <f>IF(AND(D694&gt;4,D695&lt;=4),C694+(4-D694)*(C695-C694)/(D695-D694),"")</f>
        <v/>
      </c>
      <c r="S695" s="5" t="str">
        <f>IF(AND(D694&gt;3,D695&lt;=3),C694+(3-D694)*(C695-C694)/(D695-D694),"")</f>
        <v/>
      </c>
    </row>
    <row r="696" spans="1:19" ht="20.100000000000001" customHeight="1">
      <c r="A696" t="s">
        <v>3</v>
      </c>
      <c r="B696">
        <v>351</v>
      </c>
      <c r="C696" s="5">
        <f>('Raw Data'!C351-'Raw Data'!$C$244)/60</f>
        <v>8.9109333333333787</v>
      </c>
      <c r="D696" s="5">
        <f>'Raw Data'!J351</f>
        <v>3.8072300000000001</v>
      </c>
      <c r="E696" s="5">
        <f>$D$589-D696</f>
        <v>3.4550199999999998</v>
      </c>
      <c r="F696" s="8">
        <f>10^(-D696)</f>
        <v>1.5587267909532204E-4</v>
      </c>
      <c r="G696" s="5">
        <f>(D696-D695)/(C696-C695)</f>
        <v>-0.15215999999999921</v>
      </c>
      <c r="H696" s="5">
        <f>$C$9+$C$10*EXP(-$C$11*C696)</f>
        <v>3.8412734946490534</v>
      </c>
      <c r="I696" s="5">
        <f>D696-H696</f>
        <v>-3.4043494649053319E-2</v>
      </c>
      <c r="J696" s="5">
        <f t="shared" si="17"/>
        <v>1.1589595279201219E-3</v>
      </c>
      <c r="K696" s="5">
        <f>$C$17+$C$16*C696</f>
        <v>4.4179915639787097</v>
      </c>
      <c r="L696" s="5">
        <f>(D696-K696)^2</f>
        <v>0.37302968803371939</v>
      </c>
      <c r="M696" s="5">
        <f>$C$40+$C$41*EXP(-$C$42*C696)</f>
        <v>0</v>
      </c>
      <c r="N696" s="5">
        <f>(D696-M696)^2</f>
        <v>14.4950002729</v>
      </c>
      <c r="O696" s="5">
        <f>(C696+C695)/2</f>
        <v>8.8692666666667108</v>
      </c>
      <c r="P696" s="5" t="str">
        <f>IF(AND(D695&gt;6,D696&lt;=6),C695+(6-D695)*(C696-C695)/(D696-D695),"")</f>
        <v/>
      </c>
      <c r="Q696" s="5" t="str">
        <f>IF(AND(D695&gt;5,D696&lt;=5),C695+(5-D695)*(C696-C695)/(D696-D695),"")</f>
        <v/>
      </c>
      <c r="R696" s="5" t="str">
        <f>IF(AND(D695&gt;4,D696&lt;=4),C695+(4-D695)*(C696-C695)/(D696-D695),"")</f>
        <v/>
      </c>
      <c r="S696" s="5" t="str">
        <f>IF(AND(D695&gt;3,D696&lt;=3),C695+(3-D695)*(C696-C695)/(D696-D695),"")</f>
        <v/>
      </c>
    </row>
    <row r="697" spans="1:19" ht="20.100000000000001" customHeight="1">
      <c r="A697" t="s">
        <v>3</v>
      </c>
      <c r="B697">
        <v>352</v>
      </c>
      <c r="C697" s="5">
        <f>('Raw Data'!C352-'Raw Data'!$C$244)/60</f>
        <v>8.9940166666667203</v>
      </c>
      <c r="D697" s="5">
        <f>'Raw Data'!J352</f>
        <v>3.8129900000000001</v>
      </c>
      <c r="E697" s="5">
        <f>$D$589-D697</f>
        <v>3.4492599999999998</v>
      </c>
      <c r="F697" s="8">
        <f>10^(-D697)</f>
        <v>1.5381900580302492E-4</v>
      </c>
      <c r="G697" s="5">
        <f>(D697-D696)/(C697-C696)</f>
        <v>6.9327983951848499E-2</v>
      </c>
      <c r="H697" s="5">
        <f>$C$9+$C$10*EXP(-$C$11*C697)</f>
        <v>3.8326531614392336</v>
      </c>
      <c r="I697" s="5">
        <f>D697-H697</f>
        <v>-1.9663161439233523E-2</v>
      </c>
      <c r="J697" s="5">
        <f t="shared" si="17"/>
        <v>3.8663991778536017E-4</v>
      </c>
      <c r="K697" s="5">
        <f>$C$17+$C$16*C697</f>
        <v>4.4055864037910553</v>
      </c>
      <c r="L697" s="5">
        <f>(D697-K697)^2</f>
        <v>0.35117049778609127</v>
      </c>
      <c r="M697" s="5">
        <f>$C$40+$C$41*EXP(-$C$42*C697)</f>
        <v>0</v>
      </c>
      <c r="N697" s="5">
        <f>(D697-M697)^2</f>
        <v>14.538892740100001</v>
      </c>
      <c r="O697" s="5">
        <f>(C697+C696)/2</f>
        <v>8.9524750000000495</v>
      </c>
      <c r="P697" s="5" t="str">
        <f>IF(AND(D696&gt;6,D697&lt;=6),C696+(6-D696)*(C697-C696)/(D697-D696),"")</f>
        <v/>
      </c>
      <c r="Q697" s="5" t="str">
        <f>IF(AND(D696&gt;5,D697&lt;=5),C696+(5-D696)*(C697-C696)/(D697-D696),"")</f>
        <v/>
      </c>
      <c r="R697" s="5" t="str">
        <f>IF(AND(D696&gt;4,D697&lt;=4),C696+(4-D696)*(C697-C696)/(D697-D696),"")</f>
        <v/>
      </c>
      <c r="S697" s="5" t="str">
        <f>IF(AND(D696&gt;3,D697&lt;=3),C696+(3-D696)*(C697-C696)/(D697-D696),"")</f>
        <v/>
      </c>
    </row>
    <row r="698" spans="1:19" ht="20.100000000000001" customHeight="1">
      <c r="A698" t="s">
        <v>3</v>
      </c>
      <c r="B698">
        <v>353</v>
      </c>
      <c r="C698" s="5">
        <f>('Raw Data'!C353-'Raw Data'!$C$244)/60</f>
        <v>9.0773500000000542</v>
      </c>
      <c r="D698" s="5">
        <f>'Raw Data'!J353</f>
        <v>3.798</v>
      </c>
      <c r="E698" s="5">
        <f>$D$589-D698</f>
        <v>3.4642499999999998</v>
      </c>
      <c r="F698" s="8">
        <f>10^(-D698)</f>
        <v>1.5922087270511679E-4</v>
      </c>
      <c r="G698" s="5">
        <f>(D698-D697)/(C698-C697)</f>
        <v>-0.17987999999999943</v>
      </c>
      <c r="H698" s="5">
        <f>$C$9+$C$10*EXP(-$C$11*C698)</f>
        <v>3.8241982151350635</v>
      </c>
      <c r="I698" s="5">
        <f>D698-H698</f>
        <v>-2.6198215135063485E-2</v>
      </c>
      <c r="J698" s="5">
        <f t="shared" si="17"/>
        <v>6.8634647626306946E-4</v>
      </c>
      <c r="K698" s="5">
        <f>$C$17+$C$16*C698</f>
        <v>4.39314391614045</v>
      </c>
      <c r="L698" s="5">
        <f>(D698-K698)^2</f>
        <v>0.35419628091899091</v>
      </c>
      <c r="M698" s="5">
        <f>$C$40+$C$41*EXP(-$C$42*C698)</f>
        <v>0</v>
      </c>
      <c r="N698" s="5">
        <f>(D698-M698)^2</f>
        <v>14.424804</v>
      </c>
      <c r="O698" s="5">
        <f>(C698+C697)/2</f>
        <v>9.0356833333333881</v>
      </c>
      <c r="P698" s="5" t="str">
        <f>IF(AND(D697&gt;6,D698&lt;=6),C697+(6-D697)*(C698-C697)/(D698-D697),"")</f>
        <v/>
      </c>
      <c r="Q698" s="5" t="str">
        <f>IF(AND(D697&gt;5,D698&lt;=5),C697+(5-D697)*(C698-C697)/(D698-D697),"")</f>
        <v/>
      </c>
      <c r="R698" s="5" t="str">
        <f>IF(AND(D697&gt;4,D698&lt;=4),C697+(4-D697)*(C698-C697)/(D698-D697),"")</f>
        <v/>
      </c>
      <c r="S698" s="5" t="str">
        <f>IF(AND(D697&gt;3,D698&lt;=3),C697+(3-D697)*(C698-C697)/(D698-D697),"")</f>
        <v/>
      </c>
    </row>
    <row r="699" spans="1:19" ht="20.100000000000001" customHeight="1">
      <c r="A699" t="s">
        <v>3</v>
      </c>
      <c r="B699">
        <v>354</v>
      </c>
      <c r="C699" s="5">
        <f>('Raw Data'!C354-'Raw Data'!$C$244)/60</f>
        <v>9.1606833333333881</v>
      </c>
      <c r="D699" s="5">
        <f>'Raw Data'!J354</f>
        <v>3.79454</v>
      </c>
      <c r="E699" s="5">
        <f>$D$589-D699</f>
        <v>3.4677099999999998</v>
      </c>
      <c r="F699" s="8">
        <f>10^(-D699)</f>
        <v>1.6049444304444541E-4</v>
      </c>
      <c r="G699" s="5">
        <f>(D699-D698)/(C699-C698)</f>
        <v>-4.1519999999999925E-2</v>
      </c>
      <c r="H699" s="5">
        <f>$C$9+$C$10*EXP(-$C$11*C699)</f>
        <v>3.815930639834769</v>
      </c>
      <c r="I699" s="5">
        <f>D699-H699</f>
        <v>-2.1390639834768965E-2</v>
      </c>
      <c r="J699" s="5">
        <f t="shared" si="17"/>
        <v>4.5755947254080484E-4</v>
      </c>
      <c r="K699" s="5">
        <f>$C$17+$C$16*C699</f>
        <v>4.3807014284898447</v>
      </c>
      <c r="L699" s="5">
        <f>(D699-K699)^2</f>
        <v>0.34358522024925525</v>
      </c>
      <c r="M699" s="5">
        <f>$C$40+$C$41*EXP(-$C$42*C699)</f>
        <v>0</v>
      </c>
      <c r="N699" s="5">
        <f>(D699-M699)^2</f>
        <v>14.3985338116</v>
      </c>
      <c r="O699" s="5">
        <f>(C699+C698)/2</f>
        <v>9.1190166666667203</v>
      </c>
      <c r="P699" s="5" t="str">
        <f>IF(AND(D698&gt;6,D699&lt;=6),C698+(6-D698)*(C699-C698)/(D699-D698),"")</f>
        <v/>
      </c>
      <c r="Q699" s="5" t="str">
        <f>IF(AND(D698&gt;5,D699&lt;=5),C698+(5-D698)*(C699-C698)/(D699-D698),"")</f>
        <v/>
      </c>
      <c r="R699" s="5" t="str">
        <f>IF(AND(D698&gt;4,D699&lt;=4),C698+(4-D698)*(C699-C698)/(D699-D698),"")</f>
        <v/>
      </c>
      <c r="S699" s="5" t="str">
        <f>IF(AND(D698&gt;3,D699&lt;=3),C698+(3-D698)*(C699-C698)/(D699-D698),"")</f>
        <v/>
      </c>
    </row>
    <row r="700" spans="1:19" ht="20.100000000000001" customHeight="1">
      <c r="A700" t="s">
        <v>3</v>
      </c>
      <c r="B700">
        <v>355</v>
      </c>
      <c r="C700" s="5">
        <f>('Raw Data'!C355-'Raw Data'!$C$244)/60</f>
        <v>9.2437500000000004</v>
      </c>
      <c r="D700" s="5">
        <f>'Raw Data'!J355</f>
        <v>3.79338</v>
      </c>
      <c r="E700" s="5">
        <f>$D$589-D700</f>
        <v>3.4688699999999999</v>
      </c>
      <c r="F700" s="8">
        <f>10^(-D700)</f>
        <v>1.6092369650696039E-4</v>
      </c>
      <c r="G700" s="5">
        <f>(D700-D699)/(C700-C699)</f>
        <v>-1.3964686998404616E-2</v>
      </c>
      <c r="H700" s="5">
        <f>$C$9+$C$10*EXP(-$C$11*C700)</f>
        <v>3.8078718652526549</v>
      </c>
      <c r="I700" s="5">
        <f>D700-H700</f>
        <v>-1.449186525265489E-2</v>
      </c>
      <c r="J700" s="5">
        <f t="shared" si="17"/>
        <v>2.1001415850110616E-4</v>
      </c>
      <c r="K700" s="5">
        <f>$C$17+$C$16*C700</f>
        <v>4.3682987567997298</v>
      </c>
      <c r="L700" s="5">
        <f>(D700-K700)^2</f>
        <v>0.3305315769201469</v>
      </c>
      <c r="M700" s="5">
        <f>$C$40+$C$41*EXP(-$C$42*C700)</f>
        <v>0</v>
      </c>
      <c r="N700" s="5">
        <f>(D700-M700)^2</f>
        <v>14.3897318244</v>
      </c>
      <c r="O700" s="5">
        <f>(C700+C699)/2</f>
        <v>9.2022166666666934</v>
      </c>
      <c r="P700" s="5" t="str">
        <f>IF(AND(D699&gt;6,D700&lt;=6),C699+(6-D699)*(C700-C699)/(D700-D699),"")</f>
        <v/>
      </c>
      <c r="Q700" s="5" t="str">
        <f>IF(AND(D699&gt;5,D700&lt;=5),C699+(5-D699)*(C700-C699)/(D700-D699),"")</f>
        <v/>
      </c>
      <c r="R700" s="5" t="str">
        <f>IF(AND(D699&gt;4,D700&lt;=4),C699+(4-D699)*(C700-C699)/(D700-D699),"")</f>
        <v/>
      </c>
      <c r="S700" s="5" t="str">
        <f>IF(AND(D699&gt;3,D700&lt;=3),C699+(3-D699)*(C700-C699)/(D700-D699),"")</f>
        <v/>
      </c>
    </row>
    <row r="701" spans="1:19" ht="20.100000000000001" customHeight="1">
      <c r="A701" t="s">
        <v>3</v>
      </c>
      <c r="B701">
        <v>356</v>
      </c>
      <c r="C701" s="5">
        <f>('Raw Data'!C356-'Raw Data'!$C$244)/60</f>
        <v>9.3273500000000542</v>
      </c>
      <c r="D701" s="5">
        <f>'Raw Data'!J356</f>
        <v>3.7760799999999999</v>
      </c>
      <c r="E701" s="5">
        <f>$D$589-D701</f>
        <v>3.48617</v>
      </c>
      <c r="F701" s="8">
        <f>10^(-D701)</f>
        <v>1.6746343685620604E-4</v>
      </c>
      <c r="G701" s="5">
        <f>(D701-D700)/(C701-C700)</f>
        <v>-0.20693779904293</v>
      </c>
      <c r="H701" s="5">
        <f>$C$9+$C$10*EXP(-$C$11*C701)</f>
        <v>3.7999410848679975</v>
      </c>
      <c r="I701" s="5">
        <f>D701-H701</f>
        <v>-2.3861084867997651E-2</v>
      </c>
      <c r="J701" s="5">
        <f t="shared" si="17"/>
        <v>5.693513710777865E-4</v>
      </c>
      <c r="K701" s="5">
        <f>$C$17+$C$16*C701</f>
        <v>4.3558164531886341</v>
      </c>
      <c r="L701" s="5">
        <f>(D701-K701)^2</f>
        <v>0.33609435515573743</v>
      </c>
      <c r="M701" s="5">
        <f>$C$40+$C$41*EXP(-$C$42*C701)</f>
        <v>0</v>
      </c>
      <c r="N701" s="5">
        <f>(D701-M701)^2</f>
        <v>14.258780166399999</v>
      </c>
      <c r="O701" s="5">
        <f>(C701+C700)/2</f>
        <v>9.2855500000000273</v>
      </c>
      <c r="P701" s="5" t="str">
        <f>IF(AND(D700&gt;6,D701&lt;=6),C700+(6-D700)*(C701-C700)/(D701-D700),"")</f>
        <v/>
      </c>
      <c r="Q701" s="5" t="str">
        <f>IF(AND(D700&gt;5,D701&lt;=5),C700+(5-D700)*(C701-C700)/(D701-D700),"")</f>
        <v/>
      </c>
      <c r="R701" s="5" t="str">
        <f>IF(AND(D700&gt;4,D701&lt;=4),C700+(4-D700)*(C701-C700)/(D701-D700),"")</f>
        <v/>
      </c>
      <c r="S701" s="5" t="str">
        <f>IF(AND(D700&gt;3,D701&lt;=3),C700+(3-D700)*(C701-C700)/(D701-D700),"")</f>
        <v/>
      </c>
    </row>
    <row r="702" spans="1:19" ht="20.100000000000001" customHeight="1">
      <c r="A702" t="s">
        <v>3</v>
      </c>
      <c r="B702">
        <v>357</v>
      </c>
      <c r="C702" s="5">
        <f>('Raw Data'!C357-'Raw Data'!$C$244)/60</f>
        <v>9.4104166666666664</v>
      </c>
      <c r="D702" s="5">
        <f>'Raw Data'!J357</f>
        <v>3.7818499999999999</v>
      </c>
      <c r="E702" s="5">
        <f>$D$589-D702</f>
        <v>3.4803999999999999</v>
      </c>
      <c r="F702" s="8">
        <f>10^(-D702)</f>
        <v>1.6525324641654778E-4</v>
      </c>
      <c r="G702" s="5">
        <f>(D702-D701)/(C702-C701)</f>
        <v>6.9462279293786136E-2</v>
      </c>
      <c r="H702" s="5">
        <f>$C$9+$C$10*EXP(-$C$11*C702)</f>
        <v>3.7922355352987789</v>
      </c>
      <c r="I702" s="5">
        <f>D702-H702</f>
        <v>-1.0385535298778947E-2</v>
      </c>
      <c r="J702" s="5">
        <f t="shared" si="17"/>
        <v>1.0785934344218352E-4</v>
      </c>
      <c r="K702" s="5">
        <f>$C$17+$C$16*C702</f>
        <v>4.3434137814985192</v>
      </c>
      <c r="L702" s="5">
        <f>(D702-K702)^2</f>
        <v>0.31535388069091669</v>
      </c>
      <c r="M702" s="5">
        <f>$C$40+$C$41*EXP(-$C$42*C702)</f>
        <v>0</v>
      </c>
      <c r="N702" s="5">
        <f>(D702-M702)^2</f>
        <v>14.302389422499999</v>
      </c>
      <c r="O702" s="5">
        <f>(C702+C701)/2</f>
        <v>9.3688833333333612</v>
      </c>
      <c r="P702" s="5" t="str">
        <f>IF(AND(D701&gt;6,D702&lt;=6),C701+(6-D701)*(C702-C701)/(D702-D701),"")</f>
        <v/>
      </c>
      <c r="Q702" s="5" t="str">
        <f>IF(AND(D701&gt;5,D702&lt;=5),C701+(5-D701)*(C702-C701)/(D702-D701),"")</f>
        <v/>
      </c>
      <c r="R702" s="5" t="str">
        <f>IF(AND(D701&gt;4,D702&lt;=4),C701+(4-D701)*(C702-C701)/(D702-D701),"")</f>
        <v/>
      </c>
      <c r="S702" s="5" t="str">
        <f>IF(AND(D701&gt;3,D702&lt;=3),C701+(3-D701)*(C702-C701)/(D702-D701),"")</f>
        <v/>
      </c>
    </row>
    <row r="703" spans="1:19" ht="20.100000000000001" customHeight="1">
      <c r="A703" t="s">
        <v>3</v>
      </c>
      <c r="B703">
        <v>358</v>
      </c>
      <c r="C703" s="5">
        <f>('Raw Data'!C358-'Raw Data'!$C$244)/60</f>
        <v>9.4937500000000004</v>
      </c>
      <c r="D703" s="5">
        <f>'Raw Data'!J358</f>
        <v>3.7760799999999999</v>
      </c>
      <c r="E703" s="5">
        <f>$D$589-D703</f>
        <v>3.48617</v>
      </c>
      <c r="F703" s="8">
        <f>10^(-D703)</f>
        <v>1.6746343685620604E-4</v>
      </c>
      <c r="G703" s="5">
        <f>(D703-D702)/(C703-C702)</f>
        <v>-6.9240000000000149E-2</v>
      </c>
      <c r="H703" s="5">
        <f>$C$9+$C$10*EXP(-$C$11*C703)</f>
        <v>3.7846762884954392</v>
      </c>
      <c r="I703" s="5">
        <f>D703-H703</f>
        <v>-8.5962884954393637E-3</v>
      </c>
      <c r="J703" s="5">
        <f t="shared" si="17"/>
        <v>7.3896175896823161E-5</v>
      </c>
      <c r="K703" s="5">
        <f>$C$17+$C$16*C703</f>
        <v>4.3309712938479139</v>
      </c>
      <c r="L703" s="5">
        <f>(D703-K703)^2</f>
        <v>0.30790434798821209</v>
      </c>
      <c r="M703" s="5">
        <f>$C$40+$C$41*EXP(-$C$42*C703)</f>
        <v>0</v>
      </c>
      <c r="N703" s="5">
        <f>(D703-M703)^2</f>
        <v>14.258780166399999</v>
      </c>
      <c r="O703" s="5">
        <f>(C703+C702)/2</f>
        <v>9.4520833333333343</v>
      </c>
      <c r="P703" s="5" t="str">
        <f>IF(AND(D702&gt;6,D703&lt;=6),C702+(6-D702)*(C703-C702)/(D703-D702),"")</f>
        <v/>
      </c>
      <c r="Q703" s="5" t="str">
        <f>IF(AND(D702&gt;5,D703&lt;=5),C702+(5-D702)*(C703-C702)/(D703-D702),"")</f>
        <v/>
      </c>
      <c r="R703" s="5" t="str">
        <f>IF(AND(D702&gt;4,D703&lt;=4),C702+(4-D702)*(C703-C702)/(D703-D702),"")</f>
        <v/>
      </c>
      <c r="S703" s="5" t="str">
        <f>IF(AND(D702&gt;3,D703&lt;=3),C702+(3-D702)*(C703-C702)/(D703-D702),"")</f>
        <v/>
      </c>
    </row>
    <row r="704" spans="1:19" ht="20.100000000000001" customHeight="1">
      <c r="A704" t="s">
        <v>3</v>
      </c>
      <c r="B704">
        <v>359</v>
      </c>
      <c r="C704" s="5">
        <f>('Raw Data'!C359-'Raw Data'!$C$244)/60</f>
        <v>9.5770833333333325</v>
      </c>
      <c r="D704" s="5">
        <f>'Raw Data'!J359</f>
        <v>3.7622300000000002</v>
      </c>
      <c r="E704" s="5">
        <f>$D$589-D704</f>
        <v>3.5000199999999997</v>
      </c>
      <c r="F704" s="8">
        <f>10^(-D704)</f>
        <v>1.7289005004000925E-4</v>
      </c>
      <c r="G704" s="5">
        <f>(D704-D703)/(C704-C703)</f>
        <v>-0.16619999999999871</v>
      </c>
      <c r="H704" s="5">
        <f>$C$9+$C$10*EXP(-$C$11*C704)</f>
        <v>3.7772845629998804</v>
      </c>
      <c r="I704" s="5">
        <f>D704-H704</f>
        <v>-1.5054562999880172E-2</v>
      </c>
      <c r="J704" s="5">
        <f t="shared" si="17"/>
        <v>2.2663986711736109E-4</v>
      </c>
      <c r="K704" s="5">
        <f>$C$17+$C$16*C704</f>
        <v>4.3185288061973086</v>
      </c>
      <c r="L704" s="5">
        <f>(D704-K704)^2</f>
        <v>0.30946836177655052</v>
      </c>
      <c r="M704" s="5">
        <f>$C$40+$C$41*EXP(-$C$42*C704)</f>
        <v>0</v>
      </c>
      <c r="N704" s="5">
        <f>(D704-M704)^2</f>
        <v>14.154374572900002</v>
      </c>
      <c r="O704" s="5">
        <f>(C704+C703)/2</f>
        <v>9.5354166666666664</v>
      </c>
      <c r="P704" s="5" t="str">
        <f>IF(AND(D703&gt;6,D704&lt;=6),C703+(6-D703)*(C704-C703)/(D704-D703),"")</f>
        <v/>
      </c>
      <c r="Q704" s="5" t="str">
        <f>IF(AND(D703&gt;5,D704&lt;=5),C703+(5-D703)*(C704-C703)/(D704-D703),"")</f>
        <v/>
      </c>
      <c r="R704" s="5" t="str">
        <f>IF(AND(D703&gt;4,D704&lt;=4),C703+(4-D703)*(C704-C703)/(D704-D703),"")</f>
        <v/>
      </c>
      <c r="S704" s="5" t="str">
        <f>IF(AND(D703&gt;3,D704&lt;=3),C703+(3-D703)*(C704-C703)/(D704-D703),"")</f>
        <v/>
      </c>
    </row>
    <row r="705" spans="1:19" ht="20.100000000000001" customHeight="1">
      <c r="A705" t="s">
        <v>3</v>
      </c>
      <c r="B705">
        <v>360</v>
      </c>
      <c r="C705" s="5">
        <f>('Raw Data'!C360-'Raw Data'!$C$244)/60</f>
        <v>9.6604166666666664</v>
      </c>
      <c r="D705" s="5">
        <f>'Raw Data'!J360</f>
        <v>3.7622300000000002</v>
      </c>
      <c r="E705" s="5">
        <f>$D$589-D705</f>
        <v>3.5000199999999997</v>
      </c>
      <c r="F705" s="8">
        <f>10^(-D705)</f>
        <v>1.7289005004000925E-4</v>
      </c>
      <c r="G705" s="5">
        <f>(D705-D704)/(C705-C704)</f>
        <v>0</v>
      </c>
      <c r="H705" s="5">
        <f>$C$9+$C$10*EXP(-$C$11*C705)</f>
        <v>3.7700566463537979</v>
      </c>
      <c r="I705" s="5">
        <f>D705-H705</f>
        <v>-7.826646353797706E-3</v>
      </c>
      <c r="J705" s="5">
        <f t="shared" si="17"/>
        <v>6.125639314741493E-5</v>
      </c>
      <c r="K705" s="5">
        <f>$C$17+$C$16*C705</f>
        <v>4.3060863185467033</v>
      </c>
      <c r="L705" s="5">
        <f>(D705-K705)^2</f>
        <v>0.29577969522317304</v>
      </c>
      <c r="M705" s="5">
        <f>$C$40+$C$41*EXP(-$C$42*C705)</f>
        <v>0</v>
      </c>
      <c r="N705" s="5">
        <f>(D705-M705)^2</f>
        <v>14.154374572900002</v>
      </c>
      <c r="O705" s="5">
        <f>(C705+C704)/2</f>
        <v>9.6187499999999986</v>
      </c>
      <c r="P705" s="5" t="str">
        <f>IF(AND(D704&gt;6,D705&lt;=6),C704+(6-D704)*(C705-C704)/(D705-D704),"")</f>
        <v/>
      </c>
      <c r="Q705" s="5" t="str">
        <f>IF(AND(D704&gt;5,D705&lt;=5),C704+(5-D704)*(C705-C704)/(D705-D704),"")</f>
        <v/>
      </c>
      <c r="R705" s="5" t="str">
        <f>IF(AND(D704&gt;4,D705&lt;=4),C704+(4-D704)*(C705-C704)/(D705-D704),"")</f>
        <v/>
      </c>
      <c r="S705" s="5" t="str">
        <f>IF(AND(D704&gt;3,D705&lt;=3),C704+(3-D704)*(C705-C704)/(D705-D704),"")</f>
        <v/>
      </c>
    </row>
    <row r="706" spans="1:19" ht="20.100000000000001" customHeight="1">
      <c r="A706" t="s">
        <v>3</v>
      </c>
      <c r="B706">
        <v>361</v>
      </c>
      <c r="C706" s="5">
        <f>('Raw Data'!C361-'Raw Data'!$C$244)/60</f>
        <v>9.7434833333333994</v>
      </c>
      <c r="D706" s="5">
        <f>'Raw Data'!J361</f>
        <v>3.7633899999999998</v>
      </c>
      <c r="E706" s="5">
        <f>$D$589-D706</f>
        <v>3.4988600000000001</v>
      </c>
      <c r="F706" s="8">
        <f>10^(-D706)</f>
        <v>1.724288771100747E-4</v>
      </c>
      <c r="G706" s="5">
        <f>(D706-D705)/(C706-C705)</f>
        <v>1.3964686998378963E-2</v>
      </c>
      <c r="H706" s="5">
        <f>$C$9+$C$10*EXP(-$C$11*C706)</f>
        <v>3.7630112734562449</v>
      </c>
      <c r="I706" s="5">
        <f>D706-H706</f>
        <v>3.7872654375492587E-4</v>
      </c>
      <c r="J706" s="5">
        <f t="shared" si="17"/>
        <v>1.4343379494455178E-7</v>
      </c>
      <c r="K706" s="5">
        <f>$C$17+$C$16*C706</f>
        <v>4.2936836468565698</v>
      </c>
      <c r="L706" s="5">
        <f>(D706-K706)^2</f>
        <v>0.28121135189644059</v>
      </c>
      <c r="M706" s="5">
        <f>$C$40+$C$41*EXP(-$C$42*C706)</f>
        <v>0</v>
      </c>
      <c r="N706" s="5">
        <f>(D706-M706)^2</f>
        <v>14.163104292099998</v>
      </c>
      <c r="O706" s="5">
        <f>(C706+C705)/2</f>
        <v>9.701950000000032</v>
      </c>
      <c r="P706" s="5" t="str">
        <f>IF(AND(D705&gt;6,D706&lt;=6),C705+(6-D705)*(C706-C705)/(D706-D705),"")</f>
        <v/>
      </c>
      <c r="Q706" s="5" t="str">
        <f>IF(AND(D705&gt;5,D706&lt;=5),C705+(5-D705)*(C706-C705)/(D706-D705),"")</f>
        <v/>
      </c>
      <c r="R706" s="5" t="str">
        <f>IF(AND(D705&gt;4,D706&lt;=4),C705+(4-D705)*(C706-C705)/(D706-D705),"")</f>
        <v/>
      </c>
      <c r="S706" s="5" t="str">
        <f>IF(AND(D705&gt;3,D706&lt;=3),C705+(3-D705)*(C706-C705)/(D706-D705),"")</f>
        <v/>
      </c>
    </row>
    <row r="707" spans="1:19" ht="20.100000000000001" customHeight="1">
      <c r="A707" t="s">
        <v>3</v>
      </c>
      <c r="B707">
        <v>362</v>
      </c>
      <c r="C707" s="5">
        <f>('Raw Data'!C362-'Raw Data'!$C$244)/60</f>
        <v>9.8270833333333325</v>
      </c>
      <c r="D707" s="5">
        <f>'Raw Data'!J362</f>
        <v>3.7518500000000001</v>
      </c>
      <c r="E707" s="5">
        <f>$D$589-D707</f>
        <v>3.5103999999999997</v>
      </c>
      <c r="F707" s="8">
        <f>10^(-D707)</f>
        <v>1.7707204378851788E-4</v>
      </c>
      <c r="G707" s="5">
        <f>(D707-D706)/(C707-C706)</f>
        <v>-0.13803827751206821</v>
      </c>
      <c r="H707" s="5">
        <f>$C$9+$C$10*EXP(-$C$11*C707)</f>
        <v>3.7560777993146108</v>
      </c>
      <c r="I707" s="5">
        <f>D707-H707</f>
        <v>-4.2277993146107029E-3</v>
      </c>
      <c r="J707" s="5">
        <f t="shared" si="17"/>
        <v>1.7874287044622729E-5</v>
      </c>
      <c r="K707" s="5">
        <f>$C$17+$C$16*C707</f>
        <v>4.2812013432454927</v>
      </c>
      <c r="L707" s="5">
        <f>(D707-K707)^2</f>
        <v>0.28021284459580731</v>
      </c>
      <c r="M707" s="5">
        <f>$C$40+$C$41*EXP(-$C$42*C707)</f>
        <v>0</v>
      </c>
      <c r="N707" s="5">
        <f>(D707-M707)^2</f>
        <v>14.076378422500001</v>
      </c>
      <c r="O707" s="5">
        <f>(C707+C706)/2</f>
        <v>9.785283333333366</v>
      </c>
      <c r="P707" s="5" t="str">
        <f>IF(AND(D706&gt;6,D707&lt;=6),C706+(6-D706)*(C707-C706)/(D707-D706),"")</f>
        <v/>
      </c>
      <c r="Q707" s="5" t="str">
        <f>IF(AND(D706&gt;5,D707&lt;=5),C706+(5-D706)*(C707-C706)/(D707-D706),"")</f>
        <v/>
      </c>
      <c r="R707" s="5" t="str">
        <f>IF(AND(D706&gt;4,D707&lt;=4),C706+(4-D706)*(C707-C706)/(D707-D706),"")</f>
        <v/>
      </c>
      <c r="S707" s="5" t="str">
        <f>IF(AND(D706&gt;3,D707&lt;=3),C706+(3-D706)*(C707-C706)/(D707-D706),"")</f>
        <v/>
      </c>
    </row>
    <row r="708" spans="1:19" ht="20.100000000000001" customHeight="1">
      <c r="A708" t="s">
        <v>3</v>
      </c>
      <c r="B708">
        <v>363</v>
      </c>
      <c r="C708" s="5">
        <f>('Raw Data'!C363-'Raw Data'!$C$244)/60</f>
        <v>9.9101500000000673</v>
      </c>
      <c r="D708" s="5">
        <f>'Raw Data'!J363</f>
        <v>3.7530100000000002</v>
      </c>
      <c r="E708" s="5">
        <f>$D$589-D708</f>
        <v>3.5092399999999997</v>
      </c>
      <c r="F708" s="8">
        <f>10^(-D708)</f>
        <v>1.765997156630731E-4</v>
      </c>
      <c r="G708" s="5">
        <f>(D708-D707)/(C708-C707)</f>
        <v>1.3964686998384011E-2</v>
      </c>
      <c r="H708" s="5">
        <f>$C$9+$C$10*EXP(-$C$11*C708)</f>
        <v>3.7493412329120446</v>
      </c>
      <c r="I708" s="5">
        <f>D708-H708</f>
        <v>3.6687670879556045E-3</v>
      </c>
      <c r="J708" s="5">
        <f t="shared" si="17"/>
        <v>1.3459851945666247E-5</v>
      </c>
      <c r="K708" s="5">
        <f>$C$17+$C$16*C708</f>
        <v>4.2687986715553592</v>
      </c>
      <c r="L708" s="5">
        <f>(D708-K708)^2</f>
        <v>0.26603795370484201</v>
      </c>
      <c r="M708" s="5">
        <f>$C$40+$C$41*EXP(-$C$42*C708)</f>
        <v>0</v>
      </c>
      <c r="N708" s="5">
        <f>(D708-M708)^2</f>
        <v>14.085084060100002</v>
      </c>
      <c r="O708" s="5">
        <f>(C708+C707)/2</f>
        <v>9.8686166666666999</v>
      </c>
      <c r="P708" s="5" t="str">
        <f>IF(AND(D707&gt;6,D708&lt;=6),C707+(6-D707)*(C708-C707)/(D708-D707),"")</f>
        <v/>
      </c>
      <c r="Q708" s="5" t="str">
        <f>IF(AND(D707&gt;5,D708&lt;=5),C707+(5-D707)*(C708-C707)/(D708-D707),"")</f>
        <v/>
      </c>
      <c r="R708" s="5" t="str">
        <f>IF(AND(D707&gt;4,D708&lt;=4),C707+(4-D707)*(C708-C707)/(D708-D707),"")</f>
        <v/>
      </c>
      <c r="S708" s="5" t="str">
        <f>IF(AND(D707&gt;3,D708&lt;=3),C707+(3-D707)*(C708-C707)/(D708-D707),"")</f>
        <v/>
      </c>
    </row>
    <row r="709" spans="1:19" ht="20.100000000000001" customHeight="1">
      <c r="A709" t="s">
        <v>3</v>
      </c>
      <c r="B709">
        <v>364</v>
      </c>
      <c r="C709" s="5">
        <f>('Raw Data'!C364-'Raw Data'!$C$244)/60</f>
        <v>9.9934833333333994</v>
      </c>
      <c r="D709" s="5">
        <f>'Raw Data'!J364</f>
        <v>3.7472400000000001</v>
      </c>
      <c r="E709" s="5">
        <f>$D$589-D709</f>
        <v>3.5150099999999997</v>
      </c>
      <c r="F709" s="8">
        <f>10^(-D709)</f>
        <v>1.7896166020376326E-4</v>
      </c>
      <c r="G709" s="5">
        <f>(D709-D708)/(C709-C708)</f>
        <v>-6.924000000000162E-2</v>
      </c>
      <c r="H709" s="5">
        <f>$C$9+$C$10*EXP(-$C$11*C709)</f>
        <v>3.7427325715068376</v>
      </c>
      <c r="I709" s="5">
        <f>D709-H709</f>
        <v>4.5074284931625463E-3</v>
      </c>
      <c r="J709" s="5">
        <f t="shared" si="17"/>
        <v>2.0316911620973584E-5</v>
      </c>
      <c r="K709" s="5">
        <f>$C$17+$C$16*C709</f>
        <v>4.2563561839047539</v>
      </c>
      <c r="L709" s="5">
        <f>(D709-K709)^2</f>
        <v>0.25919928871373904</v>
      </c>
      <c r="M709" s="5">
        <f>$C$40+$C$41*EXP(-$C$42*C709)</f>
        <v>0</v>
      </c>
      <c r="N709" s="5">
        <f>(D709-M709)^2</f>
        <v>14.041807617600002</v>
      </c>
      <c r="O709" s="5">
        <f>(C709+C708)/2</f>
        <v>9.9518166666667334</v>
      </c>
      <c r="P709" s="5" t="str">
        <f>IF(AND(D708&gt;6,D709&lt;=6),C708+(6-D708)*(C709-C708)/(D709-D708),"")</f>
        <v/>
      </c>
      <c r="Q709" s="5" t="str">
        <f>IF(AND(D708&gt;5,D709&lt;=5),C708+(5-D708)*(C709-C708)/(D709-D708),"")</f>
        <v/>
      </c>
      <c r="R709" s="5" t="str">
        <f>IF(AND(D708&gt;4,D709&lt;=4),C708+(4-D708)*(C709-C708)/(D709-D708),"")</f>
        <v/>
      </c>
      <c r="S709" s="5" t="str">
        <f>IF(AND(D708&gt;3,D709&lt;=3),C708+(3-D708)*(C709-C708)/(D709-D708),"")</f>
        <v/>
      </c>
    </row>
    <row r="710" spans="1:19" ht="20.100000000000001" customHeight="1">
      <c r="A710" t="s">
        <v>3</v>
      </c>
      <c r="B710">
        <v>365</v>
      </c>
      <c r="C710" s="5">
        <f>('Raw Data'!C365-'Raw Data'!$C$244)/60</f>
        <v>10.076816666666733</v>
      </c>
      <c r="D710" s="5">
        <f>'Raw Data'!J365</f>
        <v>3.73916</v>
      </c>
      <c r="E710" s="5">
        <f>$D$589-D710</f>
        <v>3.5230899999999998</v>
      </c>
      <c r="F710" s="8">
        <f>10^(-D710)</f>
        <v>1.8232238780729805E-4</v>
      </c>
      <c r="G710" s="5">
        <f>(D710-D709)/(C710-C709)</f>
        <v>-9.6960000000000351E-2</v>
      </c>
      <c r="H710" s="5">
        <f>$C$9+$C$10*EXP(-$C$11*C710)</f>
        <v>3.7362703653808507</v>
      </c>
      <c r="I710" s="5">
        <f>D710-H710</f>
        <v>2.8896346191493727E-3</v>
      </c>
      <c r="J710" s="5">
        <f t="shared" si="17"/>
        <v>8.3499882321865406E-6</v>
      </c>
      <c r="K710" s="5">
        <f>$C$17+$C$16*C710</f>
        <v>4.2439136962541486</v>
      </c>
      <c r="L710" s="5">
        <f>(D710-K710)^2</f>
        <v>0.25477629388222528</v>
      </c>
      <c r="M710" s="5">
        <f>$C$40+$C$41*EXP(-$C$42*C710)</f>
        <v>0</v>
      </c>
      <c r="N710" s="5">
        <f>(D710-M710)^2</f>
        <v>13.9813175056</v>
      </c>
      <c r="O710" s="5">
        <f>(C710+C709)/2</f>
        <v>10.035150000000066</v>
      </c>
      <c r="P710" s="5" t="str">
        <f>IF(AND(D709&gt;6,D710&lt;=6),C709+(6-D709)*(C710-C709)/(D710-D709),"")</f>
        <v/>
      </c>
      <c r="Q710" s="5" t="str">
        <f>IF(AND(D709&gt;5,D710&lt;=5),C709+(5-D709)*(C710-C709)/(D710-D709),"")</f>
        <v/>
      </c>
      <c r="R710" s="5" t="str">
        <f>IF(AND(D709&gt;4,D710&lt;=4),C709+(4-D709)*(C710-C709)/(D710-D709),"")</f>
        <v/>
      </c>
      <c r="S710" s="5" t="str">
        <f>IF(AND(D709&gt;3,D710&lt;=3),C709+(3-D709)*(C710-C709)/(D710-D709),"")</f>
        <v/>
      </c>
    </row>
    <row r="711" spans="1:19" ht="20.100000000000001" customHeight="1">
      <c r="A711" t="s">
        <v>3</v>
      </c>
      <c r="B711">
        <v>366</v>
      </c>
      <c r="C711" s="5">
        <f>('Raw Data'!C366-'Raw Data'!$C$244)/60</f>
        <v>10.160150000000067</v>
      </c>
      <c r="D711" s="5">
        <f>'Raw Data'!J366</f>
        <v>3.7426200000000001</v>
      </c>
      <c r="E711" s="5">
        <f>$D$589-D711</f>
        <v>3.5196299999999998</v>
      </c>
      <c r="F711" s="8">
        <f>10^(-D711)</f>
        <v>1.8087560634307852E-4</v>
      </c>
      <c r="G711" s="5">
        <f>(D711-D710)/(C711-C710)</f>
        <v>4.1519999999999925E-2</v>
      </c>
      <c r="H711" s="5">
        <f>$C$9+$C$10*EXP(-$C$11*C711)</f>
        <v>3.7299513689223782</v>
      </c>
      <c r="I711" s="5">
        <f>D711-H711</f>
        <v>1.2668631077621839E-2</v>
      </c>
      <c r="J711" s="5">
        <f t="shared" si="17"/>
        <v>1.6049421338088589E-4</v>
      </c>
      <c r="K711" s="5">
        <f>$C$17+$C$16*C711</f>
        <v>4.2314712086035433</v>
      </c>
      <c r="L711" s="5">
        <f>(D711-K711)^2</f>
        <v>0.23897550415314497</v>
      </c>
      <c r="M711" s="5">
        <f>$C$40+$C$41*EXP(-$C$42*C711)</f>
        <v>0</v>
      </c>
      <c r="N711" s="5">
        <f>(D711-M711)^2</f>
        <v>14.007204464400001</v>
      </c>
      <c r="O711" s="5">
        <f>(C711+C710)/2</f>
        <v>10.118483333333401</v>
      </c>
      <c r="P711" s="5" t="str">
        <f>IF(AND(D710&gt;6,D711&lt;=6),C710+(6-D710)*(C711-C710)/(D711-D710),"")</f>
        <v/>
      </c>
      <c r="Q711" s="5" t="str">
        <f>IF(AND(D710&gt;5,D711&lt;=5),C710+(5-D710)*(C711-C710)/(D711-D710),"")</f>
        <v/>
      </c>
      <c r="R711" s="5" t="str">
        <f>IF(AND(D710&gt;4,D711&lt;=4),C710+(4-D710)*(C711-C710)/(D711-D710),"")</f>
        <v/>
      </c>
      <c r="S711" s="5" t="str">
        <f>IF(AND(D710&gt;3,D711&lt;=3),C710+(3-D710)*(C711-C710)/(D711-D710),"")</f>
        <v/>
      </c>
    </row>
    <row r="712" spans="1:19" ht="20.100000000000001" customHeight="1">
      <c r="A712" t="s">
        <v>3</v>
      </c>
      <c r="B712">
        <v>367</v>
      </c>
      <c r="C712" s="5">
        <f>('Raw Data'!C367-'Raw Data'!$C$244)/60</f>
        <v>10.243233333333411</v>
      </c>
      <c r="D712" s="5">
        <f>'Raw Data'!J367</f>
        <v>3.73224</v>
      </c>
      <c r="E712" s="5">
        <f>$D$589-D712</f>
        <v>3.5300099999999999</v>
      </c>
      <c r="F712" s="8">
        <f>10^(-D712)</f>
        <v>1.85250760695856E-4</v>
      </c>
      <c r="G712" s="5">
        <f>(D712-D711)/(C712-C711)</f>
        <v>-0.12493480441322527</v>
      </c>
      <c r="H712" s="5">
        <f>$C$9+$C$10*EXP(-$C$11*C712)</f>
        <v>3.7237907390104175</v>
      </c>
      <c r="I712" s="5">
        <f>D712-H712</f>
        <v>8.449260989582541E-3</v>
      </c>
      <c r="J712" s="5">
        <f t="shared" si="17"/>
        <v>7.1390011270081337E-5</v>
      </c>
      <c r="K712" s="5">
        <f>$C$17+$C$16*C712</f>
        <v>4.2190660484158879</v>
      </c>
      <c r="L712" s="5">
        <f>(D712-K712)^2</f>
        <v>0.23699960141622847</v>
      </c>
      <c r="M712" s="5">
        <f>$C$40+$C$41*EXP(-$C$42*C712)</f>
        <v>0</v>
      </c>
      <c r="N712" s="5">
        <f>(D712-M712)^2</f>
        <v>13.929615417600001</v>
      </c>
      <c r="O712" s="5">
        <f>(C712+C711)/2</f>
        <v>10.20169166666674</v>
      </c>
      <c r="P712" s="5" t="str">
        <f>IF(AND(D711&gt;6,D712&lt;=6),C711+(6-D711)*(C712-C711)/(D712-D711),"")</f>
        <v/>
      </c>
      <c r="Q712" s="5" t="str">
        <f>IF(AND(D711&gt;5,D712&lt;=5),C711+(5-D711)*(C712-C711)/(D712-D711),"")</f>
        <v/>
      </c>
      <c r="R712" s="5" t="str">
        <f>IF(AND(D711&gt;4,D712&lt;=4),C711+(4-D711)*(C712-C711)/(D712-D711),"")</f>
        <v/>
      </c>
      <c r="S712" s="5" t="str">
        <f>IF(AND(D711&gt;3,D712&lt;=3),C711+(3-D711)*(C712-C711)/(D712-D711),"")</f>
        <v/>
      </c>
    </row>
    <row r="713" spans="1:19" ht="20.100000000000001" customHeight="1">
      <c r="A713" t="s">
        <v>3</v>
      </c>
      <c r="B713">
        <v>368</v>
      </c>
      <c r="C713" s="5">
        <f>('Raw Data'!C368-'Raw Data'!$C$244)/60</f>
        <v>10.326816666666733</v>
      </c>
      <c r="D713" s="5">
        <f>'Raw Data'!J368</f>
        <v>3.7357</v>
      </c>
      <c r="E713" s="5">
        <f>$D$589-D713</f>
        <v>3.5265499999999999</v>
      </c>
      <c r="F713" s="8">
        <f>10^(-D713)</f>
        <v>1.8378074173641502E-4</v>
      </c>
      <c r="G713" s="5">
        <f>(D713-D712)/(C713-C712)</f>
        <v>4.1395812562318557E-2</v>
      </c>
      <c r="H713" s="5">
        <f>$C$9+$C$10*EXP(-$C$11*C713)</f>
        <v>3.7177303805989967</v>
      </c>
      <c r="I713" s="5">
        <f>D713-H713</f>
        <v>1.7969619401003278E-2</v>
      </c>
      <c r="J713" s="5">
        <f t="shared" si="17"/>
        <v>3.2290722141691344E-4</v>
      </c>
      <c r="K713" s="5">
        <f>$C$17+$C$16*C713</f>
        <v>4.2065862333023327</v>
      </c>
      <c r="L713" s="5">
        <f>(D713-K713)^2</f>
        <v>0.2217338447136589</v>
      </c>
      <c r="M713" s="5">
        <f>$C$40+$C$41*EXP(-$C$42*C713)</f>
        <v>0</v>
      </c>
      <c r="N713" s="5">
        <f>(D713-M713)^2</f>
        <v>13.955454489999999</v>
      </c>
      <c r="O713" s="5">
        <f>(C713+C712)/2</f>
        <v>10.285025000000072</v>
      </c>
      <c r="P713" s="5" t="str">
        <f>IF(AND(D712&gt;6,D713&lt;=6),C712+(6-D712)*(C713-C712)/(D713-D712),"")</f>
        <v/>
      </c>
      <c r="Q713" s="5" t="str">
        <f>IF(AND(D712&gt;5,D713&lt;=5),C712+(5-D712)*(C713-C712)/(D713-D712),"")</f>
        <v/>
      </c>
      <c r="R713" s="5" t="str">
        <f>IF(AND(D712&gt;4,D713&lt;=4),C712+(4-D712)*(C713-C712)/(D713-D712),"")</f>
        <v/>
      </c>
      <c r="S713" s="5" t="str">
        <f>IF(AND(D712&gt;3,D713&lt;=3),C712+(3-D712)*(C713-C712)/(D713-D712),"")</f>
        <v/>
      </c>
    </row>
    <row r="714" spans="1:19" ht="20.100000000000001" customHeight="1">
      <c r="A714" t="s">
        <v>3</v>
      </c>
      <c r="B714">
        <v>369</v>
      </c>
      <c r="C714" s="5">
        <f>('Raw Data'!C369-'Raw Data'!$C$244)/60</f>
        <v>10.409900000000077</v>
      </c>
      <c r="D714" s="5">
        <f>'Raw Data'!J369</f>
        <v>3.72417</v>
      </c>
      <c r="E714" s="5">
        <f>$D$589-D714</f>
        <v>3.5380799999999999</v>
      </c>
      <c r="F714" s="8">
        <f>10^(-D714)</f>
        <v>1.8872524593958802E-4</v>
      </c>
      <c r="G714" s="5">
        <f>(D714-D713)/(C714-C713)</f>
        <v>-0.13877632898694456</v>
      </c>
      <c r="H714" s="5">
        <f>$C$9+$C$10*EXP(-$C$11*C714)</f>
        <v>3.7118397779173451</v>
      </c>
      <c r="I714" s="5">
        <f>D714-H714</f>
        <v>1.2330222082654885E-2</v>
      </c>
      <c r="J714" s="5">
        <f t="shared" si="17"/>
        <v>1.5203437660759017E-4</v>
      </c>
      <c r="K714" s="5">
        <f>$C$17+$C$16*C714</f>
        <v>4.1941810731146782</v>
      </c>
      <c r="L714" s="5">
        <f>(D714-K714)^2</f>
        <v>0.22091040885041144</v>
      </c>
      <c r="M714" s="5">
        <f>$C$40+$C$41*EXP(-$C$42*C714)</f>
        <v>0</v>
      </c>
      <c r="N714" s="5">
        <f>(D714-M714)^2</f>
        <v>13.869442188899999</v>
      </c>
      <c r="O714" s="5">
        <f>(C714+C713)/2</f>
        <v>10.368358333333404</v>
      </c>
      <c r="P714" s="5" t="str">
        <f>IF(AND(D713&gt;6,D714&lt;=6),C713+(6-D713)*(C714-C713)/(D714-D713),"")</f>
        <v/>
      </c>
      <c r="Q714" s="5" t="str">
        <f>IF(AND(D713&gt;5,D714&lt;=5),C713+(5-D713)*(C714-C713)/(D714-D713),"")</f>
        <v/>
      </c>
      <c r="R714" s="5" t="str">
        <f>IF(AND(D713&gt;4,D714&lt;=4),C713+(4-D713)*(C714-C713)/(D714-D713),"")</f>
        <v/>
      </c>
      <c r="S714" s="5" t="str">
        <f>IF(AND(D713&gt;3,D714&lt;=3),C713+(3-D713)*(C714-C713)/(D714-D713),"")</f>
        <v/>
      </c>
    </row>
    <row r="715" spans="1:19" ht="20.100000000000001" customHeight="1">
      <c r="A715" t="s">
        <v>3</v>
      </c>
      <c r="B715">
        <v>370</v>
      </c>
      <c r="C715" s="5">
        <f>('Raw Data'!C370-'Raw Data'!$C$244)/60</f>
        <v>10.493233333333411</v>
      </c>
      <c r="D715" s="5">
        <f>'Raw Data'!J370</f>
        <v>3.7195499999999999</v>
      </c>
      <c r="E715" s="5">
        <f>$D$589-D715</f>
        <v>3.5427</v>
      </c>
      <c r="F715" s="8">
        <f>10^(-D715)</f>
        <v>1.9074361096506961E-4</v>
      </c>
      <c r="G715" s="5">
        <f>(D715-D714)/(C715-C714)</f>
        <v>-5.5440000000000426E-2</v>
      </c>
      <c r="H715" s="5">
        <f>$C$9+$C$10*EXP(-$C$11*C715)</f>
        <v>3.7060621904203992</v>
      </c>
      <c r="I715" s="5">
        <f>D715-H715</f>
        <v>1.3487809579600718E-2</v>
      </c>
      <c r="J715" s="5">
        <f t="shared" si="17"/>
        <v>1.819210072555689E-4</v>
      </c>
      <c r="K715" s="5">
        <f>$C$17+$C$16*C715</f>
        <v>4.181738585464073</v>
      </c>
      <c r="L715" s="5">
        <f>(D715-K715)^2</f>
        <v>0.21361828853328074</v>
      </c>
      <c r="M715" s="5">
        <f>$C$40+$C$41*EXP(-$C$42*C715)</f>
        <v>0</v>
      </c>
      <c r="N715" s="5">
        <f>(D715-M715)^2</f>
        <v>13.8350522025</v>
      </c>
      <c r="O715" s="5">
        <f>(C715+C714)/2</f>
        <v>10.451566666666743</v>
      </c>
      <c r="P715" s="5" t="str">
        <f>IF(AND(D714&gt;6,D715&lt;=6),C714+(6-D714)*(C715-C714)/(D715-D714),"")</f>
        <v/>
      </c>
      <c r="Q715" s="5" t="str">
        <f>IF(AND(D714&gt;5,D715&lt;=5),C714+(5-D714)*(C715-C714)/(D715-D714),"")</f>
        <v/>
      </c>
      <c r="R715" s="5" t="str">
        <f>IF(AND(D714&gt;4,D715&lt;=4),C714+(4-D714)*(C715-C714)/(D715-D714),"")</f>
        <v/>
      </c>
      <c r="S715" s="5" t="str">
        <f>IF(AND(D714&gt;3,D715&lt;=3),C714+(3-D714)*(C715-C714)/(D715-D714),"")</f>
        <v/>
      </c>
    </row>
    <row r="716" spans="1:19" ht="20.100000000000001" customHeight="1">
      <c r="A716" t="s">
        <v>3</v>
      </c>
      <c r="B716">
        <v>371</v>
      </c>
      <c r="C716" s="5">
        <f>('Raw Data'!C371-'Raw Data'!$C$244)/60</f>
        <v>10.576566666666743</v>
      </c>
      <c r="D716" s="5">
        <f>'Raw Data'!J371</f>
        <v>3.7218599999999999</v>
      </c>
      <c r="E716" s="5">
        <f>$D$589-D716</f>
        <v>3.5403899999999999</v>
      </c>
      <c r="F716" s="8">
        <f>10^(-D716)</f>
        <v>1.8973174455211178E-4</v>
      </c>
      <c r="G716" s="5">
        <f>(D716-D715)/(C716-C715)</f>
        <v>2.7720000000000806E-2</v>
      </c>
      <c r="H716" s="5">
        <f>$C$9+$C$10*EXP(-$C$11*C716)</f>
        <v>3.700412640681511</v>
      </c>
      <c r="I716" s="5">
        <f>D716-H716</f>
        <v>2.1447359318488957E-2</v>
      </c>
      <c r="J716" s="5">
        <f t="shared" si="17"/>
        <v>4.5998922173637509E-4</v>
      </c>
      <c r="K716" s="5">
        <f>$C$17+$C$16*C716</f>
        <v>4.1692960978134677</v>
      </c>
      <c r="L716" s="5">
        <f>(D716-K716)^2</f>
        <v>0.20019906162654305</v>
      </c>
      <c r="M716" s="5">
        <f>$C$40+$C$41*EXP(-$C$42*C716)</f>
        <v>0</v>
      </c>
      <c r="N716" s="5">
        <f>(D716-M716)^2</f>
        <v>13.852241859599999</v>
      </c>
      <c r="O716" s="5">
        <f>(C716+C715)/2</f>
        <v>10.534900000000077</v>
      </c>
      <c r="P716" s="5" t="str">
        <f>IF(AND(D715&gt;6,D716&lt;=6),C715+(6-D715)*(C716-C715)/(D716-D715),"")</f>
        <v/>
      </c>
      <c r="Q716" s="5" t="str">
        <f>IF(AND(D715&gt;5,D716&lt;=5),C715+(5-D715)*(C716-C715)/(D716-D715),"")</f>
        <v/>
      </c>
      <c r="R716" s="5" t="str">
        <f>IF(AND(D715&gt;4,D716&lt;=4),C715+(4-D715)*(C716-C715)/(D716-D715),"")</f>
        <v/>
      </c>
      <c r="S716" s="5" t="str">
        <f>IF(AND(D715&gt;3,D716&lt;=3),C715+(3-D715)*(C716-C715)/(D716-D715),"")</f>
        <v/>
      </c>
    </row>
    <row r="717" spans="1:19" ht="20.100000000000001" customHeight="1">
      <c r="A717" t="s">
        <v>3</v>
      </c>
      <c r="B717">
        <v>372</v>
      </c>
      <c r="C717" s="5">
        <f>('Raw Data'!C372-'Raw Data'!$C$244)/60</f>
        <v>10.659633333333355</v>
      </c>
      <c r="D717" s="5">
        <f>'Raw Data'!J372</f>
        <v>3.7068599999999998</v>
      </c>
      <c r="E717" s="5">
        <f>$D$589-D717</f>
        <v>3.5553900000000001</v>
      </c>
      <c r="F717" s="8">
        <f>10^(-D717)</f>
        <v>1.9639932914352511E-4</v>
      </c>
      <c r="G717" s="5">
        <f>(D717-D716)/(C717-C716)</f>
        <v>-0.18057784911729483</v>
      </c>
      <c r="H717" s="5">
        <f>$C$9+$C$10*EXP(-$C$11*C717)</f>
        <v>3.6949057724423402</v>
      </c>
      <c r="I717" s="5">
        <f>D717-H717</f>
        <v>1.1954227557659625E-2</v>
      </c>
      <c r="J717" s="5">
        <f t="shared" si="17"/>
        <v>1.429035565003088E-4</v>
      </c>
      <c r="K717" s="5">
        <f>$C$17+$C$16*C717</f>
        <v>4.1568934261233519</v>
      </c>
      <c r="L717" s="5">
        <f>(D717-K717)^2</f>
        <v>0.20253008462832259</v>
      </c>
      <c r="M717" s="5">
        <f>$C$40+$C$41*EXP(-$C$42*C717)</f>
        <v>0</v>
      </c>
      <c r="N717" s="5">
        <f>(D717-M717)^2</f>
        <v>13.740811059599999</v>
      </c>
      <c r="O717" s="5">
        <f>(C717+C716)/2</f>
        <v>10.618100000000048</v>
      </c>
      <c r="P717" s="5" t="str">
        <f>IF(AND(D716&gt;6,D717&lt;=6),C716+(6-D716)*(C717-C716)/(D717-D716),"")</f>
        <v/>
      </c>
      <c r="Q717" s="5" t="str">
        <f>IF(AND(D716&gt;5,D717&lt;=5),C716+(5-D716)*(C717-C716)/(D717-D716),"")</f>
        <v/>
      </c>
      <c r="R717" s="5" t="str">
        <f>IF(AND(D716&gt;4,D717&lt;=4),C716+(4-D716)*(C717-C716)/(D717-D716),"")</f>
        <v/>
      </c>
      <c r="S717" s="5" t="str">
        <f>IF(AND(D716&gt;3,D717&lt;=3),C716+(3-D716)*(C717-C716)/(D717-D716),"")</f>
        <v/>
      </c>
    </row>
    <row r="718" spans="1:19" ht="20.100000000000001" customHeight="1">
      <c r="A718" t="s">
        <v>3</v>
      </c>
      <c r="B718">
        <v>373</v>
      </c>
      <c r="C718" s="5">
        <f>('Raw Data'!C373-'Raw Data'!$C$244)/60</f>
        <v>10.742966666666689</v>
      </c>
      <c r="D718" s="5">
        <f>'Raw Data'!J373</f>
        <v>3.7172399999999999</v>
      </c>
      <c r="E718" s="5">
        <f>$D$589-D718</f>
        <v>3.54501</v>
      </c>
      <c r="F718" s="8">
        <f>10^(-D718)</f>
        <v>1.917608738057053E-4</v>
      </c>
      <c r="G718" s="5">
        <f>(D718-D717)/(C718-C717)</f>
        <v>0.12455999999999978</v>
      </c>
      <c r="H718" s="5">
        <f>$C$9+$C$10*EXP(-$C$11*C718)</f>
        <v>3.6895034613210607</v>
      </c>
      <c r="I718" s="5">
        <f>D718-H718</f>
        <v>2.7736538678939215E-2</v>
      </c>
      <c r="J718" s="5">
        <f t="shared" si="17"/>
        <v>7.6931557788829116E-4</v>
      </c>
      <c r="K718" s="5">
        <f>$C$17+$C$16*C718</f>
        <v>4.1444509384727466</v>
      </c>
      <c r="L718" s="5">
        <f>(D718-K718)^2</f>
        <v>0.18250918595076498</v>
      </c>
      <c r="M718" s="5">
        <f>$C$40+$C$41*EXP(-$C$42*C718)</f>
        <v>0</v>
      </c>
      <c r="N718" s="5">
        <f>(D718-M718)^2</f>
        <v>13.817873217599999</v>
      </c>
      <c r="O718" s="5">
        <f>(C718+C717)/2</f>
        <v>10.701300000000021</v>
      </c>
      <c r="P718" s="5" t="str">
        <f>IF(AND(D717&gt;6,D718&lt;=6),C717+(6-D717)*(C718-C717)/(D718-D717),"")</f>
        <v/>
      </c>
      <c r="Q718" s="5" t="str">
        <f>IF(AND(D717&gt;5,D718&lt;=5),C717+(5-D717)*(C718-C717)/(D718-D717),"")</f>
        <v/>
      </c>
      <c r="R718" s="5" t="str">
        <f>IF(AND(D717&gt;4,D718&lt;=4),C717+(4-D717)*(C718-C717)/(D718-D717),"")</f>
        <v/>
      </c>
      <c r="S718" s="5" t="str">
        <f>IF(AND(D717&gt;3,D718&lt;=3),C717+(3-D717)*(C718-C717)/(D718-D717),"")</f>
        <v/>
      </c>
    </row>
    <row r="719" spans="1:19" ht="20.100000000000001" customHeight="1">
      <c r="A719" t="s">
        <v>3</v>
      </c>
      <c r="B719">
        <v>374</v>
      </c>
      <c r="C719" s="5">
        <f>('Raw Data'!C374-'Raw Data'!$C$244)/60</f>
        <v>10.826033333333422</v>
      </c>
      <c r="D719" s="5">
        <f>'Raw Data'!J374</f>
        <v>3.7010900000000002</v>
      </c>
      <c r="E719" s="5">
        <f>$D$589-D719</f>
        <v>3.5611599999999997</v>
      </c>
      <c r="F719" s="8">
        <f>10^(-D719)</f>
        <v>1.9902608492013531E-4</v>
      </c>
      <c r="G719" s="5">
        <f>(D719-D718)/(C719-C718)</f>
        <v>-0.19442215088266571</v>
      </c>
      <c r="H719" s="5">
        <f>$C$9+$C$10*EXP(-$C$11*C719)</f>
        <v>3.6842375875953808</v>
      </c>
      <c r="I719" s="5">
        <f>D719-H719</f>
        <v>1.6852412404619432E-2</v>
      </c>
      <c r="J719" s="5">
        <f t="shared" si="17"/>
        <v>2.840038038553709E-4</v>
      </c>
      <c r="K719" s="5">
        <f>$C$17+$C$16*C719</f>
        <v>4.1320482667826139</v>
      </c>
      <c r="L719" s="5">
        <f>(D719-K719)^2</f>
        <v>0.18572502770827448</v>
      </c>
      <c r="M719" s="5">
        <f>$C$40+$C$41*EXP(-$C$42*C719)</f>
        <v>0</v>
      </c>
      <c r="N719" s="5">
        <f>(D719-M719)^2</f>
        <v>13.698067188100001</v>
      </c>
      <c r="O719" s="5">
        <f>(C719+C718)/2</f>
        <v>10.784500000000055</v>
      </c>
      <c r="P719" s="5" t="str">
        <f>IF(AND(D718&gt;6,D719&lt;=6),C718+(6-D718)*(C719-C718)/(D719-D718),"")</f>
        <v/>
      </c>
      <c r="Q719" s="5" t="str">
        <f>IF(AND(D718&gt;5,D719&lt;=5),C718+(5-D718)*(C719-C718)/(D719-D718),"")</f>
        <v/>
      </c>
      <c r="R719" s="5" t="str">
        <f>IF(AND(D718&gt;4,D719&lt;=4),C718+(4-D718)*(C719-C718)/(D719-D718),"")</f>
        <v/>
      </c>
      <c r="S719" s="5" t="str">
        <f>IF(AND(D718&gt;3,D719&lt;=3),C718+(3-D718)*(C719-C718)/(D719-D718),"")</f>
        <v/>
      </c>
    </row>
    <row r="720" spans="1:19" ht="20.100000000000001" customHeight="1">
      <c r="A720" t="s">
        <v>3</v>
      </c>
      <c r="B720">
        <v>375</v>
      </c>
      <c r="C720" s="5">
        <f>('Raw Data'!C375-'Raw Data'!$C$244)/60</f>
        <v>10.909633333333355</v>
      </c>
      <c r="D720" s="5">
        <f>'Raw Data'!J375</f>
        <v>3.6907100000000002</v>
      </c>
      <c r="E720" s="5">
        <f>$D$589-D720</f>
        <v>3.5715399999999997</v>
      </c>
      <c r="F720" s="8">
        <f>10^(-D720)</f>
        <v>2.0384027661441464E-4</v>
      </c>
      <c r="G720" s="5">
        <f>(D720-D719)/(C720-C719)</f>
        <v>-0.12416267942593741</v>
      </c>
      <c r="H720" s="5">
        <f>$C$9+$C$10*EXP(-$C$11*C720)</f>
        <v>3.6790553495732037</v>
      </c>
      <c r="I720" s="5">
        <f>D720-H720</f>
        <v>1.1654650426796476E-2</v>
      </c>
      <c r="J720" s="5">
        <f t="shared" si="17"/>
        <v>1.3583087657082727E-4</v>
      </c>
      <c r="K720" s="5">
        <f>$C$17+$C$16*C720</f>
        <v>4.1195659631715369</v>
      </c>
      <c r="L720" s="5">
        <f>(D720-K720)^2</f>
        <v>0.18391743714778647</v>
      </c>
      <c r="M720" s="5">
        <f>$C$40+$C$41*EXP(-$C$42*C720)</f>
        <v>0</v>
      </c>
      <c r="N720" s="5">
        <f>(D720-M720)^2</f>
        <v>13.6213403041</v>
      </c>
      <c r="O720" s="5">
        <f>(C720+C719)/2</f>
        <v>10.867833333333389</v>
      </c>
      <c r="P720" s="5" t="str">
        <f>IF(AND(D719&gt;6,D720&lt;=6),C719+(6-D719)*(C720-C719)/(D720-D719),"")</f>
        <v/>
      </c>
      <c r="Q720" s="5" t="str">
        <f>IF(AND(D719&gt;5,D720&lt;=5),C719+(5-D719)*(C720-C719)/(D720-D719),"")</f>
        <v/>
      </c>
      <c r="R720" s="5" t="str">
        <f>IF(AND(D719&gt;4,D720&lt;=4),C719+(4-D719)*(C720-C719)/(D720-D719),"")</f>
        <v/>
      </c>
      <c r="S720" s="5" t="str">
        <f>IF(AND(D719&gt;3,D720&lt;=3),C719+(3-D719)*(C720-C719)/(D720-D719),"")</f>
        <v/>
      </c>
    </row>
    <row r="721" spans="1:19" ht="20.100000000000001" customHeight="1">
      <c r="A721" t="s">
        <v>3</v>
      </c>
      <c r="B721">
        <v>376</v>
      </c>
      <c r="C721" s="5">
        <f>('Raw Data'!C376-'Raw Data'!$C$244)/60</f>
        <v>10.99270000000009</v>
      </c>
      <c r="D721" s="5">
        <f>'Raw Data'!J376</f>
        <v>3.7010900000000002</v>
      </c>
      <c r="E721" s="5">
        <f>$D$589-D721</f>
        <v>3.5611599999999997</v>
      </c>
      <c r="F721" s="8">
        <f>10^(-D721)</f>
        <v>1.9902608492013531E-4</v>
      </c>
      <c r="G721" s="5">
        <f>(D721-D720)/(C721-C720)</f>
        <v>0.12495987158898327</v>
      </c>
      <c r="H721" s="5">
        <f>$C$9+$C$10*EXP(-$C$11*C721)</f>
        <v>3.6740202849234826</v>
      </c>
      <c r="I721" s="5">
        <f>D721-H721</f>
        <v>2.7069715076517564E-2</v>
      </c>
      <c r="J721" s="5">
        <f t="shared" si="17"/>
        <v>7.3276947432384233E-4</v>
      </c>
      <c r="K721" s="5">
        <f>$C$17+$C$16*C721</f>
        <v>4.1071632914814025</v>
      </c>
      <c r="L721" s="5">
        <f>(D721-K721)^2</f>
        <v>0.16489551805453986</v>
      </c>
      <c r="M721" s="5">
        <f>$C$40+$C$41*EXP(-$C$42*C721)</f>
        <v>0</v>
      </c>
      <c r="N721" s="5">
        <f>(D721-M721)^2</f>
        <v>13.698067188100001</v>
      </c>
      <c r="O721" s="5">
        <f>(C721+C720)/2</f>
        <v>10.951166666666722</v>
      </c>
      <c r="P721" s="5" t="str">
        <f>IF(AND(D720&gt;6,D721&lt;=6),C720+(6-D720)*(C721-C720)/(D721-D720),"")</f>
        <v/>
      </c>
      <c r="Q721" s="5" t="str">
        <f>IF(AND(D720&gt;5,D721&lt;=5),C720+(5-D720)*(C721-C720)/(D721-D720),"")</f>
        <v/>
      </c>
      <c r="R721" s="5" t="str">
        <f>IF(AND(D720&gt;4,D721&lt;=4),C720+(4-D720)*(C721-C720)/(D721-D720),"")</f>
        <v/>
      </c>
      <c r="S721" s="5" t="str">
        <f>IF(AND(D720&gt;3,D721&lt;=3),C720+(3-D720)*(C721-C720)/(D721-D720),"")</f>
        <v/>
      </c>
    </row>
    <row r="722" spans="1:19" ht="20.100000000000001" customHeight="1">
      <c r="A722" t="s">
        <v>3</v>
      </c>
      <c r="B722">
        <v>377</v>
      </c>
      <c r="C722" s="5">
        <f>('Raw Data'!C377-'Raw Data'!$C$244)/60</f>
        <v>11.076033333333422</v>
      </c>
      <c r="D722" s="5">
        <f>'Raw Data'!J377</f>
        <v>3.6941700000000002</v>
      </c>
      <c r="E722" s="5">
        <f>$D$589-D722</f>
        <v>3.5680799999999997</v>
      </c>
      <c r="F722" s="8">
        <f>10^(-D722)</f>
        <v>2.0222274440998369E-4</v>
      </c>
      <c r="G722" s="5">
        <f>(D722-D721)/(C722-C721)</f>
        <v>-8.3040000000001626E-2</v>
      </c>
      <c r="H722" s="5">
        <f>$C$9+$C$10*EXP(-$C$11*C722)</f>
        <v>3.6690808194102118</v>
      </c>
      <c r="I722" s="5">
        <f>D722-H722</f>
        <v>2.5089180589788374E-2</v>
      </c>
      <c r="J722" s="5">
        <f t="shared" si="17"/>
        <v>6.294669826670137E-4</v>
      </c>
      <c r="K722" s="5">
        <f>$C$17+$C$16*C722</f>
        <v>4.0947208038307981</v>
      </c>
      <c r="L722" s="5">
        <f>(D722-K722)^2</f>
        <v>0.16044094644949833</v>
      </c>
      <c r="M722" s="5">
        <f>$C$40+$C$41*EXP(-$C$42*C722)</f>
        <v>0</v>
      </c>
      <c r="N722" s="5">
        <f>(D722-M722)^2</f>
        <v>13.646891988900002</v>
      </c>
      <c r="O722" s="5">
        <f>(C722+C721)/2</f>
        <v>11.034366666666756</v>
      </c>
      <c r="P722" s="5" t="str">
        <f>IF(AND(D721&gt;6,D722&lt;=6),C721+(6-D721)*(C722-C721)/(D722-D721),"")</f>
        <v/>
      </c>
      <c r="Q722" s="5" t="str">
        <f>IF(AND(D721&gt;5,D722&lt;=5),C721+(5-D721)*(C722-C721)/(D722-D721),"")</f>
        <v/>
      </c>
      <c r="R722" s="5" t="str">
        <f>IF(AND(D721&gt;4,D722&lt;=4),C721+(4-D721)*(C722-C721)/(D722-D721),"")</f>
        <v/>
      </c>
      <c r="S722" s="5" t="str">
        <f>IF(AND(D721&gt;3,D722&lt;=3),C721+(3-D721)*(C722-C721)/(D722-D721),"")</f>
        <v/>
      </c>
    </row>
    <row r="723" spans="1:19" ht="20.100000000000001" customHeight="1">
      <c r="A723" t="s">
        <v>3</v>
      </c>
      <c r="B723">
        <v>378</v>
      </c>
      <c r="C723" s="5">
        <f>('Raw Data'!C378-'Raw Data'!$C$244)/60</f>
        <v>11.159366666666756</v>
      </c>
      <c r="D723" s="5">
        <f>'Raw Data'!J378</f>
        <v>3.6895600000000002</v>
      </c>
      <c r="E723" s="5">
        <f>$D$589-D723</f>
        <v>3.5726899999999997</v>
      </c>
      <c r="F723" s="8">
        <f>10^(-D723)</f>
        <v>2.0438075540481584E-4</v>
      </c>
      <c r="G723" s="5">
        <f>(D723-D722)/(C723-C722)</f>
        <v>-5.531999999999964E-2</v>
      </c>
      <c r="H723" s="5">
        <f>$C$9+$C$10*EXP(-$C$11*C723)</f>
        <v>3.6642508179406539</v>
      </c>
      <c r="I723" s="5">
        <f>D723-H723</f>
        <v>2.5309182059346291E-2</v>
      </c>
      <c r="J723" s="5">
        <f t="shared" si="17"/>
        <v>6.4055469651313622E-4</v>
      </c>
      <c r="K723" s="5">
        <f>$C$17+$C$16*C723</f>
        <v>4.0822783161801928</v>
      </c>
      <c r="L723" s="5">
        <f>(D723-K723)^2</f>
        <v>0.15422767586340572</v>
      </c>
      <c r="M723" s="5">
        <f>$C$40+$C$41*EXP(-$C$42*C723)</f>
        <v>0</v>
      </c>
      <c r="N723" s="5">
        <f>(D723-M723)^2</f>
        <v>13.612852993600001</v>
      </c>
      <c r="O723" s="5">
        <f>(C723+C722)/2</f>
        <v>11.117700000000088</v>
      </c>
      <c r="P723" s="5" t="str">
        <f>IF(AND(D722&gt;6,D723&lt;=6),C722+(6-D722)*(C723-C722)/(D723-D722),"")</f>
        <v/>
      </c>
      <c r="Q723" s="5" t="str">
        <f>IF(AND(D722&gt;5,D723&lt;=5),C722+(5-D722)*(C723-C722)/(D723-D722),"")</f>
        <v/>
      </c>
      <c r="R723" s="5" t="str">
        <f>IF(AND(D722&gt;4,D723&lt;=4),C722+(4-D722)*(C723-C722)/(D723-D722),"")</f>
        <v/>
      </c>
      <c r="S723" s="5" t="str">
        <f>IF(AND(D722&gt;3,D723&lt;=3),C722+(3-D722)*(C723-C722)/(D723-D722),"")</f>
        <v/>
      </c>
    </row>
    <row r="724" spans="1:19" ht="20.100000000000001" customHeight="1">
      <c r="A724" t="s">
        <v>3</v>
      </c>
      <c r="B724">
        <v>379</v>
      </c>
      <c r="C724" s="5">
        <f>('Raw Data'!C379-'Raw Data'!$C$244)/60</f>
        <v>11.24270000000009</v>
      </c>
      <c r="D724" s="5">
        <f>'Raw Data'!J379</f>
        <v>3.6918700000000002</v>
      </c>
      <c r="E724" s="5">
        <f>$D$589-D724</f>
        <v>3.5703799999999997</v>
      </c>
      <c r="F724" s="8">
        <f>10^(-D724)</f>
        <v>2.032965459741425E-4</v>
      </c>
      <c r="G724" s="5">
        <f>(D724-D723)/(C724-C723)</f>
        <v>2.7720000000000213E-2</v>
      </c>
      <c r="H724" s="5">
        <f>$C$9+$C$10*EXP(-$C$11*C724)</f>
        <v>3.6595278546699812</v>
      </c>
      <c r="I724" s="5">
        <f>D724-H724</f>
        <v>3.2342145330019001E-2</v>
      </c>
      <c r="J724" s="5">
        <f t="shared" si="17"/>
        <v>1.04601436454807E-3</v>
      </c>
      <c r="K724" s="5">
        <f>$C$17+$C$16*C724</f>
        <v>4.0698358285295875</v>
      </c>
      <c r="L724" s="5">
        <f>(D724-K724)^2</f>
        <v>0.14285816753605737</v>
      </c>
      <c r="M724" s="5">
        <f>$C$40+$C$41*EXP(-$C$42*C724)</f>
        <v>0</v>
      </c>
      <c r="N724" s="5">
        <f>(D724-M724)^2</f>
        <v>13.629904096900001</v>
      </c>
      <c r="O724" s="5">
        <f>(C724+C723)/2</f>
        <v>11.201033333333424</v>
      </c>
      <c r="P724" s="5" t="str">
        <f>IF(AND(D723&gt;6,D724&lt;=6),C723+(6-D723)*(C724-C723)/(D724-D723),"")</f>
        <v/>
      </c>
      <c r="Q724" s="5" t="str">
        <f>IF(AND(D723&gt;5,D724&lt;=5),C723+(5-D723)*(C724-C723)/(D724-D723),"")</f>
        <v/>
      </c>
      <c r="R724" s="5" t="str">
        <f>IF(AND(D723&gt;4,D724&lt;=4),C723+(4-D723)*(C724-C723)/(D724-D723),"")</f>
        <v/>
      </c>
      <c r="S724" s="5" t="str">
        <f>IF(AND(D723&gt;3,D724&lt;=3),C723+(3-D723)*(C724-C723)/(D724-D723),"")</f>
        <v/>
      </c>
    </row>
    <row r="725" spans="1:19" ht="20.100000000000001" customHeight="1">
      <c r="A725" t="s">
        <v>3</v>
      </c>
      <c r="B725">
        <v>380</v>
      </c>
      <c r="C725" s="5">
        <f>('Raw Data'!C380-'Raw Data'!$C$244)/60</f>
        <v>11.325783333333431</v>
      </c>
      <c r="D725" s="5">
        <f>'Raw Data'!J380</f>
        <v>3.6872500000000001</v>
      </c>
      <c r="E725" s="5">
        <f>$D$589-D725</f>
        <v>3.5749999999999997</v>
      </c>
      <c r="F725" s="8">
        <f>10^(-D725)</f>
        <v>2.0547074707878308E-4</v>
      </c>
      <c r="G725" s="5">
        <f>(D725-D724)/(C725-C724)</f>
        <v>-5.5606820461379436E-2</v>
      </c>
      <c r="H725" s="5">
        <f>$C$9+$C$10*EXP(-$C$11*C725)</f>
        <v>3.6549232581981181</v>
      </c>
      <c r="I725" s="5">
        <f>D725-H725</f>
        <v>3.2326741801881997E-2</v>
      </c>
      <c r="J725" s="5">
        <f t="shared" si="17"/>
        <v>1.045018235525545E-3</v>
      </c>
      <c r="K725" s="5">
        <f>$C$17+$C$16*C725</f>
        <v>4.0574306683419321</v>
      </c>
      <c r="L725" s="5">
        <f>(D725-K725)^2</f>
        <v>0.13703372721407944</v>
      </c>
      <c r="M725" s="5">
        <f>$C$40+$C$41*EXP(-$C$42*C725)</f>
        <v>0</v>
      </c>
      <c r="N725" s="5">
        <f>(D725-M725)^2</f>
        <v>13.595812562500001</v>
      </c>
      <c r="O725" s="5">
        <f>(C725+C724)/2</f>
        <v>11.284241666666761</v>
      </c>
      <c r="P725" s="5" t="str">
        <f>IF(AND(D724&gt;6,D725&lt;=6),C724+(6-D724)*(C725-C724)/(D725-D724),"")</f>
        <v/>
      </c>
      <c r="Q725" s="5" t="str">
        <f>IF(AND(D724&gt;5,D725&lt;=5),C724+(5-D724)*(C725-C724)/(D725-D724),"")</f>
        <v/>
      </c>
      <c r="R725" s="5" t="str">
        <f>IF(AND(D724&gt;4,D725&lt;=4),C724+(4-D724)*(C725-C724)/(D725-D724),"")</f>
        <v/>
      </c>
      <c r="S725" s="5" t="str">
        <f>IF(AND(D724&gt;3,D725&lt;=3),C724+(3-D724)*(C725-C724)/(D725-D724),"")</f>
        <v/>
      </c>
    </row>
    <row r="726" spans="1:19" ht="20.100000000000001" customHeight="1">
      <c r="A726" t="s">
        <v>3</v>
      </c>
      <c r="B726">
        <v>381</v>
      </c>
      <c r="C726" s="5">
        <f>('Raw Data'!C381-'Raw Data'!$C$244)/60</f>
        <v>11.409366666666756</v>
      </c>
      <c r="D726" s="5">
        <f>'Raw Data'!J381</f>
        <v>3.6895600000000002</v>
      </c>
      <c r="E726" s="5">
        <f>$D$589-D726</f>
        <v>3.5726899999999997</v>
      </c>
      <c r="F726" s="8">
        <f>10^(-D726)</f>
        <v>2.0438075540481584E-4</v>
      </c>
      <c r="G726" s="5">
        <f>(D726-D725)/(C726-C725)</f>
        <v>2.7637088733801947E-2</v>
      </c>
      <c r="H726" s="5">
        <f>$C$9+$C$10*EXP(-$C$11*C726)</f>
        <v>3.6503936069516967</v>
      </c>
      <c r="I726" s="5">
        <f>D726-H726</f>
        <v>3.9166393048303494E-2</v>
      </c>
      <c r="J726" s="5">
        <f t="shared" si="17"/>
        <v>1.5340063444141962E-3</v>
      </c>
      <c r="K726" s="5">
        <f>$C$17+$C$16*C726</f>
        <v>4.0449508532283769</v>
      </c>
      <c r="L726" s="5">
        <f>(D726-K726)^2</f>
        <v>0.12630265855839359</v>
      </c>
      <c r="M726" s="5">
        <f>$C$40+$C$41*EXP(-$C$42*C726)</f>
        <v>0</v>
      </c>
      <c r="N726" s="5">
        <f>(D726-M726)^2</f>
        <v>13.612852993600001</v>
      </c>
      <c r="O726" s="5">
        <f>(C726+C725)/2</f>
        <v>11.367575000000095</v>
      </c>
      <c r="P726" s="5" t="str">
        <f>IF(AND(D725&gt;6,D726&lt;=6),C725+(6-D725)*(C726-C725)/(D726-D725),"")</f>
        <v/>
      </c>
      <c r="Q726" s="5" t="str">
        <f>IF(AND(D725&gt;5,D726&lt;=5),C725+(5-D725)*(C726-C725)/(D726-D725),"")</f>
        <v/>
      </c>
      <c r="R726" s="5" t="str">
        <f>IF(AND(D725&gt;4,D726&lt;=4),C725+(4-D725)*(C726-C725)/(D726-D725),"")</f>
        <v/>
      </c>
      <c r="S726" s="5" t="str">
        <f>IF(AND(D725&gt;3,D726&lt;=3),C725+(3-D725)*(C726-C725)/(D726-D725),"")</f>
        <v/>
      </c>
    </row>
    <row r="727" spans="1:19" ht="20.100000000000001" customHeight="1">
      <c r="A727" t="s">
        <v>3</v>
      </c>
      <c r="B727">
        <v>382</v>
      </c>
      <c r="C727" s="5">
        <f>('Raw Data'!C382-'Raw Data'!$C$244)/60</f>
        <v>11.492450000000099</v>
      </c>
      <c r="D727" s="5">
        <f>'Raw Data'!J382</f>
        <v>3.6803300000000001</v>
      </c>
      <c r="E727" s="5">
        <f>$D$589-D727</f>
        <v>3.5819199999999998</v>
      </c>
      <c r="F727" s="8">
        <f>10^(-D727)</f>
        <v>2.0877091757552538E-4</v>
      </c>
      <c r="G727" s="5">
        <f>(D727-D726)/(C727-C726)</f>
        <v>-0.11109327983950597</v>
      </c>
      <c r="H727" s="5">
        <f>$C$9+$C$10*EXP(-$C$11*C727)</f>
        <v>3.6459908350415677</v>
      </c>
      <c r="I727" s="5">
        <f>D727-H727</f>
        <v>3.4339164958432367E-2</v>
      </c>
      <c r="J727" s="5">
        <f t="shared" si="17"/>
        <v>1.1791782500424294E-3</v>
      </c>
      <c r="K727" s="5">
        <f>$C$17+$C$16*C727</f>
        <v>4.0325456930407215</v>
      </c>
      <c r="L727" s="5">
        <f>(D727-K727)^2</f>
        <v>0.1240558944241557</v>
      </c>
      <c r="M727" s="5">
        <f>$C$40+$C$41*EXP(-$C$42*C727)</f>
        <v>0</v>
      </c>
      <c r="N727" s="5">
        <f>(D727-M727)^2</f>
        <v>13.544828908900001</v>
      </c>
      <c r="O727" s="5">
        <f>(C727+C726)/2</f>
        <v>11.450908333333427</v>
      </c>
      <c r="P727" s="5" t="str">
        <f>IF(AND(D726&gt;6,D727&lt;=6),C726+(6-D726)*(C727-C726)/(D727-D726),"")</f>
        <v/>
      </c>
      <c r="Q727" s="5" t="str">
        <f>IF(AND(D726&gt;5,D727&lt;=5),C726+(5-D726)*(C727-C726)/(D727-D726),"")</f>
        <v/>
      </c>
      <c r="R727" s="5" t="str">
        <f>IF(AND(D726&gt;4,D727&lt;=4),C726+(4-D726)*(C727-C726)/(D727-D726),"")</f>
        <v/>
      </c>
      <c r="S727" s="5" t="str">
        <f>IF(AND(D726&gt;3,D727&lt;=3),C726+(3-D726)*(C727-C726)/(D727-D726),"")</f>
        <v/>
      </c>
    </row>
    <row r="728" spans="1:19" ht="20.100000000000001" customHeight="1">
      <c r="A728" t="s">
        <v>3</v>
      </c>
      <c r="B728">
        <v>383</v>
      </c>
      <c r="C728" s="5">
        <f>('Raw Data'!C383-'Raw Data'!$C$244)/60</f>
        <v>11.575783333333431</v>
      </c>
      <c r="D728" s="5">
        <f>'Raw Data'!J383</f>
        <v>3.6757200000000001</v>
      </c>
      <c r="E728" s="5">
        <f>$D$589-D728</f>
        <v>3.5865299999999998</v>
      </c>
      <c r="F728" s="8">
        <f>10^(-D728)</f>
        <v>2.1099880710814811E-4</v>
      </c>
      <c r="G728" s="5">
        <f>(D728-D727)/(C728-C727)</f>
        <v>-5.532000000000082E-2</v>
      </c>
      <c r="H728" s="5">
        <f>$C$9+$C$10*EXP(-$C$11*C728)</f>
        <v>3.6416725332794919</v>
      </c>
      <c r="I728" s="5">
        <f>D728-H728</f>
        <v>3.4047466720508179E-2</v>
      </c>
      <c r="J728" s="5">
        <f t="shared" si="17"/>
        <v>1.159229990084112E-3</v>
      </c>
      <c r="K728" s="5">
        <f>$C$17+$C$16*C728</f>
        <v>4.0201032053901162</v>
      </c>
      <c r="L728" s="5">
        <f>(D728-K728)^2</f>
        <v>0.11859979215477091</v>
      </c>
      <c r="M728" s="5">
        <f>$C$40+$C$41*EXP(-$C$42*C728)</f>
        <v>0</v>
      </c>
      <c r="N728" s="5">
        <f>(D728-M728)^2</f>
        <v>13.510917518400001</v>
      </c>
      <c r="O728" s="5">
        <f>(C728+C727)/2</f>
        <v>11.534116666666765</v>
      </c>
      <c r="P728" s="5" t="str">
        <f>IF(AND(D727&gt;6,D728&lt;=6),C727+(6-D727)*(C728-C727)/(D728-D727),"")</f>
        <v/>
      </c>
      <c r="Q728" s="5" t="str">
        <f>IF(AND(D727&gt;5,D728&lt;=5),C727+(5-D727)*(C728-C727)/(D728-D727),"")</f>
        <v/>
      </c>
      <c r="R728" s="5" t="str">
        <f>IF(AND(D727&gt;4,D728&lt;=4),C727+(4-D727)*(C728-C727)/(D728-D727),"")</f>
        <v/>
      </c>
      <c r="S728" s="5" t="str">
        <f>IF(AND(D727&gt;3,D728&lt;=3),C727+(3-D727)*(C728-C727)/(D728-D727),"")</f>
        <v/>
      </c>
    </row>
    <row r="729" spans="1:19" ht="20.100000000000001" customHeight="1">
      <c r="A729" t="s">
        <v>3</v>
      </c>
      <c r="B729">
        <v>384</v>
      </c>
      <c r="C729" s="5">
        <f>('Raw Data'!C384-'Raw Data'!$C$244)/60</f>
        <v>11.659116666666765</v>
      </c>
      <c r="D729" s="5">
        <f>'Raw Data'!J384</f>
        <v>3.6814800000000001</v>
      </c>
      <c r="E729" s="5">
        <f>$D$589-D729</f>
        <v>3.5807699999999998</v>
      </c>
      <c r="F729" s="8">
        <f>10^(-D729)</f>
        <v>2.0821882913266455E-4</v>
      </c>
      <c r="G729" s="5">
        <f>(D729-D728)/(C729-C728)</f>
        <v>6.9119999999999363E-2</v>
      </c>
      <c r="H729" s="5">
        <f>$C$9+$C$10*EXP(-$C$11*C729)</f>
        <v>3.6374499298822651</v>
      </c>
      <c r="I729" s="5">
        <f>D729-H729</f>
        <v>4.4030070117734965E-2</v>
      </c>
      <c r="J729" s="5">
        <f t="shared" si="17"/>
        <v>1.9386470745726575E-3</v>
      </c>
      <c r="K729" s="5">
        <f>$C$17+$C$16*C729</f>
        <v>4.0076607177395109</v>
      </c>
      <c r="L729" s="5">
        <f>(D729-K729)^2</f>
        <v>0.10639386062506245</v>
      </c>
      <c r="M729" s="5">
        <f>$C$40+$C$41*EXP(-$C$42*C729)</f>
        <v>0</v>
      </c>
      <c r="N729" s="5">
        <f>(D729-M729)^2</f>
        <v>13.553294990400001</v>
      </c>
      <c r="O729" s="5">
        <f>(C729+C728)/2</f>
        <v>11.617450000000098</v>
      </c>
      <c r="P729" s="5" t="str">
        <f>IF(AND(D728&gt;6,D729&lt;=6),C728+(6-D728)*(C729-C728)/(D729-D728),"")</f>
        <v/>
      </c>
      <c r="Q729" s="5" t="str">
        <f>IF(AND(D728&gt;5,D729&lt;=5),C728+(5-D728)*(C729-C728)/(D729-D728),"")</f>
        <v/>
      </c>
      <c r="R729" s="5" t="str">
        <f>IF(AND(D728&gt;4,D729&lt;=4),C728+(4-D728)*(C729-C728)/(D729-D728),"")</f>
        <v/>
      </c>
      <c r="S729" s="5" t="str">
        <f>IF(AND(D728&gt;3,D729&lt;=3),C728+(3-D728)*(C729-C728)/(D729-D728),"")</f>
        <v/>
      </c>
    </row>
    <row r="730" spans="1:19" ht="20.100000000000001" customHeight="1">
      <c r="A730" t="s">
        <v>3</v>
      </c>
      <c r="B730">
        <v>385</v>
      </c>
      <c r="C730" s="5">
        <f>('Raw Data'!C385-'Raw Data'!$C$244)/60</f>
        <v>11.742450000000099</v>
      </c>
      <c r="D730" s="5">
        <f>'Raw Data'!J385</f>
        <v>3.66995</v>
      </c>
      <c r="E730" s="5">
        <f>$D$589-D730</f>
        <v>3.5922999999999998</v>
      </c>
      <c r="F730" s="8">
        <f>10^(-D730)</f>
        <v>2.1382082456536784E-4</v>
      </c>
      <c r="G730" s="5">
        <f>(D730-D729)/(C730-C729)</f>
        <v>-0.13835999999999951</v>
      </c>
      <c r="H730" s="5">
        <f>$C$9+$C$10*EXP(-$C$11*C730)</f>
        <v>3.6333209040677978</v>
      </c>
      <c r="I730" s="5">
        <f>D730-H730</f>
        <v>3.6629095932202205E-2</v>
      </c>
      <c r="J730" s="5">
        <f t="shared" si="17"/>
        <v>1.341690668810472E-3</v>
      </c>
      <c r="K730" s="5">
        <f>$C$17+$C$16*C730</f>
        <v>3.9952182300889056</v>
      </c>
      <c r="L730" s="5">
        <f>(D730-K730)^2</f>
        <v>0.10579942150516923</v>
      </c>
      <c r="M730" s="5">
        <f>$C$40+$C$41*EXP(-$C$42*C730)</f>
        <v>0</v>
      </c>
      <c r="N730" s="5">
        <f>(D730-M730)^2</f>
        <v>13.468533002500001</v>
      </c>
      <c r="O730" s="5">
        <f>(C730+C729)/2</f>
        <v>11.700783333333433</v>
      </c>
      <c r="P730" s="5" t="str">
        <f>IF(AND(D729&gt;6,D730&lt;=6),C729+(6-D729)*(C730-C729)/(D730-D729),"")</f>
        <v/>
      </c>
      <c r="Q730" s="5" t="str">
        <f>IF(AND(D729&gt;5,D730&lt;=5),C729+(5-D729)*(C730-C729)/(D730-D729),"")</f>
        <v/>
      </c>
      <c r="R730" s="5" t="str">
        <f>IF(AND(D729&gt;4,D730&lt;=4),C729+(4-D729)*(C730-C729)/(D730-D729),"")</f>
        <v/>
      </c>
      <c r="S730" s="5" t="str">
        <f>IF(AND(D729&gt;3,D730&lt;=3),C729+(3-D729)*(C730-C729)/(D730-D729),"")</f>
        <v/>
      </c>
    </row>
    <row r="731" spans="1:19" ht="20.100000000000001" customHeight="1">
      <c r="A731" t="s">
        <v>3</v>
      </c>
      <c r="B731">
        <v>386</v>
      </c>
      <c r="C731" s="5">
        <f>('Raw Data'!C386-'Raw Data'!$C$244)/60</f>
        <v>11.825516666666712</v>
      </c>
      <c r="D731" s="5">
        <f>'Raw Data'!J386</f>
        <v>3.66533</v>
      </c>
      <c r="E731" s="5">
        <f>$D$589-D731</f>
        <v>3.5969199999999999</v>
      </c>
      <c r="F731" s="8">
        <f>10^(-D731)</f>
        <v>2.1610757995876439E-4</v>
      </c>
      <c r="G731" s="5">
        <f>(D731-D730)/(C731-C730)</f>
        <v>-5.5617977528127166E-2</v>
      </c>
      <c r="H731" s="5">
        <f>$C$9+$C$10*EXP(-$C$11*C731)</f>
        <v>3.6292961583504728</v>
      </c>
      <c r="I731" s="5">
        <f>D731-H731</f>
        <v>3.6033841649527165E-2</v>
      </c>
      <c r="J731" s="5">
        <f t="shared" ref="J731:J794" si="18">I731^2</f>
        <v>1.2984377440231987E-3</v>
      </c>
      <c r="K731" s="5">
        <f>$C$17+$C$16*C731</f>
        <v>3.9828155583987908</v>
      </c>
      <c r="L731" s="5">
        <f>(D731-K731)^2</f>
        <v>0.10079707979179199</v>
      </c>
      <c r="M731" s="5">
        <f>$C$40+$C$41*EXP(-$C$42*C731)</f>
        <v>0</v>
      </c>
      <c r="N731" s="5">
        <f>(D731-M731)^2</f>
        <v>13.434644008899999</v>
      </c>
      <c r="O731" s="5">
        <f>(C731+C730)/2</f>
        <v>11.783983333333406</v>
      </c>
      <c r="P731" s="5" t="str">
        <f>IF(AND(D730&gt;6,D731&lt;=6),C730+(6-D730)*(C731-C730)/(D731-D730),"")</f>
        <v/>
      </c>
      <c r="Q731" s="5" t="str">
        <f>IF(AND(D730&gt;5,D731&lt;=5),C730+(5-D730)*(C731-C730)/(D731-D730),"")</f>
        <v/>
      </c>
      <c r="R731" s="5" t="str">
        <f>IF(AND(D730&gt;4,D731&lt;=4),C730+(4-D730)*(C731-C730)/(D731-D730),"")</f>
        <v/>
      </c>
      <c r="S731" s="5" t="str">
        <f>IF(AND(D730&gt;3,D731&lt;=3),C730+(3-D730)*(C731-C730)/(D731-D730),"")</f>
        <v/>
      </c>
    </row>
    <row r="732" spans="1:19" ht="20.100000000000001" customHeight="1">
      <c r="A732" t="s">
        <v>3</v>
      </c>
      <c r="B732">
        <v>387</v>
      </c>
      <c r="C732" s="5">
        <f>('Raw Data'!C387-'Raw Data'!$C$244)/60</f>
        <v>11.909116666666765</v>
      </c>
      <c r="D732" s="5">
        <f>'Raw Data'!J387</f>
        <v>3.66187</v>
      </c>
      <c r="E732" s="5">
        <f>$D$589-D732</f>
        <v>3.6003799999999999</v>
      </c>
      <c r="F732" s="8">
        <f>10^(-D732)</f>
        <v>2.1783617369941822E-4</v>
      </c>
      <c r="G732" s="5">
        <f>(D732-D731)/(C732-C731)</f>
        <v>-4.1387559808586001E-2</v>
      </c>
      <c r="H732" s="5">
        <f>$C$9+$C$10*EXP(-$C$11*C732)</f>
        <v>3.6253353360116725</v>
      </c>
      <c r="I732" s="5">
        <f>D732-H732</f>
        <v>3.6534663988327498E-2</v>
      </c>
      <c r="J732" s="5">
        <f t="shared" si="18"/>
        <v>1.3347816727399941E-3</v>
      </c>
      <c r="K732" s="5">
        <f>$C$17+$C$16*C732</f>
        <v>3.9703332547876955</v>
      </c>
      <c r="L732" s="5">
        <f>(D732-K732)^2</f>
        <v>9.514957955421878E-2</v>
      </c>
      <c r="M732" s="5">
        <f>$C$40+$C$41*EXP(-$C$42*C732)</f>
        <v>0</v>
      </c>
      <c r="N732" s="5">
        <f>(D732-M732)^2</f>
        <v>13.409291896899999</v>
      </c>
      <c r="O732" s="5">
        <f>(C732+C731)/2</f>
        <v>11.867316666666738</v>
      </c>
      <c r="P732" s="5" t="str">
        <f>IF(AND(D731&gt;6,D732&lt;=6),C731+(6-D731)*(C732-C731)/(D732-D731),"")</f>
        <v/>
      </c>
      <c r="Q732" s="5" t="str">
        <f>IF(AND(D731&gt;5,D732&lt;=5),C731+(5-D731)*(C732-C731)/(D732-D731),"")</f>
        <v/>
      </c>
      <c r="R732" s="5" t="str">
        <f>IF(AND(D731&gt;4,D732&lt;=4),C731+(4-D731)*(C732-C731)/(D732-D731),"")</f>
        <v/>
      </c>
      <c r="S732" s="5" t="str">
        <f>IF(AND(D731&gt;3,D732&lt;=3),C731+(3-D731)*(C732-C731)/(D732-D731),"")</f>
        <v/>
      </c>
    </row>
    <row r="733" spans="1:19" ht="20.100000000000001" customHeight="1">
      <c r="A733" t="s">
        <v>3</v>
      </c>
      <c r="B733">
        <v>388</v>
      </c>
      <c r="C733" s="5">
        <f>('Raw Data'!C388-'Raw Data'!$C$244)/60</f>
        <v>11.992183333333378</v>
      </c>
      <c r="D733" s="5">
        <f>'Raw Data'!J388</f>
        <v>3.6445699999999999</v>
      </c>
      <c r="E733" s="5">
        <f>$D$589-D733</f>
        <v>3.61768</v>
      </c>
      <c r="F733" s="8">
        <f>10^(-D733)</f>
        <v>2.2668876685747903E-4</v>
      </c>
      <c r="G733" s="5">
        <f>(D733-D732)/(C733-C732)</f>
        <v>-0.20826645264861274</v>
      </c>
      <c r="H733" s="5">
        <f>$C$9+$C$10*EXP(-$C$11*C733)</f>
        <v>3.6214869993554792</v>
      </c>
      <c r="I733" s="5">
        <f>D733-H733</f>
        <v>2.3083000644520624E-2</v>
      </c>
      <c r="J733" s="5">
        <f t="shared" si="18"/>
        <v>5.3282491875493952E-4</v>
      </c>
      <c r="K733" s="5">
        <f>$C$17+$C$16*C733</f>
        <v>3.9579305830975802</v>
      </c>
      <c r="L733" s="5">
        <f>(D733-K733)^2</f>
        <v>9.8194855039255527E-2</v>
      </c>
      <c r="M733" s="5">
        <f>$C$40+$C$41*EXP(-$C$42*C733)</f>
        <v>0</v>
      </c>
      <c r="N733" s="5">
        <f>(D733-M733)^2</f>
        <v>13.282890484899999</v>
      </c>
      <c r="O733" s="5">
        <f>(C733+C732)/2</f>
        <v>11.950650000000071</v>
      </c>
      <c r="P733" s="5" t="str">
        <f>IF(AND(D732&gt;6,D733&lt;=6),C732+(6-D732)*(C733-C732)/(D733-D732),"")</f>
        <v/>
      </c>
      <c r="Q733" s="5" t="str">
        <f>IF(AND(D732&gt;5,D733&lt;=5),C732+(5-D732)*(C733-C732)/(D733-D732),"")</f>
        <v/>
      </c>
      <c r="R733" s="5" t="str">
        <f>IF(AND(D732&gt;4,D733&lt;=4),C732+(4-D732)*(C733-C732)/(D733-D732),"")</f>
        <v/>
      </c>
      <c r="S733" s="5" t="str">
        <f>IF(AND(D732&gt;3,D733&lt;=3),C732+(3-D732)*(C733-C732)/(D733-D732),"")</f>
        <v/>
      </c>
    </row>
    <row r="734" spans="1:19" ht="20.100000000000001" customHeight="1">
      <c r="A734" t="s">
        <v>3</v>
      </c>
      <c r="B734">
        <v>389</v>
      </c>
      <c r="C734" s="5">
        <f>('Raw Data'!C389-'Raw Data'!$C$244)/60</f>
        <v>12.075516666666712</v>
      </c>
      <c r="D734" s="5">
        <f>'Raw Data'!J389</f>
        <v>3.66072</v>
      </c>
      <c r="E734" s="5">
        <f>$D$589-D734</f>
        <v>3.6015299999999999</v>
      </c>
      <c r="F734" s="8">
        <f>10^(-D734)</f>
        <v>2.1841376235668533E-4</v>
      </c>
      <c r="G734" s="5">
        <f>(D734-D733)/(C734-C733)</f>
        <v>0.19379999999999992</v>
      </c>
      <c r="H734" s="5">
        <f>$C$9+$C$10*EXP(-$C$11*C734)</f>
        <v>3.6177117298169241</v>
      </c>
      <c r="I734" s="5">
        <f>D734-H734</f>
        <v>4.3008270183075847E-2</v>
      </c>
      <c r="J734" s="5">
        <f t="shared" si="18"/>
        <v>1.8497113041404511E-3</v>
      </c>
      <c r="K734" s="5">
        <f>$C$17+$C$16*C734</f>
        <v>3.9454880954469749</v>
      </c>
      <c r="L734" s="5">
        <f>(D734-K734)^2</f>
        <v>8.1092868184497402E-2</v>
      </c>
      <c r="M734" s="5">
        <f>$C$40+$C$41*EXP(-$C$42*C734)</f>
        <v>0</v>
      </c>
      <c r="N734" s="5">
        <f>(D734-M734)^2</f>
        <v>13.400870918399999</v>
      </c>
      <c r="O734" s="5">
        <f>(C734+C733)/2</f>
        <v>12.033850000000044</v>
      </c>
      <c r="P734" s="5" t="str">
        <f>IF(AND(D733&gt;6,D734&lt;=6),C733+(6-D733)*(C734-C733)/(D734-D733),"")</f>
        <v/>
      </c>
      <c r="Q734" s="5" t="str">
        <f>IF(AND(D733&gt;5,D734&lt;=5),C733+(5-D733)*(C734-C733)/(D734-D733),"")</f>
        <v/>
      </c>
      <c r="R734" s="5" t="str">
        <f>IF(AND(D733&gt;4,D734&lt;=4),C733+(4-D733)*(C734-C733)/(D734-D733),"")</f>
        <v/>
      </c>
      <c r="S734" s="5" t="str">
        <f>IF(AND(D733&gt;3,D734&lt;=3),C733+(3-D733)*(C734-C733)/(D734-D733),"")</f>
        <v/>
      </c>
    </row>
    <row r="735" spans="1:19" ht="20.100000000000001" customHeight="1">
      <c r="A735" t="s">
        <v>3</v>
      </c>
      <c r="B735">
        <v>390</v>
      </c>
      <c r="C735" s="5">
        <f>('Raw Data'!C390-'Raw Data'!$C$244)/60</f>
        <v>12.158850000000045</v>
      </c>
      <c r="D735" s="5">
        <f>'Raw Data'!J390</f>
        <v>3.6526399999999999</v>
      </c>
      <c r="E735" s="5">
        <f>$D$589-D735</f>
        <v>3.60961</v>
      </c>
      <c r="F735" s="8">
        <f>10^(-D735)</f>
        <v>2.2251536243855899E-4</v>
      </c>
      <c r="G735" s="5">
        <f>(D735-D734)/(C735-C734)</f>
        <v>-9.6960000000000351E-2</v>
      </c>
      <c r="H735" s="5">
        <f>$C$9+$C$10*EXP(-$C$11*C735)</f>
        <v>3.6140201244458146</v>
      </c>
      <c r="I735" s="5">
        <f>D735-H735</f>
        <v>3.8619875554185334E-2</v>
      </c>
      <c r="J735" s="5">
        <f t="shared" si="18"/>
        <v>1.4914947878207621E-3</v>
      </c>
      <c r="K735" s="5">
        <f>$C$17+$C$16*C735</f>
        <v>3.9330456077963696</v>
      </c>
      <c r="L735" s="5">
        <f>(D735-K735)^2</f>
        <v>7.8627304883651508E-2</v>
      </c>
      <c r="M735" s="5">
        <f>$C$40+$C$41*EXP(-$C$42*C735)</f>
        <v>0</v>
      </c>
      <c r="N735" s="5">
        <f>(D735-M735)^2</f>
        <v>13.3417789696</v>
      </c>
      <c r="O735" s="5">
        <f>(C735+C734)/2</f>
        <v>12.117183333333379</v>
      </c>
      <c r="P735" s="5" t="str">
        <f>IF(AND(D734&gt;6,D735&lt;=6),C734+(6-D734)*(C735-C734)/(D735-D734),"")</f>
        <v/>
      </c>
      <c r="Q735" s="5" t="str">
        <f>IF(AND(D734&gt;5,D735&lt;=5),C734+(5-D734)*(C735-C734)/(D735-D734),"")</f>
        <v/>
      </c>
      <c r="R735" s="5" t="str">
        <f>IF(AND(D734&gt;4,D735&lt;=4),C734+(4-D734)*(C735-C734)/(D735-D734),"")</f>
        <v/>
      </c>
      <c r="S735" s="5" t="str">
        <f>IF(AND(D734&gt;3,D735&lt;=3),C734+(3-D734)*(C735-C734)/(D735-D734),"")</f>
        <v/>
      </c>
    </row>
    <row r="736" spans="1:19" ht="20.100000000000001" customHeight="1">
      <c r="A736" t="s">
        <v>3</v>
      </c>
      <c r="B736">
        <v>391</v>
      </c>
      <c r="C736" s="5">
        <f>('Raw Data'!C391-'Raw Data'!$C$244)/60</f>
        <v>12.242183333333378</v>
      </c>
      <c r="D736" s="5">
        <f>'Raw Data'!J391</f>
        <v>3.6387999999999998</v>
      </c>
      <c r="E736" s="5">
        <f>$D$589-D736</f>
        <v>3.6234500000000001</v>
      </c>
      <c r="F736" s="8">
        <f>10^(-D736)</f>
        <v>2.297206307158354E-4</v>
      </c>
      <c r="G736" s="5">
        <f>(D736-D735)/(C736-C735)</f>
        <v>-0.16608000000000325</v>
      </c>
      <c r="H736" s="5">
        <f>$C$9+$C$10*EXP(-$C$11*C736)</f>
        <v>3.6104103291512462</v>
      </c>
      <c r="I736" s="5">
        <f>D736-H736</f>
        <v>2.8389670848753656E-2</v>
      </c>
      <c r="J736" s="5">
        <f t="shared" si="18"/>
        <v>8.059734109005732E-4</v>
      </c>
      <c r="K736" s="5">
        <f>$C$17+$C$16*C736</f>
        <v>3.9206031201457643</v>
      </c>
      <c r="L736" s="5">
        <f>(D736-K736)^2</f>
        <v>7.9412998523888167E-2</v>
      </c>
      <c r="M736" s="5">
        <f>$C$40+$C$41*EXP(-$C$42*C736)</f>
        <v>0</v>
      </c>
      <c r="N736" s="5">
        <f>(D736-M736)^2</f>
        <v>13.240865439999999</v>
      </c>
      <c r="O736" s="5">
        <f>(C736+C735)/2</f>
        <v>12.200516666666712</v>
      </c>
      <c r="P736" s="5" t="str">
        <f>IF(AND(D735&gt;6,D736&lt;=6),C735+(6-D735)*(C736-C735)/(D736-D735),"")</f>
        <v/>
      </c>
      <c r="Q736" s="5" t="str">
        <f>IF(AND(D735&gt;5,D736&lt;=5),C735+(5-D735)*(C736-C735)/(D736-D735),"")</f>
        <v/>
      </c>
      <c r="R736" s="5" t="str">
        <f>IF(AND(D735&gt;4,D736&lt;=4),C735+(4-D735)*(C736-C735)/(D736-D735),"")</f>
        <v/>
      </c>
      <c r="S736" s="5" t="str">
        <f>IF(AND(D735&gt;3,D736&lt;=3),C735+(3-D735)*(C736-C735)/(D736-D735),"")</f>
        <v/>
      </c>
    </row>
    <row r="737" spans="1:19" ht="20.100000000000001" customHeight="1">
      <c r="A737" t="s">
        <v>3</v>
      </c>
      <c r="B737">
        <v>392</v>
      </c>
      <c r="C737" s="5">
        <f>('Raw Data'!C392-'Raw Data'!$C$244)/60</f>
        <v>12.325266666666721</v>
      </c>
      <c r="D737" s="5">
        <f>'Raw Data'!J392</f>
        <v>3.6480299999999999</v>
      </c>
      <c r="E737" s="5">
        <f>$D$589-D737</f>
        <v>3.61422</v>
      </c>
      <c r="F737" s="8">
        <f>10^(-D737)</f>
        <v>2.2488992520133116E-4</v>
      </c>
      <c r="G737" s="5">
        <f>(D737-D736)/(C737-C736)</f>
        <v>0.11109327983950597</v>
      </c>
      <c r="H737" s="5">
        <f>$C$9+$C$10*EXP(-$C$11*C737)</f>
        <v>3.6068910024648142</v>
      </c>
      <c r="I737" s="5">
        <f>D737-H737</f>
        <v>4.1138997535185684E-2</v>
      </c>
      <c r="J737" s="5">
        <f t="shared" si="18"/>
        <v>1.6924171182000139E-3</v>
      </c>
      <c r="K737" s="5">
        <f>$C$17+$C$16*C737</f>
        <v>3.9081979599581094</v>
      </c>
      <c r="L737" s="5">
        <f>(D737-K737)^2</f>
        <v>6.7687367388764463E-2</v>
      </c>
      <c r="M737" s="5">
        <f>$C$40+$C$41*EXP(-$C$42*C737)</f>
        <v>0</v>
      </c>
      <c r="N737" s="5">
        <f>(D737-M737)^2</f>
        <v>13.308122880899999</v>
      </c>
      <c r="O737" s="5">
        <f>(C737+C736)/2</f>
        <v>12.28372500000005</v>
      </c>
      <c r="P737" s="5" t="str">
        <f>IF(AND(D736&gt;6,D737&lt;=6),C736+(6-D736)*(C737-C736)/(D737-D736),"")</f>
        <v/>
      </c>
      <c r="Q737" s="5" t="str">
        <f>IF(AND(D736&gt;5,D737&lt;=5),C736+(5-D736)*(C737-C736)/(D737-D736),"")</f>
        <v/>
      </c>
      <c r="R737" s="5" t="str">
        <f>IF(AND(D736&gt;4,D737&lt;=4),C736+(4-D736)*(C737-C736)/(D737-D736),"")</f>
        <v/>
      </c>
      <c r="S737" s="5" t="str">
        <f>IF(AND(D736&gt;3,D737&lt;=3),C736+(3-D736)*(C737-C736)/(D737-D736),"")</f>
        <v/>
      </c>
    </row>
    <row r="738" spans="1:19" ht="20.100000000000001" customHeight="1">
      <c r="A738" t="s">
        <v>3</v>
      </c>
      <c r="B738">
        <v>393</v>
      </c>
      <c r="C738" s="5">
        <f>('Raw Data'!C393-'Raw Data'!$C$244)/60</f>
        <v>12.408600000000055</v>
      </c>
      <c r="D738" s="5">
        <f>'Raw Data'!J393</f>
        <v>3.6457199999999998</v>
      </c>
      <c r="E738" s="5">
        <f>$D$589-D738</f>
        <v>3.61653</v>
      </c>
      <c r="F738" s="8">
        <f>10^(-D738)</f>
        <v>2.2608929519848654E-4</v>
      </c>
      <c r="G738" s="5">
        <f>(D738-D737)/(C738-C737)</f>
        <v>-2.7720000000000213E-2</v>
      </c>
      <c r="H738" s="5">
        <f>$C$9+$C$10*EXP(-$C$11*C738)</f>
        <v>3.6034391964340773</v>
      </c>
      <c r="I738" s="5">
        <f>D738-H738</f>
        <v>4.2280803565922565E-2</v>
      </c>
      <c r="J738" s="5">
        <f t="shared" si="18"/>
        <v>1.7876663501801302E-3</v>
      </c>
      <c r="K738" s="5">
        <f>$C$17+$C$16*C738</f>
        <v>3.8957554723075041</v>
      </c>
      <c r="L738" s="5">
        <f>(D738-K738)^2</f>
        <v>6.2517737412036714E-2</v>
      </c>
      <c r="M738" s="5">
        <f>$C$40+$C$41*EXP(-$C$42*C738)</f>
        <v>0</v>
      </c>
      <c r="N738" s="5">
        <f>(D738-M738)^2</f>
        <v>13.291274318399999</v>
      </c>
      <c r="O738" s="5">
        <f>(C738+C737)/2</f>
        <v>12.366933333333389</v>
      </c>
      <c r="P738" s="5" t="str">
        <f>IF(AND(D737&gt;6,D738&lt;=6),C737+(6-D737)*(C738-C737)/(D738-D737),"")</f>
        <v/>
      </c>
      <c r="Q738" s="5" t="str">
        <f>IF(AND(D737&gt;5,D738&lt;=5),C737+(5-D737)*(C738-C737)/(D738-D737),"")</f>
        <v/>
      </c>
      <c r="R738" s="5" t="str">
        <f>IF(AND(D737&gt;4,D738&lt;=4),C737+(4-D737)*(C738-C737)/(D738-D737),"")</f>
        <v/>
      </c>
      <c r="S738" s="5" t="str">
        <f>IF(AND(D737&gt;3,D738&lt;=3),C737+(3-D737)*(C738-C737)/(D738-D737),"")</f>
        <v/>
      </c>
    </row>
    <row r="739" spans="1:19" ht="20.100000000000001" customHeight="1">
      <c r="A739" t="s">
        <v>3</v>
      </c>
      <c r="B739">
        <v>394</v>
      </c>
      <c r="C739" s="5">
        <f>('Raw Data'!C394-'Raw Data'!$C$244)/60</f>
        <v>12.491933333333387</v>
      </c>
      <c r="D739" s="5">
        <f>'Raw Data'!J394</f>
        <v>3.6457199999999998</v>
      </c>
      <c r="E739" s="5">
        <f>$D$589-D739</f>
        <v>3.61653</v>
      </c>
      <c r="F739" s="8">
        <f>10^(-D739)</f>
        <v>2.2608929519848654E-4</v>
      </c>
      <c r="G739" s="5">
        <f>(D739-D738)/(C739-C738)</f>
        <v>0</v>
      </c>
      <c r="H739" s="5">
        <f>$C$9+$C$10*EXP(-$C$11*C739)</f>
        <v>3.6000638862600729</v>
      </c>
      <c r="I739" s="5">
        <f>D739-H739</f>
        <v>4.5656113739926951E-2</v>
      </c>
      <c r="J739" s="5">
        <f t="shared" si="18"/>
        <v>2.0844807218331467E-3</v>
      </c>
      <c r="K739" s="5">
        <f>$C$17+$C$16*C739</f>
        <v>3.8833129846568992</v>
      </c>
      <c r="L739" s="5">
        <f>(D739-K739)^2</f>
        <v>5.6450426358173621E-2</v>
      </c>
      <c r="M739" s="5">
        <f>$C$40+$C$41*EXP(-$C$42*C739)</f>
        <v>0</v>
      </c>
      <c r="N739" s="5">
        <f>(D739-M739)^2</f>
        <v>13.291274318399999</v>
      </c>
      <c r="O739" s="5">
        <f>(C739+C738)/2</f>
        <v>12.450266666666721</v>
      </c>
      <c r="P739" s="5" t="str">
        <f>IF(AND(D738&gt;6,D739&lt;=6),C738+(6-D738)*(C739-C738)/(D739-D738),"")</f>
        <v/>
      </c>
      <c r="Q739" s="5" t="str">
        <f>IF(AND(D738&gt;5,D739&lt;=5),C738+(5-D738)*(C739-C738)/(D739-D738),"")</f>
        <v/>
      </c>
      <c r="R739" s="5" t="str">
        <f>IF(AND(D738&gt;4,D739&lt;=4),C738+(4-D738)*(C739-C738)/(D739-D738),"")</f>
        <v/>
      </c>
      <c r="S739" s="5" t="str">
        <f>IF(AND(D738&gt;3,D739&lt;=3),C738+(3-D738)*(C739-C738)/(D739-D738),"")</f>
        <v/>
      </c>
    </row>
    <row r="740" spans="1:19" ht="20.100000000000001" customHeight="1">
      <c r="A740" t="s">
        <v>3</v>
      </c>
      <c r="B740">
        <v>395</v>
      </c>
      <c r="C740" s="5">
        <f>('Raw Data'!C395-'Raw Data'!$C$244)/60</f>
        <v>12.574999999999999</v>
      </c>
      <c r="D740" s="5">
        <f>'Raw Data'!J395</f>
        <v>3.6422599999999998</v>
      </c>
      <c r="E740" s="5">
        <f>$D$589-D740</f>
        <v>3.61999</v>
      </c>
      <c r="F740" s="8">
        <f>10^(-D740)</f>
        <v>2.2789773033335593E-4</v>
      </c>
      <c r="G740" s="5">
        <f>(D740-D739)/(C740-C739)</f>
        <v>-4.1653290529722546E-2</v>
      </c>
      <c r="H740" s="5">
        <f>$C$9+$C$10*EXP(-$C$11*C740)</f>
        <v>3.5967738208117361</v>
      </c>
      <c r="I740" s="5">
        <f>D740-H740</f>
        <v>4.5486179188263698E-2</v>
      </c>
      <c r="J740" s="5">
        <f t="shared" si="18"/>
        <v>2.0689924971468336E-3</v>
      </c>
      <c r="K740" s="5">
        <f>$C$17+$C$16*C740</f>
        <v>3.8709103129667835</v>
      </c>
      <c r="L740" s="5">
        <f>(D740-K740)^2</f>
        <v>5.2280965619808099E-2</v>
      </c>
      <c r="M740" s="5">
        <f>$C$40+$C$41*EXP(-$C$42*C740)</f>
        <v>0</v>
      </c>
      <c r="N740" s="5">
        <f>(D740-M740)^2</f>
        <v>13.266057907599999</v>
      </c>
      <c r="O740" s="5">
        <f>(C740+C739)/2</f>
        <v>12.533466666666694</v>
      </c>
      <c r="P740" s="5" t="str">
        <f>IF(AND(D739&gt;6,D740&lt;=6),C739+(6-D739)*(C740-C739)/(D740-D739),"")</f>
        <v/>
      </c>
      <c r="Q740" s="5" t="str">
        <f>IF(AND(D739&gt;5,D740&lt;=5),C739+(5-D739)*(C740-C739)/(D740-D739),"")</f>
        <v/>
      </c>
      <c r="R740" s="5" t="str">
        <f>IF(AND(D739&gt;4,D740&lt;=4),C739+(4-D739)*(C740-C739)/(D740-D739),"")</f>
        <v/>
      </c>
      <c r="S740" s="5" t="str">
        <f>IF(AND(D739&gt;3,D740&lt;=3),C739+(3-D739)*(C740-C739)/(D740-D739),"")</f>
        <v/>
      </c>
    </row>
    <row r="741" spans="1:19" ht="20.100000000000001" customHeight="1">
      <c r="A741" t="s">
        <v>3</v>
      </c>
      <c r="B741">
        <v>396</v>
      </c>
      <c r="C741" s="5">
        <f>('Raw Data'!C396-'Raw Data'!$C$244)/60</f>
        <v>12.658600000000055</v>
      </c>
      <c r="D741" s="5">
        <f>'Raw Data'!J396</f>
        <v>3.6341899999999998</v>
      </c>
      <c r="E741" s="5">
        <f>$D$589-D741</f>
        <v>3.6280600000000001</v>
      </c>
      <c r="F741" s="8">
        <f>10^(-D741)</f>
        <v>2.3217208417756612E-4</v>
      </c>
      <c r="G741" s="5">
        <f>(D741-D740)/(C741-C740)</f>
        <v>-9.6531100478404921E-2</v>
      </c>
      <c r="H741" s="5">
        <f>$C$9+$C$10*EXP(-$C$11*C741)</f>
        <v>3.5935360101178104</v>
      </c>
      <c r="I741" s="5">
        <f>D741-H741</f>
        <v>4.0653989882189379E-2</v>
      </c>
      <c r="J741" s="5">
        <f t="shared" si="18"/>
        <v>1.6527468933411563E-3</v>
      </c>
      <c r="K741" s="5">
        <f>$C$17+$C$16*C741</f>
        <v>3.8584280093556882</v>
      </c>
      <c r="L741" s="5">
        <f>(D741-K741)^2</f>
        <v>5.0282684839801792E-2</v>
      </c>
      <c r="M741" s="5">
        <f>$C$40+$C$41*EXP(-$C$42*C741)</f>
        <v>0</v>
      </c>
      <c r="N741" s="5">
        <f>(D741-M741)^2</f>
        <v>13.207336956099999</v>
      </c>
      <c r="O741" s="5">
        <f>(C741+C740)/2</f>
        <v>12.616800000000026</v>
      </c>
      <c r="P741" s="5" t="str">
        <f>IF(AND(D740&gt;6,D741&lt;=6),C740+(6-D740)*(C741-C740)/(D741-D740),"")</f>
        <v/>
      </c>
      <c r="Q741" s="5" t="str">
        <f>IF(AND(D740&gt;5,D741&lt;=5),C740+(5-D740)*(C741-C740)/(D741-D740),"")</f>
        <v/>
      </c>
      <c r="R741" s="5" t="str">
        <f>IF(AND(D740&gt;4,D741&lt;=4),C740+(4-D740)*(C741-C740)/(D741-D740),"")</f>
        <v/>
      </c>
      <c r="S741" s="5" t="str">
        <f>IF(AND(D740&gt;3,D741&lt;=3),C740+(3-D740)*(C741-C740)/(D741-D740),"")</f>
        <v/>
      </c>
    </row>
    <row r="742" spans="1:19" ht="20.100000000000001" customHeight="1">
      <c r="A742" t="s">
        <v>3</v>
      </c>
      <c r="B742">
        <v>397</v>
      </c>
      <c r="C742" s="5">
        <f>('Raw Data'!C397-'Raw Data'!$C$244)/60</f>
        <v>12.741666666666667</v>
      </c>
      <c r="D742" s="5">
        <f>'Raw Data'!J397</f>
        <v>3.6330300000000002</v>
      </c>
      <c r="E742" s="5">
        <f>$D$589-D742</f>
        <v>3.6292199999999997</v>
      </c>
      <c r="F742" s="8">
        <f>10^(-D742)</f>
        <v>2.3279304443726105E-4</v>
      </c>
      <c r="G742" s="5">
        <f>(D742-D741)/(C742-C741)</f>
        <v>-1.3964686998399272E-2</v>
      </c>
      <c r="H742" s="5">
        <f>$C$9+$C$10*EXP(-$C$11*C742)</f>
        <v>3.590390151880952</v>
      </c>
      <c r="I742" s="5">
        <f>D742-H742</f>
        <v>4.2639848119048196E-2</v>
      </c>
      <c r="J742" s="5">
        <f t="shared" si="18"/>
        <v>1.8181566476154979E-3</v>
      </c>
      <c r="K742" s="5">
        <f>$C$17+$C$16*C742</f>
        <v>3.8460253376655729</v>
      </c>
      <c r="L742" s="5">
        <f>(D742-K742)^2</f>
        <v>4.5367013867271315E-2</v>
      </c>
      <c r="M742" s="5">
        <f>$C$40+$C$41*EXP(-$C$42*C742)</f>
        <v>0</v>
      </c>
      <c r="N742" s="5">
        <f>(D742-M742)^2</f>
        <v>13.198906980900002</v>
      </c>
      <c r="O742" s="5">
        <f>(C742+C741)/2</f>
        <v>12.700133333333362</v>
      </c>
      <c r="P742" s="5" t="str">
        <f>IF(AND(D741&gt;6,D742&lt;=6),C741+(6-D741)*(C742-C741)/(D742-D741),"")</f>
        <v/>
      </c>
      <c r="Q742" s="5" t="str">
        <f>IF(AND(D741&gt;5,D742&lt;=5),C741+(5-D741)*(C742-C741)/(D742-D741),"")</f>
        <v/>
      </c>
      <c r="R742" s="5" t="str">
        <f>IF(AND(D741&gt;4,D742&lt;=4),C741+(4-D741)*(C742-C741)/(D742-D741),"")</f>
        <v/>
      </c>
      <c r="S742" s="5" t="str">
        <f>IF(AND(D741&gt;3,D742&lt;=3),C741+(3-D741)*(C742-C741)/(D742-D741),"")</f>
        <v/>
      </c>
    </row>
    <row r="743" spans="1:19" ht="20.100000000000001" customHeight="1">
      <c r="A743" t="s">
        <v>3</v>
      </c>
      <c r="B743">
        <v>398</v>
      </c>
      <c r="C743" s="5">
        <f>('Raw Data'!C398-'Raw Data'!$C$244)/60</f>
        <v>12.824999999999999</v>
      </c>
      <c r="D743" s="5">
        <f>'Raw Data'!J398</f>
        <v>3.6341899999999998</v>
      </c>
      <c r="E743" s="5">
        <f>$D$589-D743</f>
        <v>3.6280600000000001</v>
      </c>
      <c r="F743" s="8">
        <f>10^(-D743)</f>
        <v>2.3217208417756612E-4</v>
      </c>
      <c r="G743" s="5">
        <f>(D743-D742)/(C743-C742)</f>
        <v>1.3919999999995467E-2</v>
      </c>
      <c r="H743" s="5">
        <f>$C$9+$C$10*EXP(-$C$11*C743)</f>
        <v>3.5873040230322419</v>
      </c>
      <c r="I743" s="5">
        <f>D743-H743</f>
        <v>4.688597696775787E-2</v>
      </c>
      <c r="J743" s="5">
        <f t="shared" si="18"/>
        <v>2.1982948362211214E-3</v>
      </c>
      <c r="K743" s="5">
        <f>$C$17+$C$16*C743</f>
        <v>3.833582850014968</v>
      </c>
      <c r="L743" s="5">
        <f>(D743-K743)^2</f>
        <v>3.9757508637091606E-2</v>
      </c>
      <c r="M743" s="5">
        <f>$C$40+$C$41*EXP(-$C$42*C743)</f>
        <v>0</v>
      </c>
      <c r="N743" s="5">
        <f>(D743-M743)^2</f>
        <v>13.207336956099999</v>
      </c>
      <c r="O743" s="5">
        <f>(C743+C742)/2</f>
        <v>12.783333333333333</v>
      </c>
      <c r="P743" s="5" t="str">
        <f>IF(AND(D742&gt;6,D743&lt;=6),C742+(6-D742)*(C743-C742)/(D743-D742),"")</f>
        <v/>
      </c>
      <c r="Q743" s="5" t="str">
        <f>IF(AND(D742&gt;5,D743&lt;=5),C742+(5-D742)*(C743-C742)/(D743-D742),"")</f>
        <v/>
      </c>
      <c r="R743" s="5" t="str">
        <f>IF(AND(D742&gt;4,D743&lt;=4),C742+(4-D742)*(C743-C742)/(D743-D742),"")</f>
        <v/>
      </c>
      <c r="S743" s="5" t="str">
        <f>IF(AND(D742&gt;3,D743&lt;=3),C742+(3-D742)*(C743-C742)/(D743-D742),"")</f>
        <v/>
      </c>
    </row>
    <row r="744" spans="1:19" ht="20.100000000000001" customHeight="1">
      <c r="A744" t="s">
        <v>3</v>
      </c>
      <c r="B744">
        <v>399</v>
      </c>
      <c r="C744" s="5">
        <f>('Raw Data'!C399-'Raw Data'!$C$244)/60</f>
        <v>12.908333333333333</v>
      </c>
      <c r="D744" s="5">
        <f>'Raw Data'!J399</f>
        <v>3.6318800000000002</v>
      </c>
      <c r="E744" s="5">
        <f>$D$589-D744</f>
        <v>3.6303699999999997</v>
      </c>
      <c r="F744" s="8">
        <f>10^(-D744)</f>
        <v>2.3341029096557721E-4</v>
      </c>
      <c r="G744" s="5">
        <f>(D744-D743)/(C744-C743)</f>
        <v>-2.7719999999994884E-2</v>
      </c>
      <c r="H744" s="5">
        <f>$C$9+$C$10*EXP(-$C$11*C744)</f>
        <v>3.5842862862276283</v>
      </c>
      <c r="I744" s="5">
        <f>D744-H744</f>
        <v>4.7593713772371871E-2</v>
      </c>
      <c r="J744" s="5">
        <f t="shared" si="18"/>
        <v>2.26516159064646E-3</v>
      </c>
      <c r="K744" s="5">
        <f>$C$17+$C$16*C744</f>
        <v>3.8211403623643623</v>
      </c>
      <c r="L744" s="5">
        <f>(D744-K744)^2</f>
        <v>3.5819484762289633E-2</v>
      </c>
      <c r="M744" s="5">
        <f>$C$40+$C$41*EXP(-$C$42*C744)</f>
        <v>0</v>
      </c>
      <c r="N744" s="5">
        <f>(D744-M744)^2</f>
        <v>13.190552334400001</v>
      </c>
      <c r="O744" s="5">
        <f>(C744+C743)/2</f>
        <v>12.866666666666667</v>
      </c>
      <c r="P744" s="5" t="str">
        <f>IF(AND(D743&gt;6,D744&lt;=6),C743+(6-D743)*(C744-C743)/(D744-D743),"")</f>
        <v/>
      </c>
      <c r="Q744" s="5" t="str">
        <f>IF(AND(D743&gt;5,D744&lt;=5),C743+(5-D743)*(C744-C743)/(D744-D743),"")</f>
        <v/>
      </c>
      <c r="R744" s="5" t="str">
        <f>IF(AND(D743&gt;4,D744&lt;=4),C743+(4-D743)*(C744-C743)/(D744-D743),"")</f>
        <v/>
      </c>
      <c r="S744" s="5" t="str">
        <f>IF(AND(D743&gt;3,D744&lt;=3),C743+(3-D743)*(C744-C743)/(D744-D743),"")</f>
        <v/>
      </c>
    </row>
    <row r="745" spans="1:19" ht="20.100000000000001" customHeight="1">
      <c r="A745" t="s">
        <v>3</v>
      </c>
      <c r="B745">
        <v>400</v>
      </c>
      <c r="C745" s="5">
        <f>('Raw Data'!C400-'Raw Data'!$C$244)/60</f>
        <v>12.991666666666667</v>
      </c>
      <c r="D745" s="5">
        <f>'Raw Data'!J400</f>
        <v>3.6191900000000001</v>
      </c>
      <c r="E745" s="5">
        <f>$D$589-D745</f>
        <v>3.6430599999999997</v>
      </c>
      <c r="F745" s="8">
        <f>10^(-D745)</f>
        <v>2.4033111425802474E-4</v>
      </c>
      <c r="G745" s="5">
        <f>(D745-D744)/(C745-C744)</f>
        <v>-0.15228</v>
      </c>
      <c r="H745" s="5">
        <f>$C$9+$C$10*EXP(-$C$11*C745)</f>
        <v>3.5813354258234287</v>
      </c>
      <c r="I745" s="5">
        <f>D745-H745</f>
        <v>3.7854574176571454E-2</v>
      </c>
      <c r="J745" s="5">
        <f t="shared" si="18"/>
        <v>1.4329687860895504E-3</v>
      </c>
      <c r="K745" s="5">
        <f>$C$17+$C$16*C745</f>
        <v>3.808697874713757</v>
      </c>
      <c r="L745" s="5">
        <f>(D745-K745)^2</f>
        <v>3.5913234578524966E-2</v>
      </c>
      <c r="M745" s="5">
        <f>$C$40+$C$41*EXP(-$C$42*C745)</f>
        <v>0</v>
      </c>
      <c r="N745" s="5">
        <f>(D745-M745)^2</f>
        <v>13.098536256100001</v>
      </c>
      <c r="O745" s="5">
        <f>(C745+C744)/2</f>
        <v>12.95</v>
      </c>
      <c r="P745" s="5" t="str">
        <f>IF(AND(D744&gt;6,D745&lt;=6),C744+(6-D744)*(C745-C744)/(D745-D744),"")</f>
        <v/>
      </c>
      <c r="Q745" s="5" t="str">
        <f>IF(AND(D744&gt;5,D745&lt;=5),C744+(5-D744)*(C745-C744)/(D745-D744),"")</f>
        <v/>
      </c>
      <c r="R745" s="5" t="str">
        <f>IF(AND(D744&gt;4,D745&lt;=4),C744+(4-D744)*(C745-C744)/(D745-D744),"")</f>
        <v/>
      </c>
      <c r="S745" s="5" t="str">
        <f>IF(AND(D744&gt;3,D745&lt;=3),C744+(3-D744)*(C745-C744)/(D745-D744),"")</f>
        <v/>
      </c>
    </row>
    <row r="746" spans="1:19" ht="20.100000000000001" customHeight="1">
      <c r="A746" t="s">
        <v>3</v>
      </c>
      <c r="B746">
        <v>401</v>
      </c>
      <c r="C746" s="5">
        <f>('Raw Data'!C401-'Raw Data'!$C$244)/60</f>
        <v>13.0747333333334</v>
      </c>
      <c r="D746" s="5">
        <f>'Raw Data'!J401</f>
        <v>3.6226500000000001</v>
      </c>
      <c r="E746" s="5">
        <f>$D$589-D746</f>
        <v>3.6395999999999997</v>
      </c>
      <c r="F746" s="8">
        <f>10^(-D746)</f>
        <v>2.3842401658578913E-4</v>
      </c>
      <c r="G746" s="5">
        <f>(D746-D745)/(C746-C745)</f>
        <v>4.1653290529661977E-2</v>
      </c>
      <c r="H746" s="5">
        <f>$C$9+$C$10*EXP(-$C$11*C746)</f>
        <v>3.5784590905066014</v>
      </c>
      <c r="I746" s="5">
        <f>D746-H746</f>
        <v>4.4190909493398767E-2</v>
      </c>
      <c r="J746" s="5">
        <f t="shared" si="18"/>
        <v>1.9528364818537612E-3</v>
      </c>
      <c r="K746" s="5">
        <f>$C$17+$C$16*C746</f>
        <v>3.7962952030236239</v>
      </c>
      <c r="L746" s="5">
        <f>(D746-K746)^2</f>
        <v>3.0152656533115507E-2</v>
      </c>
      <c r="M746" s="5">
        <f>$C$40+$C$41*EXP(-$C$42*C746)</f>
        <v>0</v>
      </c>
      <c r="N746" s="5">
        <f>(D746-M746)^2</f>
        <v>13.123593022500001</v>
      </c>
      <c r="O746" s="5">
        <f>(C746+C745)/2</f>
        <v>13.033200000000033</v>
      </c>
      <c r="P746" s="5" t="str">
        <f>IF(AND(D745&gt;6,D746&lt;=6),C745+(6-D745)*(C746-C745)/(D746-D745),"")</f>
        <v/>
      </c>
      <c r="Q746" s="5" t="str">
        <f>IF(AND(D745&gt;5,D746&lt;=5),C745+(5-D745)*(C746-C745)/(D746-D745),"")</f>
        <v/>
      </c>
      <c r="R746" s="5" t="str">
        <f>IF(AND(D745&gt;4,D746&lt;=4),C745+(4-D745)*(C746-C745)/(D746-D745),"")</f>
        <v/>
      </c>
      <c r="S746" s="5" t="str">
        <f>IF(AND(D745&gt;3,D746&lt;=3),C745+(3-D745)*(C746-C745)/(D746-D745),"")</f>
        <v/>
      </c>
    </row>
    <row r="747" spans="1:19" ht="20.100000000000001" customHeight="1">
      <c r="A747" t="s">
        <v>3</v>
      </c>
      <c r="B747">
        <v>402</v>
      </c>
      <c r="C747" s="5">
        <f>('Raw Data'!C402-'Raw Data'!$C$244)/60</f>
        <v>13.158066666666734</v>
      </c>
      <c r="D747" s="5">
        <f>'Raw Data'!J402</f>
        <v>3.6261100000000002</v>
      </c>
      <c r="E747" s="5">
        <f>$D$589-D747</f>
        <v>3.6361399999999997</v>
      </c>
      <c r="F747" s="8">
        <f>10^(-D747)</f>
        <v>2.3653205229128018E-4</v>
      </c>
      <c r="G747" s="5">
        <f>(D747-D746)/(C747-C746)</f>
        <v>4.1519999999999925E-2</v>
      </c>
      <c r="H747" s="5">
        <f>$C$9+$C$10*EXP(-$C$11*C747)</f>
        <v>3.5756373672338215</v>
      </c>
      <c r="I747" s="5">
        <f>D747-H747</f>
        <v>5.0472632766178638E-2</v>
      </c>
      <c r="J747" s="5">
        <f t="shared" si="18"/>
        <v>2.5474866583495293E-3</v>
      </c>
      <c r="K747" s="5">
        <f>$C$17+$C$16*C747</f>
        <v>3.7838527153730186</v>
      </c>
      <c r="L747" s="5">
        <f>(D747-K747)^2</f>
        <v>2.4882764253253104E-2</v>
      </c>
      <c r="M747" s="5">
        <f>$C$40+$C$41*EXP(-$C$42*C747)</f>
        <v>0</v>
      </c>
      <c r="N747" s="5">
        <f>(D747-M747)^2</f>
        <v>13.148673732100001</v>
      </c>
      <c r="O747" s="5">
        <f>(C747+C746)/2</f>
        <v>13.116400000000066</v>
      </c>
      <c r="P747" s="5" t="str">
        <f>IF(AND(D746&gt;6,D747&lt;=6),C746+(6-D746)*(C747-C746)/(D747-D746),"")</f>
        <v/>
      </c>
      <c r="Q747" s="5" t="str">
        <f>IF(AND(D746&gt;5,D747&lt;=5),C746+(5-D746)*(C747-C746)/(D747-D746),"")</f>
        <v/>
      </c>
      <c r="R747" s="5" t="str">
        <f>IF(AND(D746&gt;4,D747&lt;=4),C746+(4-D746)*(C747-C746)/(D747-D746),"")</f>
        <v/>
      </c>
      <c r="S747" s="5" t="str">
        <f>IF(AND(D746&gt;3,D747&lt;=3),C746+(3-D746)*(C747-C746)/(D747-D746),"")</f>
        <v/>
      </c>
    </row>
    <row r="748" spans="1:19" ht="20.100000000000001" customHeight="1">
      <c r="A748" t="s">
        <v>3</v>
      </c>
      <c r="B748">
        <v>403</v>
      </c>
      <c r="C748" s="5">
        <f>('Raw Data'!C403-'Raw Data'!$C$244)/60</f>
        <v>13.241400000000066</v>
      </c>
      <c r="D748" s="5">
        <f>'Raw Data'!J403</f>
        <v>3.6249600000000002</v>
      </c>
      <c r="E748" s="5">
        <f>$D$589-D748</f>
        <v>3.6372899999999997</v>
      </c>
      <c r="F748" s="8">
        <f>10^(-D748)</f>
        <v>2.3715921273099704E-4</v>
      </c>
      <c r="G748" s="5">
        <f>(D748-D747)/(C748-C747)</f>
        <v>-1.3800000000000008E-2</v>
      </c>
      <c r="H748" s="5">
        <f>$C$9+$C$10*EXP(-$C$11*C748)</f>
        <v>3.5728781764838105</v>
      </c>
      <c r="I748" s="5">
        <f>D748-H748</f>
        <v>5.2081823516189729E-2</v>
      </c>
      <c r="J748" s="5">
        <f t="shared" si="18"/>
        <v>2.7125163407715333E-3</v>
      </c>
      <c r="K748" s="5">
        <f>$C$17+$C$16*C748</f>
        <v>3.7714102277224137</v>
      </c>
      <c r="L748" s="5">
        <f>(D748-K748)^2</f>
        <v>2.1447669199946791E-2</v>
      </c>
      <c r="M748" s="5">
        <f>$C$40+$C$41*EXP(-$C$42*C748)</f>
        <v>0</v>
      </c>
      <c r="N748" s="5">
        <f>(D748-M748)^2</f>
        <v>13.1403350016</v>
      </c>
      <c r="O748" s="5">
        <f>(C748+C747)/2</f>
        <v>13.1997333333334</v>
      </c>
      <c r="P748" s="5" t="str">
        <f>IF(AND(D747&gt;6,D748&lt;=6),C747+(6-D747)*(C748-C747)/(D748-D747),"")</f>
        <v/>
      </c>
      <c r="Q748" s="5" t="str">
        <f>IF(AND(D747&gt;5,D748&lt;=5),C747+(5-D747)*(C748-C747)/(D748-D747),"")</f>
        <v/>
      </c>
      <c r="R748" s="5" t="str">
        <f>IF(AND(D747&gt;4,D748&lt;=4),C747+(4-D747)*(C748-C747)/(D748-D747),"")</f>
        <v/>
      </c>
      <c r="S748" s="5" t="str">
        <f>IF(AND(D747&gt;3,D748&lt;=3),C747+(3-D747)*(C748-C747)/(D748-D747),"")</f>
        <v/>
      </c>
    </row>
    <row r="749" spans="1:19" ht="20.100000000000001" customHeight="1">
      <c r="A749" t="s">
        <v>3</v>
      </c>
      <c r="B749">
        <v>404</v>
      </c>
      <c r="C749" s="5">
        <f>('Raw Data'!C404-'Raw Data'!$C$244)/60</f>
        <v>13.3247333333334</v>
      </c>
      <c r="D749" s="5">
        <f>'Raw Data'!J404</f>
        <v>3.6053500000000001</v>
      </c>
      <c r="E749" s="5">
        <f>$D$589-D749</f>
        <v>3.6568999999999998</v>
      </c>
      <c r="F749" s="8">
        <f>10^(-D749)</f>
        <v>2.4811327426095032E-4</v>
      </c>
      <c r="G749" s="5">
        <f>(D749-D748)/(C749-C748)</f>
        <v>-0.23531999999999986</v>
      </c>
      <c r="H749" s="5">
        <f>$C$9+$C$10*EXP(-$C$11*C749)</f>
        <v>3.5701801324663887</v>
      </c>
      <c r="I749" s="5">
        <f>D749-H749</f>
        <v>3.5169867533611399E-2</v>
      </c>
      <c r="J749" s="5">
        <f t="shared" si="18"/>
        <v>1.236919582331773E-3</v>
      </c>
      <c r="K749" s="5">
        <f>$C$17+$C$16*C749</f>
        <v>3.7589677400718084</v>
      </c>
      <c r="L749" s="5">
        <f>(D749-K749)^2</f>
        <v>2.3598410064769686E-2</v>
      </c>
      <c r="M749" s="5">
        <f>$C$40+$C$41*EXP(-$C$42*C749)</f>
        <v>0</v>
      </c>
      <c r="N749" s="5">
        <f>(D749-M749)^2</f>
        <v>12.9985486225</v>
      </c>
      <c r="O749" s="5">
        <f>(C749+C748)/2</f>
        <v>13.283066666666734</v>
      </c>
      <c r="P749" s="5" t="str">
        <f>IF(AND(D748&gt;6,D749&lt;=6),C748+(6-D748)*(C749-C748)/(D749-D748),"")</f>
        <v/>
      </c>
      <c r="Q749" s="5" t="str">
        <f>IF(AND(D748&gt;5,D749&lt;=5),C748+(5-D748)*(C749-C748)/(D749-D748),"")</f>
        <v/>
      </c>
      <c r="R749" s="5" t="str">
        <f>IF(AND(D748&gt;4,D749&lt;=4),C748+(4-D748)*(C749-C748)/(D749-D748),"")</f>
        <v/>
      </c>
      <c r="S749" s="5" t="str">
        <f>IF(AND(D748&gt;3,D749&lt;=3),C748+(3-D748)*(C749-C748)/(D749-D748),"")</f>
        <v/>
      </c>
    </row>
    <row r="750" spans="1:19" ht="20.100000000000001" customHeight="1">
      <c r="A750" t="s">
        <v>3</v>
      </c>
      <c r="B750">
        <v>405</v>
      </c>
      <c r="C750" s="5">
        <f>('Raw Data'!C405-'Raw Data'!$C$244)/60</f>
        <v>13.407816666666744</v>
      </c>
      <c r="D750" s="5">
        <f>'Raw Data'!J405</f>
        <v>3.6180400000000001</v>
      </c>
      <c r="E750" s="5">
        <f>$D$589-D750</f>
        <v>3.6442099999999997</v>
      </c>
      <c r="F750" s="8">
        <f>10^(-D750)</f>
        <v>2.4096834784153117E-4</v>
      </c>
      <c r="G750" s="5">
        <f>(D750-D749)/(C750-C749)</f>
        <v>0.15273821464391441</v>
      </c>
      <c r="H750" s="5">
        <f>$C$9+$C$10*EXP(-$C$11*C750)</f>
        <v>3.5675497067671889</v>
      </c>
      <c r="I750" s="5">
        <f>D750-H750</f>
        <v>5.049029323281129E-2</v>
      </c>
      <c r="J750" s="5">
        <f t="shared" si="18"/>
        <v>2.5492697107352695E-3</v>
      </c>
      <c r="K750" s="5">
        <f>$C$17+$C$16*C750</f>
        <v>3.7465625798841531</v>
      </c>
      <c r="L750" s="5">
        <f>(D750-K750)^2</f>
        <v>1.6518053540078476E-2</v>
      </c>
      <c r="M750" s="5">
        <f>$C$40+$C$41*EXP(-$C$42*C750)</f>
        <v>0</v>
      </c>
      <c r="N750" s="5">
        <f>(D750-M750)^2</f>
        <v>13.090213441600001</v>
      </c>
      <c r="O750" s="5">
        <f>(C750+C749)/2</f>
        <v>13.366275000000073</v>
      </c>
      <c r="P750" s="5" t="str">
        <f>IF(AND(D749&gt;6,D750&lt;=6),C749+(6-D749)*(C750-C749)/(D750-D749),"")</f>
        <v/>
      </c>
      <c r="Q750" s="5" t="str">
        <f>IF(AND(D749&gt;5,D750&lt;=5),C749+(5-D749)*(C750-C749)/(D750-D749),"")</f>
        <v/>
      </c>
      <c r="R750" s="5" t="str">
        <f>IF(AND(D749&gt;4,D750&lt;=4),C749+(4-D749)*(C750-C749)/(D750-D749),"")</f>
        <v/>
      </c>
      <c r="S750" s="5" t="str">
        <f>IF(AND(D749&gt;3,D750&lt;=3),C749+(3-D749)*(C750-C749)/(D750-D749),"")</f>
        <v/>
      </c>
    </row>
    <row r="751" spans="1:19" ht="20.100000000000001" customHeight="1">
      <c r="A751" t="s">
        <v>3</v>
      </c>
      <c r="B751">
        <v>406</v>
      </c>
      <c r="C751" s="5">
        <f>('Raw Data'!C406-'Raw Data'!$C$244)/60</f>
        <v>13.491400000000066</v>
      </c>
      <c r="D751" s="5">
        <f>'Raw Data'!J406</f>
        <v>3.6122700000000001</v>
      </c>
      <c r="E751" s="5">
        <f>$D$589-D751</f>
        <v>3.6499799999999998</v>
      </c>
      <c r="F751" s="8">
        <f>10^(-D751)</f>
        <v>2.4419119489723821E-4</v>
      </c>
      <c r="G751" s="5">
        <f>(D751-D750)/(C751-C750)</f>
        <v>-6.9032901296121094E-2</v>
      </c>
      <c r="H751" s="5">
        <f>$C$9+$C$10*EXP(-$C$11*C751)</f>
        <v>3.5649620943412561</v>
      </c>
      <c r="I751" s="5">
        <f>D751-H751</f>
        <v>4.7307905658743987E-2</v>
      </c>
      <c r="J751" s="5">
        <f t="shared" si="18"/>
        <v>2.2380379378166212E-3</v>
      </c>
      <c r="K751" s="5">
        <f>$C$17+$C$16*C751</f>
        <v>3.7340827647705979</v>
      </c>
      <c r="L751" s="5">
        <f>(D751-K751)^2</f>
        <v>1.4838349661056986E-2</v>
      </c>
      <c r="M751" s="5">
        <f>$C$40+$C$41*EXP(-$C$42*C751)</f>
        <v>0</v>
      </c>
      <c r="N751" s="5">
        <f>(D751-M751)^2</f>
        <v>13.048494552900001</v>
      </c>
      <c r="O751" s="5">
        <f>(C751+C750)/2</f>
        <v>13.449608333333405</v>
      </c>
      <c r="P751" s="5" t="str">
        <f>IF(AND(D750&gt;6,D751&lt;=6),C750+(6-D750)*(C751-C750)/(D751-D750),"")</f>
        <v/>
      </c>
      <c r="Q751" s="5" t="str">
        <f>IF(AND(D750&gt;5,D751&lt;=5),C750+(5-D750)*(C751-C750)/(D751-D750),"")</f>
        <v/>
      </c>
      <c r="R751" s="5" t="str">
        <f>IF(AND(D750&gt;4,D751&lt;=4),C750+(4-D750)*(C751-C750)/(D751-D750),"")</f>
        <v/>
      </c>
      <c r="S751" s="5" t="str">
        <f>IF(AND(D750&gt;3,D751&lt;=3),C750+(3-D750)*(C751-C750)/(D751-D750),"")</f>
        <v/>
      </c>
    </row>
    <row r="752" spans="1:19" ht="20.100000000000001" customHeight="1">
      <c r="A752" t="s">
        <v>3</v>
      </c>
      <c r="B752">
        <v>407</v>
      </c>
      <c r="C752" s="5">
        <f>('Raw Data'!C407-'Raw Data'!$C$244)/60</f>
        <v>13.57448333333341</v>
      </c>
      <c r="D752" s="5">
        <f>'Raw Data'!J407</f>
        <v>3.5949599999999999</v>
      </c>
      <c r="E752" s="5">
        <f>$D$589-D752</f>
        <v>3.6672899999999999</v>
      </c>
      <c r="F752" s="8">
        <f>10^(-D752)</f>
        <v>2.5412067485621555E-4</v>
      </c>
      <c r="G752" s="5">
        <f>(D752-D751)/(C752-C751)</f>
        <v>-0.20834503510529265</v>
      </c>
      <c r="H752" s="5">
        <f>$C$9+$C$10*EXP(-$C$11*C752)</f>
        <v>3.5624469631129529</v>
      </c>
      <c r="I752" s="5">
        <f>D752-H752</f>
        <v>3.2513036887046987E-2</v>
      </c>
      <c r="J752" s="5">
        <f t="shared" si="18"/>
        <v>1.0570975676184779E-3</v>
      </c>
      <c r="K752" s="5">
        <f>$C$17+$C$16*C752</f>
        <v>3.7216776045829429</v>
      </c>
      <c r="L752" s="5">
        <f>(D752-K752)^2</f>
        <v>1.6057351311239098E-2</v>
      </c>
      <c r="M752" s="5">
        <f>$C$40+$C$41*EXP(-$C$42*C752)</f>
        <v>0</v>
      </c>
      <c r="N752" s="5">
        <f>(D752-M752)^2</f>
        <v>12.9237374016</v>
      </c>
      <c r="O752" s="5">
        <f>(C752+C751)/2</f>
        <v>13.532941666666737</v>
      </c>
      <c r="P752" s="5" t="str">
        <f>IF(AND(D751&gt;6,D752&lt;=6),C751+(6-D751)*(C752-C751)/(D752-D751),"")</f>
        <v/>
      </c>
      <c r="Q752" s="5" t="str">
        <f>IF(AND(D751&gt;5,D752&lt;=5),C751+(5-D751)*(C752-C751)/(D752-D751),"")</f>
        <v/>
      </c>
      <c r="R752" s="5" t="str">
        <f>IF(AND(D751&gt;4,D752&lt;=4),C751+(4-D751)*(C752-C751)/(D752-D751),"")</f>
        <v/>
      </c>
      <c r="S752" s="5" t="str">
        <f>IF(AND(D751&gt;3,D752&lt;=3),C751+(3-D751)*(C752-C751)/(D752-D751),"")</f>
        <v/>
      </c>
    </row>
    <row r="753" spans="1:19" ht="20.100000000000001" customHeight="1">
      <c r="A753" t="s">
        <v>3</v>
      </c>
      <c r="B753">
        <v>408</v>
      </c>
      <c r="C753" s="5">
        <f>('Raw Data'!C408-'Raw Data'!$C$244)/60</f>
        <v>13.657816666666744</v>
      </c>
      <c r="D753" s="5">
        <f>'Raw Data'!J408</f>
        <v>3.6065</v>
      </c>
      <c r="E753" s="5">
        <f>$D$589-D753</f>
        <v>3.6557499999999998</v>
      </c>
      <c r="F753" s="8">
        <f>10^(-D753)</f>
        <v>2.4745714613338065E-4</v>
      </c>
      <c r="G753" s="5">
        <f>(D753-D752)/(C753-C752)</f>
        <v>0.1384800000000003</v>
      </c>
      <c r="H753" s="5">
        <f>$C$9+$C$10*EXP(-$C$11*C753)</f>
        <v>3.5599800863733142</v>
      </c>
      <c r="I753" s="5">
        <f>D753-H753</f>
        <v>4.6519913626685838E-2</v>
      </c>
      <c r="J753" s="5">
        <f t="shared" si="18"/>
        <v>2.1641023638343105E-3</v>
      </c>
      <c r="K753" s="5">
        <f>$C$17+$C$16*C753</f>
        <v>3.7092351169323372</v>
      </c>
      <c r="L753" s="5">
        <f>(D753-K753)^2</f>
        <v>1.0554504251100992E-2</v>
      </c>
      <c r="M753" s="5">
        <f>$C$40+$C$41*EXP(-$C$42*C753)</f>
        <v>0</v>
      </c>
      <c r="N753" s="5">
        <f>(D753-M753)^2</f>
        <v>13.00684225</v>
      </c>
      <c r="O753" s="5">
        <f>(C753+C752)/2</f>
        <v>13.616150000000076</v>
      </c>
      <c r="P753" s="5" t="str">
        <f>IF(AND(D752&gt;6,D753&lt;=6),C752+(6-D752)*(C753-C752)/(D753-D752),"")</f>
        <v/>
      </c>
      <c r="Q753" s="5" t="str">
        <f>IF(AND(D752&gt;5,D753&lt;=5),C752+(5-D752)*(C753-C752)/(D753-D752),"")</f>
        <v/>
      </c>
      <c r="R753" s="5" t="str">
        <f>IF(AND(D752&gt;4,D753&lt;=4),C752+(4-D752)*(C753-C752)/(D753-D752),"")</f>
        <v/>
      </c>
      <c r="S753" s="5" t="str">
        <f>IF(AND(D752&gt;3,D753&lt;=3),C752+(3-D752)*(C753-C752)/(D753-D752),"")</f>
        <v/>
      </c>
    </row>
    <row r="754" spans="1:19" ht="20.100000000000001" customHeight="1">
      <c r="A754" t="s">
        <v>3</v>
      </c>
      <c r="B754">
        <v>409</v>
      </c>
      <c r="C754" s="5">
        <f>('Raw Data'!C409-'Raw Data'!$C$244)/60</f>
        <v>13.741150000000077</v>
      </c>
      <c r="D754" s="5">
        <f>'Raw Data'!J409</f>
        <v>3.59842</v>
      </c>
      <c r="E754" s="5">
        <f>$D$589-D754</f>
        <v>3.6638299999999999</v>
      </c>
      <c r="F754" s="8">
        <f>10^(-D754)</f>
        <v>2.521041529881198E-4</v>
      </c>
      <c r="G754" s="5">
        <f>(D754-D753)/(C754-C753)</f>
        <v>-9.6960000000000351E-2</v>
      </c>
      <c r="H754" s="5">
        <f>$C$9+$C$10*EXP(-$C$11*C754)</f>
        <v>3.5575678783630216</v>
      </c>
      <c r="I754" s="5">
        <f>D754-H754</f>
        <v>4.0852121636978378E-2</v>
      </c>
      <c r="J754" s="5">
        <f t="shared" si="18"/>
        <v>1.668895842242477E-3</v>
      </c>
      <c r="K754" s="5">
        <f>$C$17+$C$16*C754</f>
        <v>3.6967926292817319</v>
      </c>
      <c r="L754" s="5">
        <f>(D754-K754)^2</f>
        <v>9.6771741918010683E-3</v>
      </c>
      <c r="M754" s="5">
        <f>$C$40+$C$41*EXP(-$C$42*C754)</f>
        <v>0</v>
      </c>
      <c r="N754" s="5">
        <f>(D754-M754)^2</f>
        <v>12.948626496399999</v>
      </c>
      <c r="O754" s="5">
        <f>(C754+C753)/2</f>
        <v>13.699483333333411</v>
      </c>
      <c r="P754" s="5" t="str">
        <f>IF(AND(D753&gt;6,D754&lt;=6),C753+(6-D753)*(C754-C753)/(D754-D753),"")</f>
        <v/>
      </c>
      <c r="Q754" s="5" t="str">
        <f>IF(AND(D753&gt;5,D754&lt;=5),C753+(5-D753)*(C754-C753)/(D754-D753),"")</f>
        <v/>
      </c>
      <c r="R754" s="5" t="str">
        <f>IF(AND(D753&gt;4,D754&lt;=4),C753+(4-D753)*(C754-C753)/(D754-D753),"")</f>
        <v/>
      </c>
      <c r="S754" s="5" t="str">
        <f>IF(AND(D753&gt;3,D754&lt;=3),C753+(3-D753)*(C754-C753)/(D754-D753),"")</f>
        <v/>
      </c>
    </row>
    <row r="755" spans="1:19" ht="20.100000000000001" customHeight="1">
      <c r="A755" t="s">
        <v>3</v>
      </c>
      <c r="B755">
        <v>410</v>
      </c>
      <c r="C755" s="5">
        <f>('Raw Data'!C410-'Raw Data'!$C$244)/60</f>
        <v>13.82448333333341</v>
      </c>
      <c r="D755" s="5">
        <f>'Raw Data'!J410</f>
        <v>3.59727</v>
      </c>
      <c r="E755" s="5">
        <f>$D$589-D755</f>
        <v>3.6649799999999999</v>
      </c>
      <c r="F755" s="8">
        <f>10^(-D755)</f>
        <v>2.5277260256994545E-4</v>
      </c>
      <c r="G755" s="5">
        <f>(D755-D754)/(C755-C754)</f>
        <v>-1.3800000000000008E-2</v>
      </c>
      <c r="H755" s="5">
        <f>$C$9+$C$10*EXP(-$C$11*C755)</f>
        <v>3.5552091275622941</v>
      </c>
      <c r="I755" s="5">
        <f>D755-H755</f>
        <v>4.2060872437705843E-2</v>
      </c>
      <c r="J755" s="5">
        <f t="shared" si="18"/>
        <v>1.769116990220963E-3</v>
      </c>
      <c r="K755" s="5">
        <f>$C$17+$C$16*C755</f>
        <v>3.6843501416311271</v>
      </c>
      <c r="L755" s="5">
        <f>(D755-K755)^2</f>
        <v>7.5829510664971542E-3</v>
      </c>
      <c r="M755" s="5">
        <f>$C$40+$C$41*EXP(-$C$42*C755)</f>
        <v>0</v>
      </c>
      <c r="N755" s="5">
        <f>(D755-M755)^2</f>
        <v>12.9403514529</v>
      </c>
      <c r="O755" s="5">
        <f>(C755+C754)/2</f>
        <v>13.782816666666744</v>
      </c>
      <c r="P755" s="5" t="str">
        <f>IF(AND(D754&gt;6,D755&lt;=6),C754+(6-D754)*(C755-C754)/(D755-D754),"")</f>
        <v/>
      </c>
      <c r="Q755" s="5" t="str">
        <f>IF(AND(D754&gt;5,D755&lt;=5),C754+(5-D754)*(C755-C754)/(D755-D754),"")</f>
        <v/>
      </c>
      <c r="R755" s="5" t="str">
        <f>IF(AND(D754&gt;4,D755&lt;=4),C754+(4-D754)*(C755-C754)/(D755-D754),"")</f>
        <v/>
      </c>
      <c r="S755" s="5" t="str">
        <f>IF(AND(D754&gt;3,D755&lt;=3),C754+(3-D754)*(C755-C754)/(D755-D754),"")</f>
        <v/>
      </c>
    </row>
    <row r="756" spans="1:19" ht="20.100000000000001" customHeight="1">
      <c r="A756" t="s">
        <v>3</v>
      </c>
      <c r="B756">
        <v>411</v>
      </c>
      <c r="C756" s="5">
        <f>('Raw Data'!C411-'Raw Data'!$C$244)/60</f>
        <v>13.907550000000022</v>
      </c>
      <c r="D756" s="5">
        <f>'Raw Data'!J411</f>
        <v>3.5938099999999999</v>
      </c>
      <c r="E756" s="5">
        <f>$D$589-D756</f>
        <v>3.6684399999999999</v>
      </c>
      <c r="F756" s="8">
        <f>10^(-D756)</f>
        <v>2.5479447120914156E-4</v>
      </c>
      <c r="G756" s="5">
        <f>(D756-D755)/(C756-C755)</f>
        <v>-4.1653290529722546E-2</v>
      </c>
      <c r="H756" s="5">
        <f>$C$9+$C$10*EXP(-$C$11*C756)</f>
        <v>3.5529099478986068</v>
      </c>
      <c r="I756" s="5">
        <f>D756-H756</f>
        <v>4.0900052101393136E-2</v>
      </c>
      <c r="J756" s="5">
        <f t="shared" si="18"/>
        <v>1.6728142618966731E-3</v>
      </c>
      <c r="K756" s="5">
        <f>$C$17+$C$16*C756</f>
        <v>3.6719474699410117</v>
      </c>
      <c r="L756" s="5">
        <f>(D756-K756)^2</f>
        <v>6.1054642087825196E-3</v>
      </c>
      <c r="M756" s="5">
        <f>$C$40+$C$41*EXP(-$C$42*C756)</f>
        <v>0</v>
      </c>
      <c r="N756" s="5">
        <f>(D756-M756)^2</f>
        <v>12.9154703161</v>
      </c>
      <c r="O756" s="5">
        <f>(C756+C755)/2</f>
        <v>13.866016666666717</v>
      </c>
      <c r="P756" s="5" t="str">
        <f>IF(AND(D755&gt;6,D756&lt;=6),C755+(6-D755)*(C756-C755)/(D756-D755),"")</f>
        <v/>
      </c>
      <c r="Q756" s="5" t="str">
        <f>IF(AND(D755&gt;5,D756&lt;=5),C755+(5-D755)*(C756-C755)/(D756-D755),"")</f>
        <v/>
      </c>
      <c r="R756" s="5" t="str">
        <f>IF(AND(D755&gt;4,D756&lt;=4),C755+(4-D755)*(C756-C755)/(D756-D755),"")</f>
        <v/>
      </c>
      <c r="S756" s="5" t="str">
        <f>IF(AND(D755&gt;3,D756&lt;=3),C755+(3-D755)*(C756-C755)/(D756-D755),"")</f>
        <v/>
      </c>
    </row>
    <row r="757" spans="1:19" ht="20.100000000000001" customHeight="1">
      <c r="A757" t="s">
        <v>3</v>
      </c>
      <c r="B757">
        <v>412</v>
      </c>
      <c r="C757" s="5">
        <f>('Raw Data'!C412-'Raw Data'!$C$244)/60</f>
        <v>13.991150000000077</v>
      </c>
      <c r="D757" s="5">
        <f>'Raw Data'!J412</f>
        <v>3.59842</v>
      </c>
      <c r="E757" s="5">
        <f>$D$589-D757</f>
        <v>3.6638299999999999</v>
      </c>
      <c r="F757" s="8">
        <f>10^(-D757)</f>
        <v>2.521041529881198E-4</v>
      </c>
      <c r="G757" s="5">
        <f>(D757-D756)/(C757-C756)</f>
        <v>5.5143540669819802E-2</v>
      </c>
      <c r="H757" s="5">
        <f>$C$9+$C$10*EXP(-$C$11*C757)</f>
        <v>3.5506472851585364</v>
      </c>
      <c r="I757" s="5">
        <f>D757-H757</f>
        <v>4.7772714841463504E-2</v>
      </c>
      <c r="J757" s="5">
        <f t="shared" si="18"/>
        <v>2.2822322833237875E-3</v>
      </c>
      <c r="K757" s="5">
        <f>$C$17+$C$16*C757</f>
        <v>3.659465166329916</v>
      </c>
      <c r="L757" s="5">
        <f>(D757-K757)^2</f>
        <v>3.7265123322471195E-3</v>
      </c>
      <c r="M757" s="5">
        <f>$C$40+$C$41*EXP(-$C$42*C757)</f>
        <v>0</v>
      </c>
      <c r="N757" s="5">
        <f>(D757-M757)^2</f>
        <v>12.948626496399999</v>
      </c>
      <c r="O757" s="5">
        <f>(C757+C756)/2</f>
        <v>13.949350000000049</v>
      </c>
      <c r="P757" s="5" t="str">
        <f>IF(AND(D756&gt;6,D757&lt;=6),C756+(6-D756)*(C757-C756)/(D757-D756),"")</f>
        <v/>
      </c>
      <c r="Q757" s="5" t="str">
        <f>IF(AND(D756&gt;5,D757&lt;=5),C756+(5-D756)*(C757-C756)/(D757-D756),"")</f>
        <v/>
      </c>
      <c r="R757" s="5" t="str">
        <f>IF(AND(D756&gt;4,D757&lt;=4),C756+(4-D756)*(C757-C756)/(D757-D756),"")</f>
        <v/>
      </c>
      <c r="S757" s="5" t="str">
        <f>IF(AND(D756&gt;3,D757&lt;=3),C756+(3-D756)*(C757-C756)/(D757-D756),"")</f>
        <v/>
      </c>
    </row>
    <row r="758" spans="1:19" ht="20.100000000000001" customHeight="1">
      <c r="A758" t="s">
        <v>3</v>
      </c>
      <c r="B758">
        <v>413</v>
      </c>
      <c r="C758" s="5">
        <f>('Raw Data'!C413-'Raw Data'!$C$244)/60</f>
        <v>14.07421666666669</v>
      </c>
      <c r="D758" s="5">
        <f>'Raw Data'!J413</f>
        <v>3.5938099999999999</v>
      </c>
      <c r="E758" s="5">
        <f>$D$589-D758</f>
        <v>3.6684399999999999</v>
      </c>
      <c r="F758" s="8">
        <f>10^(-D758)</f>
        <v>2.5479447120914156E-4</v>
      </c>
      <c r="G758" s="5">
        <f>(D758-D757)/(C758-C757)</f>
        <v>-5.5497592295381516E-2</v>
      </c>
      <c r="H758" s="5">
        <f>$C$9+$C$10*EXP(-$C$11*C758)</f>
        <v>3.5484488810852417</v>
      </c>
      <c r="I758" s="5">
        <f>D758-H758</f>
        <v>4.5361118914758247E-2</v>
      </c>
      <c r="J758" s="5">
        <f t="shared" si="18"/>
        <v>2.0576311091988382E-3</v>
      </c>
      <c r="K758" s="5">
        <f>$C$17+$C$16*C758</f>
        <v>3.6470624946398011</v>
      </c>
      <c r="L758" s="5">
        <f>(D758-K758)^2</f>
        <v>2.835828185362055E-3</v>
      </c>
      <c r="M758" s="5">
        <f>$C$40+$C$41*EXP(-$C$42*C758)</f>
        <v>0</v>
      </c>
      <c r="N758" s="5">
        <f>(D758-M758)^2</f>
        <v>12.9154703161</v>
      </c>
      <c r="O758" s="5">
        <f>(C758+C757)/2</f>
        <v>14.032683333333384</v>
      </c>
      <c r="P758" s="5" t="str">
        <f>IF(AND(D757&gt;6,D758&lt;=6),C757+(6-D757)*(C758-C757)/(D758-D757),"")</f>
        <v/>
      </c>
      <c r="Q758" s="5" t="str">
        <f>IF(AND(D757&gt;5,D758&lt;=5),C757+(5-D757)*(C758-C757)/(D758-D757),"")</f>
        <v/>
      </c>
      <c r="R758" s="5" t="str">
        <f>IF(AND(D757&gt;4,D758&lt;=4),C757+(4-D757)*(C758-C757)/(D758-D757),"")</f>
        <v/>
      </c>
      <c r="S758" s="5" t="str">
        <f>IF(AND(D757&gt;3,D758&lt;=3),C757+(3-D757)*(C758-C757)/(D758-D757),"")</f>
        <v/>
      </c>
    </row>
    <row r="759" spans="1:19" ht="20.100000000000001" customHeight="1">
      <c r="A759" t="s">
        <v>3</v>
      </c>
      <c r="B759">
        <v>414</v>
      </c>
      <c r="C759" s="5">
        <f>('Raw Data'!C414-'Raw Data'!$C$244)/60</f>
        <v>14.157283333333423</v>
      </c>
      <c r="D759" s="5">
        <f>'Raw Data'!J414</f>
        <v>3.5949599999999999</v>
      </c>
      <c r="E759" s="5">
        <f>$D$589-D759</f>
        <v>3.6672899999999999</v>
      </c>
      <c r="F759" s="8">
        <f>10^(-D759)</f>
        <v>2.5412067485621555E-4</v>
      </c>
      <c r="G759" s="5">
        <f>(D759-D758)/(C759-C758)</f>
        <v>1.3844301765638835E-2</v>
      </c>
      <c r="H759" s="5">
        <f>$C$9+$C$10*EXP(-$C$11*C759)</f>
        <v>3.5462990419225213</v>
      </c>
      <c r="I759" s="5">
        <f>D759-H759</f>
        <v>4.8660958077478611E-2</v>
      </c>
      <c r="J759" s="5">
        <f t="shared" si="18"/>
        <v>2.3678888410181309E-3</v>
      </c>
      <c r="K759" s="5">
        <f>$C$17+$C$16*C759</f>
        <v>3.6346598229496676</v>
      </c>
      <c r="L759" s="5">
        <f>(D759-K759)^2</f>
        <v>1.5760759422349601E-3</v>
      </c>
      <c r="M759" s="5">
        <f>$C$40+$C$41*EXP(-$C$42*C759)</f>
        <v>0</v>
      </c>
      <c r="N759" s="5">
        <f>(D759-M759)^2</f>
        <v>12.9237374016</v>
      </c>
      <c r="O759" s="5">
        <f>(C759+C758)/2</f>
        <v>14.115750000000055</v>
      </c>
      <c r="P759" s="5" t="str">
        <f>IF(AND(D758&gt;6,D759&lt;=6),C758+(6-D758)*(C759-C758)/(D759-D758),"")</f>
        <v/>
      </c>
      <c r="Q759" s="5" t="str">
        <f>IF(AND(D758&gt;5,D759&lt;=5),C758+(5-D758)*(C759-C758)/(D759-D758),"")</f>
        <v/>
      </c>
      <c r="R759" s="5" t="str">
        <f>IF(AND(D758&gt;4,D759&lt;=4),C758+(4-D758)*(C759-C758)/(D759-D758),"")</f>
        <v/>
      </c>
      <c r="S759" s="5" t="str">
        <f>IF(AND(D758&gt;3,D759&lt;=3),C758+(3-D758)*(C759-C758)/(D759-D758),"")</f>
        <v/>
      </c>
    </row>
    <row r="760" spans="1:19" ht="20.100000000000001" customHeight="1">
      <c r="A760" t="s">
        <v>3</v>
      </c>
      <c r="B760">
        <v>415</v>
      </c>
      <c r="C760" s="5">
        <f>('Raw Data'!C415-'Raw Data'!$C$244)/60</f>
        <v>14.240883333333356</v>
      </c>
      <c r="D760" s="5">
        <f>'Raw Data'!J415</f>
        <v>3.5903499999999999</v>
      </c>
      <c r="E760" s="5">
        <f>$D$589-D760</f>
        <v>3.6718999999999999</v>
      </c>
      <c r="F760" s="8">
        <f>10^(-D760)</f>
        <v>2.5683251230038633E-4</v>
      </c>
      <c r="G760" s="5">
        <f>(D760-D759)/(C760-C759)</f>
        <v>-5.5143540669900647E-2</v>
      </c>
      <c r="H760" s="5">
        <f>$C$9+$C$10*EXP(-$C$11*C760)</f>
        <v>3.5441833477697577</v>
      </c>
      <c r="I760" s="5">
        <f>D760-H760</f>
        <v>4.6166652230242189E-2</v>
      </c>
      <c r="J760" s="5">
        <f t="shared" si="18"/>
        <v>2.131359778148126E-3</v>
      </c>
      <c r="K760" s="5">
        <f>$C$17+$C$16*C760</f>
        <v>3.6221775193385906</v>
      </c>
      <c r="L760" s="5">
        <f>(D760-K760)^2</f>
        <v>1.0129909872483604E-3</v>
      </c>
      <c r="M760" s="5">
        <f>$C$40+$C$41*EXP(-$C$42*C760)</f>
        <v>0</v>
      </c>
      <c r="N760" s="5">
        <f>(D760-M760)^2</f>
        <v>12.8906131225</v>
      </c>
      <c r="O760" s="5">
        <f>(C760+C759)/2</f>
        <v>14.199083333333389</v>
      </c>
      <c r="P760" s="5" t="str">
        <f>IF(AND(D759&gt;6,D760&lt;=6),C759+(6-D759)*(C760-C759)/(D760-D759),"")</f>
        <v/>
      </c>
      <c r="Q760" s="5" t="str">
        <f>IF(AND(D759&gt;5,D760&lt;=5),C759+(5-D759)*(C760-C759)/(D760-D759),"")</f>
        <v/>
      </c>
      <c r="R760" s="5" t="str">
        <f>IF(AND(D759&gt;4,D760&lt;=4),C759+(4-D759)*(C760-C759)/(D760-D759),"")</f>
        <v/>
      </c>
      <c r="S760" s="5" t="str">
        <f>IF(AND(D759&gt;3,D760&lt;=3),C759+(3-D759)*(C760-C759)/(D760-D759),"")</f>
        <v/>
      </c>
    </row>
    <row r="761" spans="1:19" ht="20.100000000000001" customHeight="1">
      <c r="A761" t="s">
        <v>3</v>
      </c>
      <c r="B761">
        <v>416</v>
      </c>
      <c r="C761" s="5">
        <f>('Raw Data'!C416-'Raw Data'!$C$244)/60</f>
        <v>14.323950000000089</v>
      </c>
      <c r="D761" s="5">
        <f>'Raw Data'!J416</f>
        <v>3.5914999999999999</v>
      </c>
      <c r="E761" s="5">
        <f>$D$589-D761</f>
        <v>3.67075</v>
      </c>
      <c r="F761" s="8">
        <f>10^(-D761)</f>
        <v>2.5615332640879459E-4</v>
      </c>
      <c r="G761" s="5">
        <f>(D761-D760)/(C761-C760)</f>
        <v>1.3844301765638835E-2</v>
      </c>
      <c r="H761" s="5">
        <f>$C$9+$C$10*EXP(-$C$11*C761)</f>
        <v>3.5421277384379177</v>
      </c>
      <c r="I761" s="5">
        <f>D761-H761</f>
        <v>4.9372261562082187E-2</v>
      </c>
      <c r="J761" s="5">
        <f t="shared" si="18"/>
        <v>2.4376202117546582E-3</v>
      </c>
      <c r="K761" s="5">
        <f>$C$17+$C$16*C761</f>
        <v>3.6097748476484575</v>
      </c>
      <c r="L761" s="5">
        <f>(D761-K761)^2</f>
        <v>3.3397005657433441E-4</v>
      </c>
      <c r="M761" s="5">
        <f>$C$40+$C$41*EXP(-$C$42*C761)</f>
        <v>0</v>
      </c>
      <c r="N761" s="5">
        <f>(D761-M761)^2</f>
        <v>12.89887225</v>
      </c>
      <c r="O761" s="5">
        <f>(C761+C760)/2</f>
        <v>14.282416666666723</v>
      </c>
      <c r="P761" s="5" t="str">
        <f>IF(AND(D760&gt;6,D761&lt;=6),C760+(6-D760)*(C761-C760)/(D761-D760),"")</f>
        <v/>
      </c>
      <c r="Q761" s="5" t="str">
        <f>IF(AND(D760&gt;5,D761&lt;=5),C760+(5-D760)*(C761-C760)/(D761-D760),"")</f>
        <v/>
      </c>
      <c r="R761" s="5" t="str">
        <f>IF(AND(D760&gt;4,D761&lt;=4),C760+(4-D760)*(C761-C760)/(D761-D760),"")</f>
        <v/>
      </c>
      <c r="S761" s="5" t="str">
        <f>IF(AND(D760&gt;3,D761&lt;=3),C760+(3-D760)*(C761-C760)/(D761-D760),"")</f>
        <v/>
      </c>
    </row>
    <row r="762" spans="1:19" ht="20.100000000000001" customHeight="1">
      <c r="A762" t="s">
        <v>3</v>
      </c>
      <c r="B762">
        <v>417</v>
      </c>
      <c r="C762" s="5">
        <f>('Raw Data'!C417-'Raw Data'!$C$244)/60</f>
        <v>14.407283333333423</v>
      </c>
      <c r="D762" s="5">
        <f>'Raw Data'!J417</f>
        <v>3.5903499999999999</v>
      </c>
      <c r="E762" s="5">
        <f>$D$589-D762</f>
        <v>3.6718999999999999</v>
      </c>
      <c r="F762" s="8">
        <f>10^(-D762)</f>
        <v>2.5683251230038633E-4</v>
      </c>
      <c r="G762" s="5">
        <f>(D762-D761)/(C762-C761)</f>
        <v>-1.3799999999999714E-2</v>
      </c>
      <c r="H762" s="5">
        <f>$C$9+$C$10*EXP(-$C$11*C762)</f>
        <v>3.5401111582925284</v>
      </c>
      <c r="I762" s="5">
        <f>D762-H762</f>
        <v>5.0238841707471504E-2</v>
      </c>
      <c r="J762" s="5">
        <f t="shared" si="18"/>
        <v>2.5239412161083782E-3</v>
      </c>
      <c r="K762" s="5">
        <f>$C$17+$C$16*C762</f>
        <v>3.5973323599978517</v>
      </c>
      <c r="L762" s="5">
        <f>(D762-K762)^2</f>
        <v>4.8753351139600915E-5</v>
      </c>
      <c r="M762" s="5">
        <f>$C$40+$C$41*EXP(-$C$42*C762)</f>
        <v>0</v>
      </c>
      <c r="N762" s="5">
        <f>(D762-M762)^2</f>
        <v>12.8906131225</v>
      </c>
      <c r="O762" s="5">
        <f>(C762+C761)/2</f>
        <v>14.365616666666757</v>
      </c>
      <c r="P762" s="5" t="str">
        <f>IF(AND(D761&gt;6,D762&lt;=6),C761+(6-D761)*(C762-C761)/(D762-D761),"")</f>
        <v/>
      </c>
      <c r="Q762" s="5" t="str">
        <f>IF(AND(D761&gt;5,D762&lt;=5),C761+(5-D761)*(C762-C761)/(D762-D761),"")</f>
        <v/>
      </c>
      <c r="R762" s="5" t="str">
        <f>IF(AND(D761&gt;4,D762&lt;=4),C761+(4-D761)*(C762-C761)/(D762-D761),"")</f>
        <v/>
      </c>
      <c r="S762" s="5" t="str">
        <f>IF(AND(D761&gt;3,D762&lt;=3),C761+(3-D761)*(C762-C761)/(D762-D761),"")</f>
        <v/>
      </c>
    </row>
    <row r="763" spans="1:19" ht="20.100000000000001" customHeight="1">
      <c r="A763" t="s">
        <v>3</v>
      </c>
      <c r="B763">
        <v>418</v>
      </c>
      <c r="C763" s="5">
        <f>('Raw Data'!C418-'Raw Data'!$C$244)/60</f>
        <v>14.490616666666757</v>
      </c>
      <c r="D763" s="5">
        <f>'Raw Data'!J418</f>
        <v>3.5765099999999999</v>
      </c>
      <c r="E763" s="5">
        <f>$D$589-D763</f>
        <v>3.68574</v>
      </c>
      <c r="F763" s="8">
        <f>10^(-D763)</f>
        <v>2.6514900394919167E-4</v>
      </c>
      <c r="G763" s="5">
        <f>(D763-D762)/(C763-C762)</f>
        <v>-0.1660799999999997</v>
      </c>
      <c r="H763" s="5">
        <f>$C$9+$C$10*EXP(-$C$11*C763)</f>
        <v>3.5381392678036598</v>
      </c>
      <c r="I763" s="5">
        <f>D763-H763</f>
        <v>3.8370732196340018E-2</v>
      </c>
      <c r="J763" s="5">
        <f t="shared" si="18"/>
        <v>1.4723130892832445E-3</v>
      </c>
      <c r="K763" s="5">
        <f>$C$17+$C$16*C763</f>
        <v>3.5848898723472464</v>
      </c>
      <c r="L763" s="5">
        <f>(D763-K763)^2</f>
        <v>7.0222260556147831E-5</v>
      </c>
      <c r="M763" s="5">
        <f>$C$40+$C$41*EXP(-$C$42*C763)</f>
        <v>0</v>
      </c>
      <c r="N763" s="5">
        <f>(D763-M763)^2</f>
        <v>12.791423780099999</v>
      </c>
      <c r="O763" s="5">
        <f>(C763+C762)/2</f>
        <v>14.448950000000089</v>
      </c>
      <c r="P763" s="5" t="str">
        <f>IF(AND(D762&gt;6,D763&lt;=6),C762+(6-D762)*(C763-C762)/(D763-D762),"")</f>
        <v/>
      </c>
      <c r="Q763" s="5" t="str">
        <f>IF(AND(D762&gt;5,D763&lt;=5),C762+(5-D762)*(C763-C762)/(D763-D762),"")</f>
        <v/>
      </c>
      <c r="R763" s="5" t="str">
        <f>IF(AND(D762&gt;4,D763&lt;=4),C762+(4-D762)*(C763-C762)/(D763-D762),"")</f>
        <v/>
      </c>
      <c r="S763" s="5" t="str">
        <f>IF(AND(D762&gt;3,D763&lt;=3),C762+(3-D762)*(C763-C762)/(D763-D762),"")</f>
        <v/>
      </c>
    </row>
    <row r="764" spans="1:19" ht="20.100000000000001" customHeight="1">
      <c r="A764" t="s">
        <v>3</v>
      </c>
      <c r="B764">
        <v>419</v>
      </c>
      <c r="C764" s="5">
        <f>('Raw Data'!C419-'Raw Data'!$C$244)/60</f>
        <v>14.573950000000089</v>
      </c>
      <c r="D764" s="5">
        <f>'Raw Data'!J419</f>
        <v>3.5765099999999999</v>
      </c>
      <c r="E764" s="5">
        <f>$D$589-D764</f>
        <v>3.68574</v>
      </c>
      <c r="F764" s="8">
        <f>10^(-D764)</f>
        <v>2.6514900394919167E-4</v>
      </c>
      <c r="G764" s="5">
        <f>(D764-D763)/(C764-C763)</f>
        <v>0</v>
      </c>
      <c r="H764" s="5">
        <f>$C$9+$C$10*EXP(-$C$11*C764)</f>
        <v>3.5362110765988715</v>
      </c>
      <c r="I764" s="5">
        <f>D764-H764</f>
        <v>4.0298923401128395E-2</v>
      </c>
      <c r="J764" s="5">
        <f t="shared" si="18"/>
        <v>1.6240032272900138E-3</v>
      </c>
      <c r="K764" s="5">
        <f>$C$17+$C$16*C764</f>
        <v>3.5724473846966416</v>
      </c>
      <c r="L764" s="5">
        <f>(D764-K764)^2</f>
        <v>1.6504843103080846E-5</v>
      </c>
      <c r="M764" s="5">
        <f>$C$40+$C$41*EXP(-$C$42*C764)</f>
        <v>0</v>
      </c>
      <c r="N764" s="5">
        <f>(D764-M764)^2</f>
        <v>12.791423780099999</v>
      </c>
      <c r="O764" s="5">
        <f>(C764+C763)/2</f>
        <v>14.532283333333423</v>
      </c>
      <c r="P764" s="5" t="str">
        <f>IF(AND(D763&gt;6,D764&lt;=6),C763+(6-D763)*(C764-C763)/(D764-D763),"")</f>
        <v/>
      </c>
      <c r="Q764" s="5" t="str">
        <f>IF(AND(D763&gt;5,D764&lt;=5),C763+(5-D763)*(C764-C763)/(D764-D763),"")</f>
        <v/>
      </c>
      <c r="R764" s="5" t="str">
        <f>IF(AND(D763&gt;4,D764&lt;=4),C763+(4-D763)*(C764-C763)/(D764-D763),"")</f>
        <v/>
      </c>
      <c r="S764" s="5" t="str">
        <f>IF(AND(D763&gt;3,D764&lt;=3),C763+(3-D763)*(C764-C763)/(D764-D763),"")</f>
        <v/>
      </c>
    </row>
    <row r="765" spans="1:19" ht="20.100000000000001" customHeight="1">
      <c r="A765" t="s">
        <v>3</v>
      </c>
      <c r="B765">
        <v>420</v>
      </c>
      <c r="C765" s="5">
        <f>('Raw Data'!C420-'Raw Data'!$C$244)/60</f>
        <v>14.657033333333432</v>
      </c>
      <c r="D765" s="5">
        <f>'Raw Data'!J420</f>
        <v>3.5684300000000002</v>
      </c>
      <c r="E765" s="5">
        <f>$D$589-D765</f>
        <v>3.6938199999999997</v>
      </c>
      <c r="F765" s="8">
        <f>10^(-D765)</f>
        <v>2.7012824685299092E-4</v>
      </c>
      <c r="G765" s="5">
        <f>(D765-D764)/(C765-C764)</f>
        <v>-9.7251755265781323E-2</v>
      </c>
      <c r="H765" s="5">
        <f>$C$9+$C$10*EXP(-$C$11*C765)</f>
        <v>3.5343312096785047</v>
      </c>
      <c r="I765" s="5">
        <f>D765-H765</f>
        <v>3.4098790321495542E-2</v>
      </c>
      <c r="J765" s="5">
        <f t="shared" si="18"/>
        <v>1.162727501389318E-3</v>
      </c>
      <c r="K765" s="5">
        <f>$C$17+$C$16*C765</f>
        <v>3.5600422245089867</v>
      </c>
      <c r="L765" s="5">
        <f>(D765-K765)^2</f>
        <v>7.0354777687647594E-5</v>
      </c>
      <c r="M765" s="5">
        <f>$C$40+$C$41*EXP(-$C$42*C765)</f>
        <v>0</v>
      </c>
      <c r="N765" s="5">
        <f>(D765-M765)^2</f>
        <v>12.733692664900001</v>
      </c>
      <c r="O765" s="5">
        <f>(C765+C764)/2</f>
        <v>14.61549166666676</v>
      </c>
      <c r="P765" s="5" t="str">
        <f>IF(AND(D764&gt;6,D765&lt;=6),C764+(6-D764)*(C765-C764)/(D765-D764),"")</f>
        <v/>
      </c>
      <c r="Q765" s="5" t="str">
        <f>IF(AND(D764&gt;5,D765&lt;=5),C764+(5-D764)*(C765-C764)/(D765-D764),"")</f>
        <v/>
      </c>
      <c r="R765" s="5" t="str">
        <f>IF(AND(D764&gt;4,D765&lt;=4),C764+(4-D764)*(C765-C764)/(D765-D764),"")</f>
        <v/>
      </c>
      <c r="S765" s="5" t="str">
        <f>IF(AND(D764&gt;3,D765&lt;=3),C764+(3-D764)*(C765-C764)/(D765-D764),"")</f>
        <v/>
      </c>
    </row>
    <row r="766" spans="1:19" ht="20.100000000000001" customHeight="1">
      <c r="A766" t="s">
        <v>3</v>
      </c>
      <c r="B766">
        <v>421</v>
      </c>
      <c r="C766" s="5">
        <f>('Raw Data'!C421-'Raw Data'!$C$244)/60</f>
        <v>14.740616666666757</v>
      </c>
      <c r="D766" s="5">
        <f>'Raw Data'!J421</f>
        <v>3.5765099999999999</v>
      </c>
      <c r="E766" s="5">
        <f>$D$589-D766</f>
        <v>3.68574</v>
      </c>
      <c r="F766" s="8">
        <f>10^(-D766)</f>
        <v>2.6514900394919167E-4</v>
      </c>
      <c r="G766" s="5">
        <f>(D766-D765)/(C766-C765)</f>
        <v>9.6669990029916261E-2</v>
      </c>
      <c r="H766" s="5">
        <f>$C$9+$C$10*EXP(-$C$11*C766)</f>
        <v>3.5324819398041569</v>
      </c>
      <c r="I766" s="5">
        <f>D766-H766</f>
        <v>4.4028060195842933E-2</v>
      </c>
      <c r="J766" s="5">
        <f t="shared" si="18"/>
        <v>1.9384700846087689E-3</v>
      </c>
      <c r="K766" s="5">
        <f>$C$17+$C$16*C766</f>
        <v>3.5475624093954305</v>
      </c>
      <c r="L766" s="5">
        <f>(D766-K766)^2</f>
        <v>8.3796300180974924E-4</v>
      </c>
      <c r="M766" s="5">
        <f>$C$40+$C$41*EXP(-$C$42*C766)</f>
        <v>0</v>
      </c>
      <c r="N766" s="5">
        <f>(D766-M766)^2</f>
        <v>12.791423780099999</v>
      </c>
      <c r="O766" s="5">
        <f>(C766+C765)/2</f>
        <v>14.698825000000095</v>
      </c>
      <c r="P766" s="5" t="str">
        <f>IF(AND(D765&gt;6,D766&lt;=6),C765+(6-D765)*(C766-C765)/(D766-D765),"")</f>
        <v/>
      </c>
      <c r="Q766" s="5" t="str">
        <f>IF(AND(D765&gt;5,D766&lt;=5),C765+(5-D765)*(C766-C765)/(D766-D765),"")</f>
        <v/>
      </c>
      <c r="R766" s="5" t="str">
        <f>IF(AND(D765&gt;4,D766&lt;=4),C765+(4-D765)*(C766-C765)/(D766-D765),"")</f>
        <v/>
      </c>
      <c r="S766" s="5" t="str">
        <f>IF(AND(D765&gt;3,D766&lt;=3),C765+(3-D765)*(C766-C765)/(D766-D765),"")</f>
        <v/>
      </c>
    </row>
    <row r="767" spans="1:19" ht="20.100000000000001" customHeight="1">
      <c r="A767" t="s">
        <v>3</v>
      </c>
      <c r="B767">
        <v>422</v>
      </c>
      <c r="C767" s="5">
        <f>('Raw Data'!C422-'Raw Data'!$C$244)/60</f>
        <v>14.823700000000098</v>
      </c>
      <c r="D767" s="5">
        <f>'Raw Data'!J422</f>
        <v>3.5718899999999998</v>
      </c>
      <c r="E767" s="5">
        <f>$D$589-D767</f>
        <v>3.6903600000000001</v>
      </c>
      <c r="F767" s="8">
        <f>10^(-D767)</f>
        <v>2.6798470021996852E-4</v>
      </c>
      <c r="G767" s="5">
        <f>(D767-D766)/(C767-C766)</f>
        <v>-5.5606820461379436E-2</v>
      </c>
      <c r="H767" s="5">
        <f>$C$9+$C$10*EXP(-$C$11*C767)</f>
        <v>3.5306844695323649</v>
      </c>
      <c r="I767" s="5">
        <f>D767-H767</f>
        <v>4.1205530467634865E-2</v>
      </c>
      <c r="J767" s="5">
        <f t="shared" si="18"/>
        <v>1.6978957411191852E-3</v>
      </c>
      <c r="K767" s="5">
        <f>$C$17+$C$16*C767</f>
        <v>3.5351572492077761</v>
      </c>
      <c r="L767" s="5">
        <f>(D767-K767)^2</f>
        <v>1.3492949807636118E-3</v>
      </c>
      <c r="M767" s="5">
        <f>$C$40+$C$41*EXP(-$C$42*C767)</f>
        <v>0</v>
      </c>
      <c r="N767" s="5">
        <f>(D767-M767)^2</f>
        <v>12.758398172099998</v>
      </c>
      <c r="O767" s="5">
        <f>(C767+C766)/2</f>
        <v>14.782158333333427</v>
      </c>
      <c r="P767" s="5" t="str">
        <f>IF(AND(D766&gt;6,D767&lt;=6),C766+(6-D766)*(C767-C766)/(D767-D766),"")</f>
        <v/>
      </c>
      <c r="Q767" s="5" t="str">
        <f>IF(AND(D766&gt;5,D767&lt;=5),C766+(5-D766)*(C767-C766)/(D767-D766),"")</f>
        <v/>
      </c>
      <c r="R767" s="5" t="str">
        <f>IF(AND(D766&gt;4,D767&lt;=4),C766+(4-D766)*(C767-C766)/(D767-D766),"")</f>
        <v/>
      </c>
      <c r="S767" s="5" t="str">
        <f>IF(AND(D766&gt;3,D767&lt;=3),C766+(3-D766)*(C767-C766)/(D767-D766),"")</f>
        <v/>
      </c>
    </row>
    <row r="768" spans="1:19" ht="20.100000000000001" customHeight="1">
      <c r="A768" t="s">
        <v>3</v>
      </c>
      <c r="B768">
        <v>423</v>
      </c>
      <c r="C768" s="5">
        <f>('Raw Data'!C423-'Raw Data'!$C$244)/60</f>
        <v>14.907033333333432</v>
      </c>
      <c r="D768" s="5">
        <f>'Raw Data'!J423</f>
        <v>3.5568900000000001</v>
      </c>
      <c r="E768" s="5">
        <f>$D$589-D768</f>
        <v>3.7053599999999998</v>
      </c>
      <c r="F768" s="8">
        <f>10^(-D768)</f>
        <v>2.7740226322261254E-4</v>
      </c>
      <c r="G768" s="5">
        <f>(D768-D767)/(C768-C767)</f>
        <v>-0.17999999999999489</v>
      </c>
      <c r="H768" s="5">
        <f>$C$9+$C$10*EXP(-$C$11*C768)</f>
        <v>3.5289214849398403</v>
      </c>
      <c r="I768" s="5">
        <f>D768-H768</f>
        <v>2.7968515060159849E-2</v>
      </c>
      <c r="J768" s="5">
        <f t="shared" si="18"/>
        <v>7.8223783467038822E-4</v>
      </c>
      <c r="K768" s="5">
        <f>$C$17+$C$16*C768</f>
        <v>3.5227147615571708</v>
      </c>
      <c r="L768" s="5">
        <f>(D768-K768)^2</f>
        <v>1.1679469226242394E-3</v>
      </c>
      <c r="M768" s="5">
        <f>$C$40+$C$41*EXP(-$C$42*C768)</f>
        <v>0</v>
      </c>
      <c r="N768" s="5">
        <f>(D768-M768)^2</f>
        <v>12.651466472100001</v>
      </c>
      <c r="O768" s="5">
        <f>(C768+C767)/2</f>
        <v>14.865366666666766</v>
      </c>
      <c r="P768" s="5" t="str">
        <f>IF(AND(D767&gt;6,D768&lt;=6),C767+(6-D767)*(C768-C767)/(D768-D767),"")</f>
        <v/>
      </c>
      <c r="Q768" s="5" t="str">
        <f>IF(AND(D767&gt;5,D768&lt;=5),C767+(5-D767)*(C768-C767)/(D768-D767),"")</f>
        <v/>
      </c>
      <c r="R768" s="5" t="str">
        <f>IF(AND(D767&gt;4,D768&lt;=4),C767+(4-D767)*(C768-C767)/(D768-D767),"")</f>
        <v/>
      </c>
      <c r="S768" s="5" t="str">
        <f>IF(AND(D767&gt;3,D768&lt;=3),C767+(3-D767)*(C768-C767)/(D768-D767),"")</f>
        <v/>
      </c>
    </row>
    <row r="769" spans="1:19" ht="20.100000000000001" customHeight="1">
      <c r="A769" t="s">
        <v>3</v>
      </c>
      <c r="B769">
        <v>424</v>
      </c>
      <c r="C769" s="5">
        <f>('Raw Data'!C424-'Raw Data'!$C$244)/60</f>
        <v>14.990366666666766</v>
      </c>
      <c r="D769" s="5">
        <f>'Raw Data'!J424</f>
        <v>3.5661200000000002</v>
      </c>
      <c r="E769" s="5">
        <f>$D$589-D769</f>
        <v>3.6961299999999997</v>
      </c>
      <c r="F769" s="8">
        <f>10^(-D769)</f>
        <v>2.7156887926180033E-4</v>
      </c>
      <c r="G769" s="5">
        <f>(D769-D768)/(C769-C768)</f>
        <v>0.11076000000000007</v>
      </c>
      <c r="H769" s="5">
        <f>$C$9+$C$10*EXP(-$C$11*C769)</f>
        <v>3.5271975700446307</v>
      </c>
      <c r="I769" s="5">
        <f>D769-H769</f>
        <v>3.8922429955369431E-2</v>
      </c>
      <c r="J769" s="5">
        <f t="shared" si="18"/>
        <v>1.5149555536306395E-3</v>
      </c>
      <c r="K769" s="5">
        <f>$C$17+$C$16*C769</f>
        <v>3.5102722739065655</v>
      </c>
      <c r="L769" s="5">
        <f>(D769-K769)^2</f>
        <v>3.1189685098073059E-3</v>
      </c>
      <c r="M769" s="5">
        <f>$C$40+$C$41*EXP(-$C$42*C769)</f>
        <v>0</v>
      </c>
      <c r="N769" s="5">
        <f>(D769-M769)^2</f>
        <v>12.717211854400002</v>
      </c>
      <c r="O769" s="5">
        <f>(C769+C768)/2</f>
        <v>14.948700000000098</v>
      </c>
      <c r="P769" s="5" t="str">
        <f>IF(AND(D768&gt;6,D769&lt;=6),C768+(6-D768)*(C769-C768)/(D769-D768),"")</f>
        <v/>
      </c>
      <c r="Q769" s="5" t="str">
        <f>IF(AND(D768&gt;5,D769&lt;=5),C768+(5-D768)*(C769-C768)/(D769-D768),"")</f>
        <v/>
      </c>
      <c r="R769" s="5" t="str">
        <f>IF(AND(D768&gt;4,D769&lt;=4),C768+(4-D768)*(C769-C768)/(D769-D768),"")</f>
        <v/>
      </c>
      <c r="S769" s="5" t="str">
        <f>IF(AND(D768&gt;3,D769&lt;=3),C768+(3-D768)*(C769-C768)/(D769-D768),"")</f>
        <v/>
      </c>
    </row>
    <row r="770" spans="1:19" ht="20.100000000000001" customHeight="1">
      <c r="A770" t="s">
        <v>3</v>
      </c>
      <c r="B770">
        <v>425</v>
      </c>
      <c r="C770" s="5">
        <f>('Raw Data'!C425-'Raw Data'!$C$244)/60</f>
        <v>15.073700000000098</v>
      </c>
      <c r="D770" s="5">
        <f>'Raw Data'!J425</f>
        <v>3.5695800000000002</v>
      </c>
      <c r="E770" s="5">
        <f>$D$589-D770</f>
        <v>3.6926699999999997</v>
      </c>
      <c r="F770" s="8">
        <f>10^(-D770)</f>
        <v>2.6941390078932597E-4</v>
      </c>
      <c r="G770" s="5">
        <f>(D770-D769)/(C770-C769)</f>
        <v>4.1520000000000813E-2</v>
      </c>
      <c r="H770" s="5">
        <f>$C$9+$C$10*EXP(-$C$11*C770)</f>
        <v>3.5255118590188355</v>
      </c>
      <c r="I770" s="5">
        <f>D770-H770</f>
        <v>4.4068140981164738E-2</v>
      </c>
      <c r="J770" s="5">
        <f t="shared" si="18"/>
        <v>1.9420010495358111E-3</v>
      </c>
      <c r="K770" s="5">
        <f>$C$17+$C$16*C770</f>
        <v>3.4978297862559602</v>
      </c>
      <c r="L770" s="5">
        <f>(D770-K770)^2</f>
        <v>5.148093172315427E-3</v>
      </c>
      <c r="M770" s="5">
        <f>$C$40+$C$41*EXP(-$C$42*C770)</f>
        <v>0</v>
      </c>
      <c r="N770" s="5">
        <f>(D770-M770)^2</f>
        <v>12.741901376400001</v>
      </c>
      <c r="O770" s="5">
        <f>(C770+C769)/2</f>
        <v>15.032033333333432</v>
      </c>
      <c r="P770" s="5" t="str">
        <f>IF(AND(D769&gt;6,D770&lt;=6),C769+(6-D769)*(C770-C769)/(D770-D769),"")</f>
        <v/>
      </c>
      <c r="Q770" s="5" t="str">
        <f>IF(AND(D769&gt;5,D770&lt;=5),C769+(5-D769)*(C770-C769)/(D770-D769),"")</f>
        <v/>
      </c>
      <c r="R770" s="5" t="str">
        <f>IF(AND(D769&gt;4,D770&lt;=4),C769+(4-D769)*(C770-C769)/(D770-D769),"")</f>
        <v/>
      </c>
      <c r="S770" s="5" t="str">
        <f>IF(AND(D769&gt;3,D770&lt;=3),C769+(3-D769)*(C770-C769)/(D770-D769),"")</f>
        <v/>
      </c>
    </row>
    <row r="771" spans="1:19" ht="20.100000000000001" customHeight="1">
      <c r="A771" t="s">
        <v>3</v>
      </c>
      <c r="B771">
        <v>426</v>
      </c>
      <c r="C771" s="5">
        <f>('Raw Data'!C426-'Raw Data'!$C$244)/60</f>
        <v>15.15676666666671</v>
      </c>
      <c r="D771" s="5">
        <f>'Raw Data'!J426</f>
        <v>3.5626600000000002</v>
      </c>
      <c r="E771" s="5">
        <f>$D$589-D771</f>
        <v>3.6995899999999997</v>
      </c>
      <c r="F771" s="8">
        <f>10^(-D771)</f>
        <v>2.737410949005942E-4</v>
      </c>
      <c r="G771" s="5">
        <f>(D771-D770)/(C771-C770)</f>
        <v>-8.3306581059445092E-2</v>
      </c>
      <c r="H771" s="5">
        <f>$C$9+$C$10*EXP(-$C$11*C771)</f>
        <v>3.5238687212578785</v>
      </c>
      <c r="I771" s="5">
        <f>D771-H771</f>
        <v>3.8791278742121627E-2</v>
      </c>
      <c r="J771" s="5">
        <f t="shared" si="18"/>
        <v>1.5047633064489772E-3</v>
      </c>
      <c r="K771" s="5">
        <f>$C$17+$C$16*C771</f>
        <v>3.4854271145658449</v>
      </c>
      <c r="L771" s="5">
        <f>(D771-K771)^2</f>
        <v>5.9649185924853573E-3</v>
      </c>
      <c r="M771" s="5">
        <f>$C$40+$C$41*EXP(-$C$42*C771)</f>
        <v>0</v>
      </c>
      <c r="N771" s="5">
        <f>(D771-M771)^2</f>
        <v>12.692546275600002</v>
      </c>
      <c r="O771" s="5">
        <f>(C771+C770)/2</f>
        <v>15.115233333333403</v>
      </c>
      <c r="P771" s="5" t="str">
        <f>IF(AND(D770&gt;6,D771&lt;=6),C770+(6-D770)*(C771-C770)/(D771-D770),"")</f>
        <v/>
      </c>
      <c r="Q771" s="5" t="str">
        <f>IF(AND(D770&gt;5,D771&lt;=5),C770+(5-D770)*(C771-C770)/(D771-D770),"")</f>
        <v/>
      </c>
      <c r="R771" s="5" t="str">
        <f>IF(AND(D770&gt;4,D771&lt;=4),C770+(4-D770)*(C771-C770)/(D771-D770),"")</f>
        <v/>
      </c>
      <c r="S771" s="5" t="str">
        <f>IF(AND(D770&gt;3,D771&lt;=3),C770+(3-D770)*(C771-C770)/(D771-D770),"")</f>
        <v/>
      </c>
    </row>
    <row r="772" spans="1:19" ht="20.100000000000001" customHeight="1">
      <c r="A772" t="s">
        <v>3</v>
      </c>
      <c r="B772">
        <v>427</v>
      </c>
      <c r="C772" s="5">
        <f>('Raw Data'!C427-'Raw Data'!$C$244)/60</f>
        <v>15.240366666666766</v>
      </c>
      <c r="D772" s="5">
        <f>'Raw Data'!J427</f>
        <v>3.5649700000000002</v>
      </c>
      <c r="E772" s="5">
        <f>$D$589-D772</f>
        <v>3.6972799999999997</v>
      </c>
      <c r="F772" s="8">
        <f>10^(-D772)</f>
        <v>2.7228893921173685E-4</v>
      </c>
      <c r="G772" s="5">
        <f>(D772-D771)/(C772-C771)</f>
        <v>2.7631578947350445E-2</v>
      </c>
      <c r="H772" s="5">
        <f>$C$9+$C$10*EXP(-$C$11*C772)</f>
        <v>3.5222516807772069</v>
      </c>
      <c r="I772" s="5">
        <f>D772-H772</f>
        <v>4.2718319222793344E-2</v>
      </c>
      <c r="J772" s="5">
        <f t="shared" si="18"/>
        <v>1.8248547972204753E-3</v>
      </c>
      <c r="K772" s="5">
        <f>$C$17+$C$16*C772</f>
        <v>3.4729448109547496</v>
      </c>
      <c r="L772" s="5">
        <f>(D772-K772)^2</f>
        <v>8.4686354188141088E-3</v>
      </c>
      <c r="M772" s="5">
        <f>$C$40+$C$41*EXP(-$C$42*C772)</f>
        <v>0</v>
      </c>
      <c r="N772" s="5">
        <f>(D772-M772)^2</f>
        <v>12.709011100900002</v>
      </c>
      <c r="O772" s="5">
        <f>(C772+C771)/2</f>
        <v>15.198566666666739</v>
      </c>
      <c r="P772" s="5" t="str">
        <f>IF(AND(D771&gt;6,D772&lt;=6),C771+(6-D771)*(C772-C771)/(D772-D771),"")</f>
        <v/>
      </c>
      <c r="Q772" s="5" t="str">
        <f>IF(AND(D771&gt;5,D772&lt;=5),C771+(5-D771)*(C772-C771)/(D772-D771),"")</f>
        <v/>
      </c>
      <c r="R772" s="5" t="str">
        <f>IF(AND(D771&gt;4,D772&lt;=4),C771+(4-D771)*(C772-C771)/(D772-D771),"")</f>
        <v/>
      </c>
      <c r="S772" s="5" t="str">
        <f>IF(AND(D771&gt;3,D772&lt;=3),C771+(3-D771)*(C772-C771)/(D772-D771),"")</f>
        <v/>
      </c>
    </row>
    <row r="773" spans="1:19" ht="20.100000000000001" customHeight="1">
      <c r="A773" t="s">
        <v>3</v>
      </c>
      <c r="B773">
        <v>428</v>
      </c>
      <c r="C773" s="5">
        <f>('Raw Data'!C428-'Raw Data'!$C$244)/60</f>
        <v>15.323433333333378</v>
      </c>
      <c r="D773" s="5">
        <f>'Raw Data'!J428</f>
        <v>3.5557400000000001</v>
      </c>
      <c r="E773" s="5">
        <f>$D$589-D773</f>
        <v>3.7065099999999997</v>
      </c>
      <c r="F773" s="8">
        <f>10^(-D773)</f>
        <v>2.7813779028414967E-4</v>
      </c>
      <c r="G773" s="5">
        <f>(D773-D772)/(C773-C772)</f>
        <v>-0.11111556982350869</v>
      </c>
      <c r="H773" s="5">
        <f>$C$9+$C$10*EXP(-$C$11*C773)</f>
        <v>3.5206805635636536</v>
      </c>
      <c r="I773" s="5">
        <f>D773-H773</f>
        <v>3.5059436436346569E-2</v>
      </c>
      <c r="J773" s="5">
        <f t="shared" si="18"/>
        <v>1.2291640832342255E-3</v>
      </c>
      <c r="K773" s="5">
        <f>$C$17+$C$16*C773</f>
        <v>3.4605421392646343</v>
      </c>
      <c r="L773" s="5">
        <f>(D773-K773)^2</f>
        <v>9.0626326885901096E-3</v>
      </c>
      <c r="M773" s="5">
        <f>$C$40+$C$41*EXP(-$C$42*C773)</f>
        <v>0</v>
      </c>
      <c r="N773" s="5">
        <f>(D773-M773)^2</f>
        <v>12.6432869476</v>
      </c>
      <c r="O773" s="5">
        <f>(C773+C772)/2</f>
        <v>15.281900000000071</v>
      </c>
      <c r="P773" s="5" t="str">
        <f>IF(AND(D772&gt;6,D773&lt;=6),C772+(6-D772)*(C773-C772)/(D773-D772),"")</f>
        <v/>
      </c>
      <c r="Q773" s="5" t="str">
        <f>IF(AND(D772&gt;5,D773&lt;=5),C772+(5-D772)*(C773-C772)/(D773-D772),"")</f>
        <v/>
      </c>
      <c r="R773" s="5" t="str">
        <f>IF(AND(D772&gt;4,D773&lt;=4),C772+(4-D772)*(C773-C772)/(D773-D772),"")</f>
        <v/>
      </c>
      <c r="S773" s="5" t="str">
        <f>IF(AND(D772&gt;3,D773&lt;=3),C772+(3-D772)*(C773-C772)/(D773-D772),"")</f>
        <v/>
      </c>
    </row>
    <row r="774" spans="1:19" ht="20.100000000000001" customHeight="1">
      <c r="A774" t="s">
        <v>3</v>
      </c>
      <c r="B774">
        <v>429</v>
      </c>
      <c r="C774" s="5">
        <f>('Raw Data'!C429-'Raw Data'!$C$244)/60</f>
        <v>15.40676666666671</v>
      </c>
      <c r="D774" s="5">
        <f>'Raw Data'!J429</f>
        <v>3.5580500000000002</v>
      </c>
      <c r="E774" s="5">
        <f>$D$589-D774</f>
        <v>3.7041999999999997</v>
      </c>
      <c r="F774" s="8">
        <f>10^(-D774)</f>
        <v>2.7666231078190629E-4</v>
      </c>
      <c r="G774" s="5">
        <f>(D774-D773)/(C774-C773)</f>
        <v>2.7720000000000806E-2</v>
      </c>
      <c r="H774" s="5">
        <f>$C$9+$C$10*EXP(-$C$11*C774)</f>
        <v>3.5191392766421248</v>
      </c>
      <c r="I774" s="5">
        <f>D774-H774</f>
        <v>3.8910723357875376E-2</v>
      </c>
      <c r="J774" s="5">
        <f t="shared" si="18"/>
        <v>1.5140443922331084E-3</v>
      </c>
      <c r="K774" s="5">
        <f>$C$17+$C$16*C774</f>
        <v>3.4480996516140294</v>
      </c>
      <c r="L774" s="5">
        <f>(D774-K774)^2</f>
        <v>1.2089079110196337E-2</v>
      </c>
      <c r="M774" s="5">
        <f>$C$40+$C$41*EXP(-$C$42*C774)</f>
        <v>0</v>
      </c>
      <c r="N774" s="5">
        <f>(D774-M774)^2</f>
        <v>12.659719802500002</v>
      </c>
      <c r="O774" s="5">
        <f>(C774+C773)/2</f>
        <v>15.365100000000044</v>
      </c>
      <c r="P774" s="5" t="str">
        <f>IF(AND(D773&gt;6,D774&lt;=6),C773+(6-D773)*(C774-C773)/(D774-D773),"")</f>
        <v/>
      </c>
      <c r="Q774" s="5" t="str">
        <f>IF(AND(D773&gt;5,D774&lt;=5),C773+(5-D773)*(C774-C773)/(D774-D773),"")</f>
        <v/>
      </c>
      <c r="R774" s="5" t="str">
        <f>IF(AND(D773&gt;4,D774&lt;=4),C773+(4-D773)*(C774-C773)/(D774-D773),"")</f>
        <v/>
      </c>
      <c r="S774" s="5" t="str">
        <f>IF(AND(D773&gt;3,D774&lt;=3),C773+(3-D773)*(C774-C773)/(D774-D773),"")</f>
        <v/>
      </c>
    </row>
    <row r="775" spans="1:19" ht="20.100000000000001" customHeight="1">
      <c r="A775" t="s">
        <v>3</v>
      </c>
      <c r="B775">
        <v>430</v>
      </c>
      <c r="C775" s="5">
        <f>('Raw Data'!C430-'Raw Data'!$C$244)/60</f>
        <v>15.490100000000044</v>
      </c>
      <c r="D775" s="5">
        <f>'Raw Data'!J430</f>
        <v>3.5534300000000001</v>
      </c>
      <c r="E775" s="5">
        <f>$D$589-D775</f>
        <v>3.7088199999999998</v>
      </c>
      <c r="F775" s="8">
        <f>10^(-D775)</f>
        <v>2.7962113872869761E-4</v>
      </c>
      <c r="G775" s="5">
        <f>(D775-D774)/(C775-C774)</f>
        <v>-5.5440000000000426E-2</v>
      </c>
      <c r="H775" s="5">
        <f>$C$9+$C$10*EXP(-$C$11*C775)</f>
        <v>3.5176321463512075</v>
      </c>
      <c r="I775" s="5">
        <f>D775-H775</f>
        <v>3.5797853648792621E-2</v>
      </c>
      <c r="J775" s="5">
        <f t="shared" si="18"/>
        <v>1.2814863258603752E-3</v>
      </c>
      <c r="K775" s="5">
        <f>$C$17+$C$16*C775</f>
        <v>3.4356571639634237</v>
      </c>
      <c r="L775" s="5">
        <f>(D775-K775)^2</f>
        <v>1.387044090809831E-2</v>
      </c>
      <c r="M775" s="5">
        <f>$C$40+$C$41*EXP(-$C$42*C775)</f>
        <v>0</v>
      </c>
      <c r="N775" s="5">
        <f>(D775-M775)^2</f>
        <v>12.626864764900001</v>
      </c>
      <c r="O775" s="5">
        <f>(C775+C774)/2</f>
        <v>15.448433333333377</v>
      </c>
      <c r="P775" s="5" t="str">
        <f>IF(AND(D774&gt;6,D775&lt;=6),C774+(6-D774)*(C775-C774)/(D775-D774),"")</f>
        <v/>
      </c>
      <c r="Q775" s="5" t="str">
        <f>IF(AND(D774&gt;5,D775&lt;=5),C774+(5-D774)*(C775-C774)/(D775-D774),"")</f>
        <v/>
      </c>
      <c r="R775" s="5" t="str">
        <f>IF(AND(D774&gt;4,D775&lt;=4),C774+(4-D774)*(C775-C774)/(D775-D774),"")</f>
        <v/>
      </c>
      <c r="S775" s="5" t="str">
        <f>IF(AND(D774&gt;3,D775&lt;=3),C774+(3-D774)*(C775-C774)/(D775-D774),"")</f>
        <v/>
      </c>
    </row>
    <row r="776" spans="1:19" ht="20.100000000000001" customHeight="1">
      <c r="A776" t="s">
        <v>3</v>
      </c>
      <c r="B776">
        <v>431</v>
      </c>
      <c r="C776" s="5">
        <f>('Raw Data'!C431-'Raw Data'!$C$244)/60</f>
        <v>15.573433333333378</v>
      </c>
      <c r="D776" s="5">
        <f>'Raw Data'!J431</f>
        <v>3.5545900000000001</v>
      </c>
      <c r="E776" s="5">
        <f>$D$589-D776</f>
        <v>3.7076599999999997</v>
      </c>
      <c r="F776" s="8">
        <f>10^(-D776)</f>
        <v>2.7887526758232852E-4</v>
      </c>
      <c r="G776" s="5">
        <f>(D776-D775)/(C776-C775)</f>
        <v>1.39200000000005E-2</v>
      </c>
      <c r="H776" s="5">
        <f>$C$9+$C$10*EXP(-$C$11*C776)</f>
        <v>3.5161584157420172</v>
      </c>
      <c r="I776" s="5">
        <f>D776-H776</f>
        <v>3.8431584257982987E-2</v>
      </c>
      <c r="J776" s="5">
        <f t="shared" si="18"/>
        <v>1.4769866685784457E-3</v>
      </c>
      <c r="K776" s="5">
        <f>$C$17+$C$16*C776</f>
        <v>3.4232146763128184</v>
      </c>
      <c r="L776" s="5">
        <f>(D776-K776)^2</f>
        <v>1.7259475673911777E-2</v>
      </c>
      <c r="M776" s="5">
        <f>$C$40+$C$41*EXP(-$C$42*C776)</f>
        <v>0</v>
      </c>
      <c r="N776" s="5">
        <f>(D776-M776)^2</f>
        <v>12.635110068100001</v>
      </c>
      <c r="O776" s="5">
        <f>(C776+C775)/2</f>
        <v>15.531766666666712</v>
      </c>
      <c r="P776" s="5" t="str">
        <f>IF(AND(D775&gt;6,D776&lt;=6),C775+(6-D775)*(C776-C775)/(D776-D775),"")</f>
        <v/>
      </c>
      <c r="Q776" s="5" t="str">
        <f>IF(AND(D775&gt;5,D776&lt;=5),C775+(5-D775)*(C776-C775)/(D776-D775),"")</f>
        <v/>
      </c>
      <c r="R776" s="5" t="str">
        <f>IF(AND(D775&gt;4,D776&lt;=4),C775+(4-D775)*(C776-C775)/(D776-D775),"")</f>
        <v/>
      </c>
      <c r="S776" s="5" t="str">
        <f>IF(AND(D775&gt;3,D776&lt;=3),C775+(3-D775)*(C776-C775)/(D776-D775),"")</f>
        <v/>
      </c>
    </row>
    <row r="777" spans="1:19" ht="20.100000000000001" customHeight="1">
      <c r="A777" t="s">
        <v>3</v>
      </c>
      <c r="B777">
        <v>432</v>
      </c>
      <c r="C777" s="5">
        <f>('Raw Data'!C432-'Raw Data'!$C$244)/60</f>
        <v>15.656516666666722</v>
      </c>
      <c r="D777" s="5">
        <f>'Raw Data'!J432</f>
        <v>3.5545900000000001</v>
      </c>
      <c r="E777" s="5">
        <f>$D$589-D777</f>
        <v>3.7076599999999997</v>
      </c>
      <c r="F777" s="8">
        <f>10^(-D777)</f>
        <v>2.7887526758232852E-4</v>
      </c>
      <c r="G777" s="5">
        <f>(D777-D776)/(C777-C776)</f>
        <v>0</v>
      </c>
      <c r="H777" s="5">
        <f>$C$9+$C$10*EXP(-$C$11*C777)</f>
        <v>3.5147216197360662</v>
      </c>
      <c r="I777" s="5">
        <f>D777-H777</f>
        <v>3.9868380263933911E-2</v>
      </c>
      <c r="J777" s="5">
        <f t="shared" si="18"/>
        <v>1.589487744869635E-3</v>
      </c>
      <c r="K777" s="5">
        <f>$C$17+$C$16*C777</f>
        <v>3.4108095161251635</v>
      </c>
      <c r="L777" s="5">
        <f>(D777-K777)^2</f>
        <v>2.0672827543282167E-2</v>
      </c>
      <c r="M777" s="5">
        <f>$C$40+$C$41*EXP(-$C$42*C777)</f>
        <v>0</v>
      </c>
      <c r="N777" s="5">
        <f>(D777-M777)^2</f>
        <v>12.635110068100001</v>
      </c>
      <c r="O777" s="5">
        <f>(C777+C776)/2</f>
        <v>15.614975000000051</v>
      </c>
      <c r="P777" s="5" t="str">
        <f>IF(AND(D776&gt;6,D777&lt;=6),C776+(6-D776)*(C777-C776)/(D777-D776),"")</f>
        <v/>
      </c>
      <c r="Q777" s="5" t="str">
        <f>IF(AND(D776&gt;5,D777&lt;=5),C776+(5-D776)*(C777-C776)/(D777-D776),"")</f>
        <v/>
      </c>
      <c r="R777" s="5" t="str">
        <f>IF(AND(D776&gt;4,D777&lt;=4),C776+(4-D776)*(C777-C776)/(D777-D776),"")</f>
        <v/>
      </c>
      <c r="S777" s="5" t="str">
        <f>IF(AND(D776&gt;3,D777&lt;=3),C776+(3-D776)*(C777-C776)/(D777-D776),"")</f>
        <v/>
      </c>
    </row>
    <row r="778" spans="1:19" ht="20.100000000000001" customHeight="1">
      <c r="A778" t="s">
        <v>3</v>
      </c>
      <c r="B778">
        <v>433</v>
      </c>
      <c r="C778" s="5">
        <f>('Raw Data'!C433-'Raw Data'!$C$244)/60</f>
        <v>15.739583333333334</v>
      </c>
      <c r="D778" s="5">
        <f>'Raw Data'!J433</f>
        <v>3.5465100000000001</v>
      </c>
      <c r="E778" s="5">
        <f>$D$589-D778</f>
        <v>3.7157399999999998</v>
      </c>
      <c r="F778" s="8">
        <f>10^(-D778)</f>
        <v>2.8411227649608118E-4</v>
      </c>
      <c r="G778" s="5">
        <f>(D778-D777)/(C778-C777)</f>
        <v>-9.7271268057849719E-2</v>
      </c>
      <c r="H778" s="5">
        <f>$C$9+$C$10*EXP(-$C$11*C778)</f>
        <v>3.5133168489851809</v>
      </c>
      <c r="I778" s="5">
        <f>D778-H778</f>
        <v>3.3193151014819122E-2</v>
      </c>
      <c r="J778" s="5">
        <f t="shared" si="18"/>
        <v>1.1017852742925876E-3</v>
      </c>
      <c r="K778" s="5">
        <f>$C$17+$C$16*C778</f>
        <v>3.3984068444350481</v>
      </c>
      <c r="L778" s="5">
        <f>(D778-K778)^2</f>
        <v>2.1934544688296344E-2</v>
      </c>
      <c r="M778" s="5">
        <f>$C$40+$C$41*EXP(-$C$42*C778)</f>
        <v>0</v>
      </c>
      <c r="N778" s="5">
        <f>(D778-M778)^2</f>
        <v>12.577733180100001</v>
      </c>
      <c r="O778" s="5">
        <f>(C778+C777)/2</f>
        <v>15.698050000000027</v>
      </c>
      <c r="P778" s="5" t="str">
        <f>IF(AND(D777&gt;6,D778&lt;=6),C777+(6-D777)*(C778-C777)/(D778-D777),"")</f>
        <v/>
      </c>
      <c r="Q778" s="5" t="str">
        <f>IF(AND(D777&gt;5,D778&lt;=5),C777+(5-D777)*(C778-C777)/(D778-D777),"")</f>
        <v/>
      </c>
      <c r="R778" s="5" t="str">
        <f>IF(AND(D777&gt;4,D778&lt;=4),C777+(4-D777)*(C778-C777)/(D778-D777),"")</f>
        <v/>
      </c>
      <c r="S778" s="5" t="str">
        <f>IF(AND(D777&gt;3,D778&lt;=3),C777+(3-D777)*(C778-C777)/(D778-D777),"")</f>
        <v/>
      </c>
    </row>
    <row r="779" spans="1:19" ht="20.100000000000001" customHeight="1">
      <c r="A779" t="s">
        <v>3</v>
      </c>
      <c r="B779">
        <v>434</v>
      </c>
      <c r="C779" s="5">
        <f>('Raw Data'!C434-'Raw Data'!$C$244)/60</f>
        <v>15.823183333333388</v>
      </c>
      <c r="D779" s="5">
        <f>'Raw Data'!J434</f>
        <v>3.5465100000000001</v>
      </c>
      <c r="E779" s="5">
        <f>$D$589-D779</f>
        <v>3.7157399999999998</v>
      </c>
      <c r="F779" s="8">
        <f>10^(-D779)</f>
        <v>2.8411227649608118E-4</v>
      </c>
      <c r="G779" s="5">
        <f>(D779-D778)/(C779-C778)</f>
        <v>0</v>
      </c>
      <c r="H779" s="5">
        <f>$C$9+$C$10*EXP(-$C$11*C779)</f>
        <v>3.5119343896295376</v>
      </c>
      <c r="I779" s="5">
        <f>D779-H779</f>
        <v>3.4575610370462417E-2</v>
      </c>
      <c r="J779" s="5">
        <f t="shared" si="18"/>
        <v>1.1954728324900282E-3</v>
      </c>
      <c r="K779" s="5">
        <f>$C$17+$C$16*C779</f>
        <v>3.3859245408239529</v>
      </c>
      <c r="L779" s="5">
        <f>(D779-K779)^2</f>
        <v>2.578768969878191E-2</v>
      </c>
      <c r="M779" s="5">
        <f>$C$40+$C$41*EXP(-$C$42*C779)</f>
        <v>0</v>
      </c>
      <c r="N779" s="5">
        <f>(D779-M779)^2</f>
        <v>12.577733180100001</v>
      </c>
      <c r="O779" s="5">
        <f>(C779+C778)/2</f>
        <v>15.781383333333361</v>
      </c>
      <c r="P779" s="5" t="str">
        <f>IF(AND(D778&gt;6,D779&lt;=6),C778+(6-D778)*(C779-C778)/(D779-D778),"")</f>
        <v/>
      </c>
      <c r="Q779" s="5" t="str">
        <f>IF(AND(D778&gt;5,D779&lt;=5),C778+(5-D778)*(C779-C778)/(D779-D778),"")</f>
        <v/>
      </c>
      <c r="R779" s="5" t="str">
        <f>IF(AND(D778&gt;4,D779&lt;=4),C778+(4-D778)*(C779-C778)/(D779-D778),"")</f>
        <v/>
      </c>
      <c r="S779" s="5" t="str">
        <f>IF(AND(D778&gt;3,D779&lt;=3),C778+(3-D778)*(C779-C778)/(D779-D778),"")</f>
        <v/>
      </c>
    </row>
    <row r="780" spans="1:19" ht="20.100000000000001" customHeight="1">
      <c r="A780" t="s">
        <v>3</v>
      </c>
      <c r="B780">
        <v>435</v>
      </c>
      <c r="C780" s="5">
        <f>('Raw Data'!C435-'Raw Data'!$C$244)/60</f>
        <v>15.90625</v>
      </c>
      <c r="D780" s="5">
        <f>'Raw Data'!J435</f>
        <v>3.5453600000000001</v>
      </c>
      <c r="E780" s="5">
        <f>$D$589-D780</f>
        <v>3.7168899999999998</v>
      </c>
      <c r="F780" s="8">
        <f>10^(-D780)</f>
        <v>2.8486559503591613E-4</v>
      </c>
      <c r="G780" s="5">
        <f>(D780-D779)/(C780-C779)</f>
        <v>-1.3844301765658967E-2</v>
      </c>
      <c r="H780" s="5">
        <f>$C$9+$C$10*EXP(-$C$11*C780)</f>
        <v>3.5105911915360752</v>
      </c>
      <c r="I780" s="5">
        <f>D780-H780</f>
        <v>3.4768808463924827E-2</v>
      </c>
      <c r="J780" s="5">
        <f t="shared" si="18"/>
        <v>1.2088700420010907E-3</v>
      </c>
      <c r="K780" s="5">
        <f>$C$17+$C$16*C780</f>
        <v>3.373521869133838</v>
      </c>
      <c r="L780" s="5">
        <f>(D780-K780)^2</f>
        <v>2.9528343219576241E-2</v>
      </c>
      <c r="M780" s="5">
        <f>$C$40+$C$41*EXP(-$C$42*C780)</f>
        <v>0</v>
      </c>
      <c r="N780" s="5">
        <f>(D780-M780)^2</f>
        <v>12.5695775296</v>
      </c>
      <c r="O780" s="5">
        <f>(C780+C779)/2</f>
        <v>15.864716666666695</v>
      </c>
      <c r="P780" s="5" t="str">
        <f>IF(AND(D779&gt;6,D780&lt;=6),C779+(6-D779)*(C780-C779)/(D780-D779),"")</f>
        <v/>
      </c>
      <c r="Q780" s="5" t="str">
        <f>IF(AND(D779&gt;5,D780&lt;=5),C779+(5-D779)*(C780-C779)/(D780-D779),"")</f>
        <v/>
      </c>
      <c r="R780" s="5" t="str">
        <f>IF(AND(D779&gt;4,D780&lt;=4),C779+(4-D779)*(C780-C779)/(D780-D779),"")</f>
        <v/>
      </c>
      <c r="S780" s="5" t="str">
        <f>IF(AND(D779&gt;3,D780&lt;=3),C779+(3-D779)*(C780-C779)/(D780-D779),"")</f>
        <v/>
      </c>
    </row>
    <row r="781" spans="1:19" ht="20.100000000000001" customHeight="1">
      <c r="A781" t="s">
        <v>3</v>
      </c>
      <c r="B781">
        <v>436</v>
      </c>
      <c r="C781" s="5">
        <f>('Raw Data'!C436-'Raw Data'!$C$244)/60</f>
        <v>15.989583333333334</v>
      </c>
      <c r="D781" s="5">
        <f>'Raw Data'!J436</f>
        <v>3.53728</v>
      </c>
      <c r="E781" s="5">
        <f>$D$589-D781</f>
        <v>3.7249699999999999</v>
      </c>
      <c r="F781" s="8">
        <f>10^(-D781)</f>
        <v>2.9021509652938927E-4</v>
      </c>
      <c r="G781" s="5">
        <f>(D781-D780)/(C781-C780)</f>
        <v>-9.6960000000000351E-2</v>
      </c>
      <c r="H781" s="5">
        <f>$C$9+$C$10*EXP(-$C$11*C781)</f>
        <v>3.5092734963083636</v>
      </c>
      <c r="I781" s="5">
        <f>D781-H781</f>
        <v>2.8006503691636375E-2</v>
      </c>
      <c r="J781" s="5">
        <f t="shared" si="18"/>
        <v>7.8436424902964192E-4</v>
      </c>
      <c r="K781" s="5">
        <f>$C$17+$C$16*C781</f>
        <v>3.3610793814832327</v>
      </c>
      <c r="L781" s="5">
        <f>(D781-K781)^2</f>
        <v>3.1046657965691348E-2</v>
      </c>
      <c r="M781" s="5">
        <f>$C$40+$C$41*EXP(-$C$42*C781)</f>
        <v>0</v>
      </c>
      <c r="N781" s="5">
        <f>(D781-M781)^2</f>
        <v>12.512349798400001</v>
      </c>
      <c r="O781" s="5">
        <f>(C781+C780)/2</f>
        <v>15.947916666666668</v>
      </c>
      <c r="P781" s="5" t="str">
        <f>IF(AND(D780&gt;6,D781&lt;=6),C780+(6-D780)*(C781-C780)/(D781-D780),"")</f>
        <v/>
      </c>
      <c r="Q781" s="5" t="str">
        <f>IF(AND(D780&gt;5,D781&lt;=5),C780+(5-D780)*(C781-C780)/(D781-D780),"")</f>
        <v/>
      </c>
      <c r="R781" s="5" t="str">
        <f>IF(AND(D780&gt;4,D781&lt;=4),C780+(4-D780)*(C781-C780)/(D781-D780),"")</f>
        <v/>
      </c>
      <c r="S781" s="5" t="str">
        <f>IF(AND(D780&gt;3,D781&lt;=3),C780+(3-D780)*(C781-C780)/(D781-D780),"")</f>
        <v/>
      </c>
    </row>
    <row r="782" spans="1:19" ht="20.100000000000001" customHeight="1">
      <c r="A782" t="s">
        <v>3</v>
      </c>
      <c r="B782">
        <v>437</v>
      </c>
      <c r="C782" s="5">
        <f>('Raw Data'!C437-'Raw Data'!$C$244)/60</f>
        <v>16.072916666666668</v>
      </c>
      <c r="D782" s="5">
        <f>'Raw Data'!J437</f>
        <v>3.54305</v>
      </c>
      <c r="E782" s="5">
        <f>$D$589-D782</f>
        <v>3.7191999999999998</v>
      </c>
      <c r="F782" s="8">
        <f>10^(-D782)</f>
        <v>2.8638482382129643E-4</v>
      </c>
      <c r="G782" s="5">
        <f>(D782-D781)/(C782-C781)</f>
        <v>6.9240000000000149E-2</v>
      </c>
      <c r="H782" s="5">
        <f>$C$9+$C$10*EXP(-$C$11*C782)</f>
        <v>3.507985002670909</v>
      </c>
      <c r="I782" s="5">
        <f>D782-H782</f>
        <v>3.5064997329091074E-2</v>
      </c>
      <c r="J782" s="5">
        <f t="shared" si="18"/>
        <v>1.2295540376891642E-3</v>
      </c>
      <c r="K782" s="5">
        <f>$C$17+$C$16*C782</f>
        <v>3.348636893832627</v>
      </c>
      <c r="L782" s="5">
        <f>(D782-K782)^2</f>
        <v>3.779645584964627E-2</v>
      </c>
      <c r="M782" s="5">
        <f>$C$40+$C$41*EXP(-$C$42*C782)</f>
        <v>0</v>
      </c>
      <c r="N782" s="5">
        <f>(D782-M782)^2</f>
        <v>12.5532033025</v>
      </c>
      <c r="O782" s="5">
        <f>(C782+C781)/2</f>
        <v>16.03125</v>
      </c>
      <c r="P782" s="5" t="str">
        <f>IF(AND(D781&gt;6,D782&lt;=6),C781+(6-D781)*(C782-C781)/(D782-D781),"")</f>
        <v/>
      </c>
      <c r="Q782" s="5" t="str">
        <f>IF(AND(D781&gt;5,D782&lt;=5),C781+(5-D781)*(C782-C781)/(D782-D781),"")</f>
        <v/>
      </c>
      <c r="R782" s="5" t="str">
        <f>IF(AND(D781&gt;4,D782&lt;=4),C781+(4-D781)*(C782-C781)/(D782-D781),"")</f>
        <v/>
      </c>
      <c r="S782" s="5" t="str">
        <f>IF(AND(D781&gt;3,D782&lt;=3),C781+(3-D781)*(C782-C781)/(D782-D781),"")</f>
        <v/>
      </c>
    </row>
    <row r="783" spans="1:19" ht="20.100000000000001" customHeight="1">
      <c r="A783" t="s">
        <v>3</v>
      </c>
      <c r="B783">
        <v>438</v>
      </c>
      <c r="C783" s="5">
        <f>('Raw Data'!C438-'Raw Data'!$C$244)/60</f>
        <v>16.15625</v>
      </c>
      <c r="D783" s="5">
        <f>'Raw Data'!J438</f>
        <v>3.54074</v>
      </c>
      <c r="E783" s="5">
        <f>$D$589-D783</f>
        <v>3.7215099999999999</v>
      </c>
      <c r="F783" s="8">
        <f>10^(-D783)</f>
        <v>2.8791215487013958E-4</v>
      </c>
      <c r="G783" s="5">
        <f>(D783-D782)/(C783-C782)</f>
        <v>-2.7720000000000806E-2</v>
      </c>
      <c r="H783" s="5">
        <f>$C$9+$C$10*EXP(-$C$11*C783)</f>
        <v>3.5067250634840268</v>
      </c>
      <c r="I783" s="5">
        <f>D783-H783</f>
        <v>3.4014936515973204E-2</v>
      </c>
      <c r="J783" s="5">
        <f t="shared" si="18"/>
        <v>1.1570159061856872E-3</v>
      </c>
      <c r="K783" s="5">
        <f>$C$17+$C$16*C783</f>
        <v>3.3361944061820221</v>
      </c>
      <c r="L783" s="5">
        <f>(D783-K783)^2</f>
        <v>4.1838899950349187E-2</v>
      </c>
      <c r="M783" s="5">
        <f>$C$40+$C$41*EXP(-$C$42*C783)</f>
        <v>0</v>
      </c>
      <c r="N783" s="5">
        <f>(D783-M783)^2</f>
        <v>12.5368397476</v>
      </c>
      <c r="O783" s="5">
        <f>(C783+C782)/2</f>
        <v>16.114583333333336</v>
      </c>
      <c r="P783" s="5" t="str">
        <f>IF(AND(D782&gt;6,D783&lt;=6),C782+(6-D782)*(C783-C782)/(D783-D782),"")</f>
        <v/>
      </c>
      <c r="Q783" s="5" t="str">
        <f>IF(AND(D782&gt;5,D783&lt;=5),C782+(5-D782)*(C783-C782)/(D783-D782),"")</f>
        <v/>
      </c>
      <c r="R783" s="5" t="str">
        <f>IF(AND(D782&gt;4,D783&lt;=4),C782+(4-D782)*(C783-C782)/(D783-D782),"")</f>
        <v/>
      </c>
      <c r="S783" s="5" t="str">
        <f>IF(AND(D782&gt;3,D783&lt;=3),C782+(3-D782)*(C783-C782)/(D783-D782),"")</f>
        <v/>
      </c>
    </row>
    <row r="784" spans="1:19" ht="20.100000000000001" customHeight="1">
      <c r="A784" t="s">
        <v>3</v>
      </c>
      <c r="B784">
        <v>439</v>
      </c>
      <c r="C784" s="5">
        <f>('Raw Data'!C439-'Raw Data'!$C$244)/60</f>
        <v>16.239316666666735</v>
      </c>
      <c r="D784" s="5">
        <f>'Raw Data'!J439</f>
        <v>3.5280499999999999</v>
      </c>
      <c r="E784" s="5">
        <f>$D$589-D784</f>
        <v>3.7342</v>
      </c>
      <c r="F784" s="8">
        <f>10^(-D784)</f>
        <v>2.9644900703445891E-4</v>
      </c>
      <c r="G784" s="5">
        <f>(D784-D783)/(C784-C783)</f>
        <v>-0.15276886035300583</v>
      </c>
      <c r="H784" s="5">
        <f>$C$9+$C$10*EXP(-$C$11*C784)</f>
        <v>3.5054969445343378</v>
      </c>
      <c r="I784" s="5">
        <f>D784-H784</f>
        <v>2.2553055465662109E-2</v>
      </c>
      <c r="J784" s="5">
        <f t="shared" si="18"/>
        <v>5.0864031083723148E-4</v>
      </c>
      <c r="K784" s="5">
        <f>$C$17+$C$16*C784</f>
        <v>3.3237917344918886</v>
      </c>
      <c r="L784" s="5">
        <f>(D784-K784)^2</f>
        <v>4.1721439028382101E-2</v>
      </c>
      <c r="M784" s="5">
        <f>$C$40+$C$41*EXP(-$C$42*C784)</f>
        <v>0</v>
      </c>
      <c r="N784" s="5">
        <f>(D784-M784)^2</f>
        <v>12.447136802499999</v>
      </c>
      <c r="O784" s="5">
        <f>(C784+C783)/2</f>
        <v>16.197783333333369</v>
      </c>
      <c r="P784" s="5" t="str">
        <f>IF(AND(D783&gt;6,D784&lt;=6),C783+(6-D783)*(C784-C783)/(D784-D783),"")</f>
        <v/>
      </c>
      <c r="Q784" s="5" t="str">
        <f>IF(AND(D783&gt;5,D784&lt;=5),C783+(5-D783)*(C784-C783)/(D784-D783),"")</f>
        <v/>
      </c>
      <c r="R784" s="5" t="str">
        <f>IF(AND(D783&gt;4,D784&lt;=4),C783+(4-D783)*(C784-C783)/(D784-D783),"")</f>
        <v/>
      </c>
      <c r="S784" s="5" t="str">
        <f>IF(AND(D783&gt;3,D784&lt;=3),C783+(3-D783)*(C784-C783)/(D784-D783),"")</f>
        <v/>
      </c>
    </row>
    <row r="785" spans="1:19" ht="20.100000000000001" customHeight="1">
      <c r="A785" t="s">
        <v>3</v>
      </c>
      <c r="B785">
        <v>440</v>
      </c>
      <c r="C785" s="5">
        <f>('Raw Data'!C440-'Raw Data'!$C$244)/60</f>
        <v>16.322916666666668</v>
      </c>
      <c r="D785" s="5">
        <f>'Raw Data'!J440</f>
        <v>3.53844</v>
      </c>
      <c r="E785" s="5">
        <f>$D$589-D785</f>
        <v>3.7238099999999998</v>
      </c>
      <c r="F785" s="8">
        <f>10^(-D785)</f>
        <v>2.8944096669168766E-4</v>
      </c>
      <c r="G785" s="5">
        <f>(D785-D784)/(C785-C784)</f>
        <v>0.12428229665081866</v>
      </c>
      <c r="H785" s="5">
        <f>$C$9+$C$10*EXP(-$C$11*C785)</f>
        <v>3.5042883312920958</v>
      </c>
      <c r="I785" s="5">
        <f>D785-H785</f>
        <v>3.4151668707904204E-2</v>
      </c>
      <c r="J785" s="5">
        <f t="shared" si="18"/>
        <v>1.1663364755344432E-3</v>
      </c>
      <c r="K785" s="5">
        <f>$C$17+$C$16*C785</f>
        <v>3.3113094308808115</v>
      </c>
      <c r="L785" s="5">
        <f>(D785-K785)^2</f>
        <v>5.1588295428406462E-2</v>
      </c>
      <c r="M785" s="5">
        <f>$C$40+$C$41*EXP(-$C$42*C785)</f>
        <v>0</v>
      </c>
      <c r="N785" s="5">
        <f>(D785-M785)^2</f>
        <v>12.520557633600001</v>
      </c>
      <c r="O785" s="5">
        <f>(C785+C784)/2</f>
        <v>16.281116666666701</v>
      </c>
      <c r="P785" s="5" t="str">
        <f>IF(AND(D784&gt;6,D785&lt;=6),C784+(6-D784)*(C785-C784)/(D785-D784),"")</f>
        <v/>
      </c>
      <c r="Q785" s="5" t="str">
        <f>IF(AND(D784&gt;5,D785&lt;=5),C784+(5-D784)*(C785-C784)/(D785-D784),"")</f>
        <v/>
      </c>
      <c r="R785" s="5" t="str">
        <f>IF(AND(D784&gt;4,D785&lt;=4),C784+(4-D784)*(C785-C784)/(D785-D784),"")</f>
        <v/>
      </c>
      <c r="S785" s="5" t="str">
        <f>IF(AND(D784&gt;3,D785&lt;=3),C784+(3-D784)*(C785-C784)/(D785-D784),"")</f>
        <v/>
      </c>
    </row>
    <row r="786" spans="1:19" ht="20.100000000000001" customHeight="1">
      <c r="A786" t="s">
        <v>3</v>
      </c>
      <c r="B786">
        <v>441</v>
      </c>
      <c r="C786" s="5">
        <f>('Raw Data'!C441-'Raw Data'!$C$244)/60</f>
        <v>16.405983333333399</v>
      </c>
      <c r="D786" s="5">
        <f>'Raw Data'!J441</f>
        <v>3.53152</v>
      </c>
      <c r="E786" s="5">
        <f>$D$589-D786</f>
        <v>3.7307299999999999</v>
      </c>
      <c r="F786" s="8">
        <f>10^(-D786)</f>
        <v>2.9408982572590446E-4</v>
      </c>
      <c r="G786" s="5">
        <f>(D786-D785)/(C786-C785)</f>
        <v>-8.3306581059325743E-2</v>
      </c>
      <c r="H786" s="5">
        <f>$C$9+$C$10*EXP(-$C$11*C786)</f>
        <v>3.5031140421557887</v>
      </c>
      <c r="I786" s="5">
        <f>D786-H786</f>
        <v>2.8405957844211294E-2</v>
      </c>
      <c r="J786" s="5">
        <f t="shared" si="18"/>
        <v>8.0689844104710911E-4</v>
      </c>
      <c r="K786" s="5">
        <f>$C$17+$C$16*C786</f>
        <v>3.2989067591906784</v>
      </c>
      <c r="L786" s="5">
        <f>(D786-K786)^2</f>
        <v>5.4108919799815421E-2</v>
      </c>
      <c r="M786" s="5">
        <f>$C$40+$C$41*EXP(-$C$42*C786)</f>
        <v>0</v>
      </c>
      <c r="N786" s="5">
        <f>(D786-M786)^2</f>
        <v>12.4716335104</v>
      </c>
      <c r="O786" s="5">
        <f>(C786+C785)/2</f>
        <v>16.364450000000033</v>
      </c>
      <c r="P786" s="5" t="str">
        <f>IF(AND(D785&gt;6,D786&lt;=6),C785+(6-D785)*(C786-C785)/(D786-D785),"")</f>
        <v/>
      </c>
      <c r="Q786" s="5" t="str">
        <f>IF(AND(D785&gt;5,D786&lt;=5),C785+(5-D785)*(C786-C785)/(D786-D785),"")</f>
        <v/>
      </c>
      <c r="R786" s="5" t="str">
        <f>IF(AND(D785&gt;4,D786&lt;=4),C785+(4-D785)*(C786-C785)/(D786-D785),"")</f>
        <v/>
      </c>
      <c r="S786" s="5" t="str">
        <f>IF(AND(D785&gt;3,D786&lt;=3),C785+(3-D785)*(C786-C785)/(D786-D785),"")</f>
        <v/>
      </c>
    </row>
    <row r="787" spans="1:19" ht="20.100000000000001" customHeight="1">
      <c r="A787" t="s">
        <v>3</v>
      </c>
      <c r="B787">
        <v>442</v>
      </c>
      <c r="C787" s="5">
        <f>('Raw Data'!C442-'Raw Data'!$C$244)/60</f>
        <v>16.489316666666735</v>
      </c>
      <c r="D787" s="5">
        <f>'Raw Data'!J442</f>
        <v>3.53382</v>
      </c>
      <c r="E787" s="5">
        <f>$D$589-D787</f>
        <v>3.7284299999999999</v>
      </c>
      <c r="F787" s="8">
        <f>10^(-D787)</f>
        <v>2.9253645887771499E-4</v>
      </c>
      <c r="G787" s="5">
        <f>(D787-D786)/(C787-C786)</f>
        <v>2.7599999999998841E-2</v>
      </c>
      <c r="H787" s="5">
        <f>$C$9+$C$10*EXP(-$C$11*C787)</f>
        <v>3.5019620488657486</v>
      </c>
      <c r="I787" s="5">
        <f>D787-H787</f>
        <v>3.1857951134251383E-2</v>
      </c>
      <c r="J787" s="5">
        <f t="shared" si="18"/>
        <v>1.0149290504723491E-3</v>
      </c>
      <c r="K787" s="5">
        <f>$C$17+$C$16*C787</f>
        <v>3.2864642715400727</v>
      </c>
      <c r="L787" s="5">
        <f>(D787-K787)^2</f>
        <v>6.1184856401941268E-2</v>
      </c>
      <c r="M787" s="5">
        <f>$C$40+$C$41*EXP(-$C$42*C787)</f>
        <v>0</v>
      </c>
      <c r="N787" s="5">
        <f>(D787-M787)^2</f>
        <v>12.4878837924</v>
      </c>
      <c r="O787" s="5">
        <f>(C787+C786)/2</f>
        <v>16.447650000000067</v>
      </c>
      <c r="P787" s="5" t="str">
        <f>IF(AND(D786&gt;6,D787&lt;=6),C786+(6-D786)*(C787-C786)/(D787-D786),"")</f>
        <v/>
      </c>
      <c r="Q787" s="5" t="str">
        <f>IF(AND(D786&gt;5,D787&lt;=5),C786+(5-D786)*(C787-C786)/(D787-D786),"")</f>
        <v/>
      </c>
      <c r="R787" s="5" t="str">
        <f>IF(AND(D786&gt;4,D787&lt;=4),C786+(4-D786)*(C787-C786)/(D787-D786),"")</f>
        <v/>
      </c>
      <c r="S787" s="5" t="str">
        <f>IF(AND(D786&gt;3,D787&lt;=3),C786+(3-D786)*(C787-C786)/(D787-D786),"")</f>
        <v/>
      </c>
    </row>
    <row r="788" spans="1:19" ht="20.100000000000001" customHeight="1">
      <c r="A788" t="s">
        <v>3</v>
      </c>
      <c r="B788">
        <v>443</v>
      </c>
      <c r="C788" s="5">
        <f>('Raw Data'!C443-'Raw Data'!$C$244)/60</f>
        <v>16.572650000000067</v>
      </c>
      <c r="D788" s="5">
        <f>'Raw Data'!J443</f>
        <v>3.5222899999999999</v>
      </c>
      <c r="E788" s="5">
        <f>$D$589-D788</f>
        <v>3.73996</v>
      </c>
      <c r="F788" s="8">
        <f>10^(-D788)</f>
        <v>3.0040696661881854E-4</v>
      </c>
      <c r="G788" s="5">
        <f>(D788-D787)/(C788-C787)</f>
        <v>-0.13836000000000245</v>
      </c>
      <c r="H788" s="5">
        <f>$C$9+$C$10*EXP(-$C$11*C788)</f>
        <v>3.5008355850269255</v>
      </c>
      <c r="I788" s="5">
        <f>D788-H788</f>
        <v>2.1454414973074432E-2</v>
      </c>
      <c r="J788" s="5">
        <f t="shared" si="18"/>
        <v>4.6029192183688036E-4</v>
      </c>
      <c r="K788" s="5">
        <f>$C$17+$C$16*C788</f>
        <v>3.2740217838894674</v>
      </c>
      <c r="L788" s="5">
        <f>(D788-K788)^2</f>
        <v>6.1637107130706074E-2</v>
      </c>
      <c r="M788" s="5">
        <f>$C$40+$C$41*EXP(-$C$42*C788)</f>
        <v>0</v>
      </c>
      <c r="N788" s="5">
        <f>(D788-M788)^2</f>
        <v>12.4065268441</v>
      </c>
      <c r="O788" s="5">
        <f>(C788+C787)/2</f>
        <v>16.530983333333403</v>
      </c>
      <c r="P788" s="5" t="str">
        <f>IF(AND(D787&gt;6,D788&lt;=6),C787+(6-D787)*(C788-C787)/(D788-D787),"")</f>
        <v/>
      </c>
      <c r="Q788" s="5" t="str">
        <f>IF(AND(D787&gt;5,D788&lt;=5),C787+(5-D787)*(C788-C787)/(D788-D787),"")</f>
        <v/>
      </c>
      <c r="R788" s="5" t="str">
        <f>IF(AND(D787&gt;4,D788&lt;=4),C787+(4-D787)*(C788-C787)/(D788-D787),"")</f>
        <v/>
      </c>
      <c r="S788" s="5" t="str">
        <f>IF(AND(D787&gt;3,D788&lt;=3),C787+(3-D787)*(C788-C787)/(D788-D787),"")</f>
        <v/>
      </c>
    </row>
    <row r="789" spans="1:19" ht="20.100000000000001" customHeight="1">
      <c r="A789" t="s">
        <v>3</v>
      </c>
      <c r="B789">
        <v>444</v>
      </c>
      <c r="C789" s="5">
        <f>('Raw Data'!C444-'Raw Data'!$C$244)/60</f>
        <v>16.655983333333399</v>
      </c>
      <c r="D789" s="5">
        <f>'Raw Data'!J444</f>
        <v>3.5165199999999999</v>
      </c>
      <c r="E789" s="5">
        <f>$D$589-D789</f>
        <v>3.74573</v>
      </c>
      <c r="F789" s="8">
        <f>10^(-D789)</f>
        <v>3.0442477940026332E-4</v>
      </c>
      <c r="G789" s="5">
        <f>(D789-D788)/(C789-C788)</f>
        <v>-6.924000000000162E-2</v>
      </c>
      <c r="H789" s="5">
        <f>$C$9+$C$10*EXP(-$C$11*C789)</f>
        <v>3.4997340848783156</v>
      </c>
      <c r="I789" s="5">
        <f>D789-H789</f>
        <v>1.6785915121684258E-2</v>
      </c>
      <c r="J789" s="5">
        <f t="shared" si="18"/>
        <v>2.8176694647238823E-4</v>
      </c>
      <c r="K789" s="5">
        <f>$C$17+$C$16*C789</f>
        <v>3.2615792962388626</v>
      </c>
      <c r="L789" s="5">
        <f>(D789-K789)^2</f>
        <v>6.4994762434223974E-2</v>
      </c>
      <c r="M789" s="5">
        <f>$C$40+$C$41*EXP(-$C$42*C789)</f>
        <v>0</v>
      </c>
      <c r="N789" s="5">
        <f>(D789-M789)^2</f>
        <v>12.365912910399999</v>
      </c>
      <c r="O789" s="5">
        <f>(C789+C788)/2</f>
        <v>16.614316666666731</v>
      </c>
      <c r="P789" s="5" t="str">
        <f>IF(AND(D788&gt;6,D789&lt;=6),C788+(6-D788)*(C789-C788)/(D789-D788),"")</f>
        <v/>
      </c>
      <c r="Q789" s="5" t="str">
        <f>IF(AND(D788&gt;5,D789&lt;=5),C788+(5-D788)*(C789-C788)/(D789-D788),"")</f>
        <v/>
      </c>
      <c r="R789" s="5" t="str">
        <f>IF(AND(D788&gt;4,D789&lt;=4),C788+(4-D788)*(C789-C788)/(D789-D788),"")</f>
        <v/>
      </c>
      <c r="S789" s="5" t="str">
        <f>IF(AND(D788&gt;3,D789&lt;=3),C788+(3-D788)*(C789-C788)/(D789-D788),"")</f>
        <v/>
      </c>
    </row>
    <row r="790" spans="1:19" ht="20.100000000000001" customHeight="1">
      <c r="A790" t="s">
        <v>3</v>
      </c>
      <c r="B790">
        <v>445</v>
      </c>
      <c r="C790" s="5">
        <f>('Raw Data'!C445-'Raw Data'!$C$244)/60</f>
        <v>16.739066666666741</v>
      </c>
      <c r="D790" s="5">
        <f>'Raw Data'!J445</f>
        <v>3.5257499999999999</v>
      </c>
      <c r="E790" s="5">
        <f>$D$589-D790</f>
        <v>3.7364999999999999</v>
      </c>
      <c r="F790" s="8">
        <f>10^(-D790)</f>
        <v>2.9802314948997586E-4</v>
      </c>
      <c r="G790" s="5">
        <f>(D790-D789)/(C790-C789)</f>
        <v>0.11109327983950834</v>
      </c>
      <c r="H790" s="5">
        <f>$C$9+$C$10*EXP(-$C$11*C790)</f>
        <v>3.4986601905015502</v>
      </c>
      <c r="I790" s="5">
        <f>D790-H790</f>
        <v>2.7089809498449746E-2</v>
      </c>
      <c r="J790" s="5">
        <f t="shared" si="18"/>
        <v>7.3385777866229814E-4</v>
      </c>
      <c r="K790" s="5">
        <f>$C$17+$C$16*C790</f>
        <v>3.2491741360512076</v>
      </c>
      <c r="L790" s="5">
        <f>(D790-K790)^2</f>
        <v>7.6494208519020862E-2</v>
      </c>
      <c r="M790" s="5">
        <f>$C$40+$C$41*EXP(-$C$42*C790)</f>
        <v>0</v>
      </c>
      <c r="N790" s="5">
        <f>(D790-M790)^2</f>
        <v>12.4309130625</v>
      </c>
      <c r="O790" s="5">
        <f>(C790+C789)/2</f>
        <v>16.69752500000007</v>
      </c>
      <c r="P790" s="5" t="str">
        <f>IF(AND(D789&gt;6,D790&lt;=6),C789+(6-D789)*(C790-C789)/(D790-D789),"")</f>
        <v/>
      </c>
      <c r="Q790" s="5" t="str">
        <f>IF(AND(D789&gt;5,D790&lt;=5),C789+(5-D789)*(C790-C789)/(D790-D789),"")</f>
        <v/>
      </c>
      <c r="R790" s="5" t="str">
        <f>IF(AND(D789&gt;4,D790&lt;=4),C789+(4-D789)*(C790-C789)/(D790-D789),"")</f>
        <v/>
      </c>
      <c r="S790" s="5" t="str">
        <f>IF(AND(D789&gt;3,D790&lt;=3),C789+(3-D789)*(C790-C789)/(D790-D789),"")</f>
        <v/>
      </c>
    </row>
    <row r="791" spans="1:19" ht="20.100000000000001" customHeight="1">
      <c r="A791" t="s">
        <v>3</v>
      </c>
      <c r="B791">
        <v>446</v>
      </c>
      <c r="C791" s="5">
        <f>('Raw Data'!C446-'Raw Data'!$C$244)/60</f>
        <v>16.822650000000074</v>
      </c>
      <c r="D791" s="5">
        <f>'Raw Data'!J446</f>
        <v>3.5165199999999999</v>
      </c>
      <c r="E791" s="5">
        <f>$D$589-D791</f>
        <v>3.74573</v>
      </c>
      <c r="F791" s="8">
        <f>10^(-D791)</f>
        <v>3.0442477940026332E-4</v>
      </c>
      <c r="G791" s="5">
        <f>(D791-D790)/(C791-C790)</f>
        <v>-0.11042871385842556</v>
      </c>
      <c r="H791" s="5">
        <f>$C$9+$C$10*EXP(-$C$11*C791)</f>
        <v>3.4976037750193325</v>
      </c>
      <c r="I791" s="5">
        <f>D791-H791</f>
        <v>1.8916224980667362E-2</v>
      </c>
      <c r="J791" s="5">
        <f t="shared" si="18"/>
        <v>3.5782356751922395E-4</v>
      </c>
      <c r="K791" s="5">
        <f>$C$17+$C$16*C791</f>
        <v>3.2366943209376506</v>
      </c>
      <c r="L791" s="5">
        <f>(D791-K791)^2</f>
        <v>7.8302410662704866E-2</v>
      </c>
      <c r="M791" s="5">
        <f>$C$40+$C$41*EXP(-$C$42*C791)</f>
        <v>0</v>
      </c>
      <c r="N791" s="5">
        <f>(D791-M791)^2</f>
        <v>12.365912910399999</v>
      </c>
      <c r="O791" s="5">
        <f>(C791+C790)/2</f>
        <v>16.780858333333406</v>
      </c>
      <c r="P791" s="5" t="str">
        <f>IF(AND(D790&gt;6,D791&lt;=6),C790+(6-D790)*(C791-C790)/(D791-D790),"")</f>
        <v/>
      </c>
      <c r="Q791" s="5" t="str">
        <f>IF(AND(D790&gt;5,D791&lt;=5),C790+(5-D790)*(C791-C790)/(D791-D790),"")</f>
        <v/>
      </c>
      <c r="R791" s="5" t="str">
        <f>IF(AND(D790&gt;4,D791&lt;=4),C790+(4-D790)*(C791-C790)/(D791-D790),"")</f>
        <v/>
      </c>
      <c r="S791" s="5" t="str">
        <f>IF(AND(D790&gt;3,D791&lt;=3),C790+(3-D790)*(C791-C790)/(D791-D790),"")</f>
        <v/>
      </c>
    </row>
    <row r="792" spans="1:19" ht="20.100000000000001" customHeight="1">
      <c r="A792" t="s">
        <v>3</v>
      </c>
      <c r="B792">
        <v>447</v>
      </c>
      <c r="C792" s="5">
        <f>('Raw Data'!C447-'Raw Data'!$C$244)/60</f>
        <v>16.905733333333405</v>
      </c>
      <c r="D792" s="5">
        <f>'Raw Data'!J447</f>
        <v>3.5188299999999999</v>
      </c>
      <c r="E792" s="5">
        <f>$D$589-D792</f>
        <v>3.74342</v>
      </c>
      <c r="F792" s="8">
        <f>10^(-D792)</f>
        <v>3.0280985134060985E-4</v>
      </c>
      <c r="G792" s="5">
        <f>(D792-D791)/(C792-C791)</f>
        <v>2.7803410230693285E-2</v>
      </c>
      <c r="H792" s="5">
        <f>$C$9+$C$10*EXP(-$C$11*C792)</f>
        <v>3.4965769506221545</v>
      </c>
      <c r="I792" s="5">
        <f>D792-H792</f>
        <v>2.2253049377845446E-2</v>
      </c>
      <c r="J792" s="5">
        <f t="shared" si="18"/>
        <v>4.9519820661282762E-4</v>
      </c>
      <c r="K792" s="5">
        <f>$C$17+$C$16*C792</f>
        <v>3.2242891607499975</v>
      </c>
      <c r="L792" s="5">
        <f>(D792-K792)^2</f>
        <v>8.6754305986095764E-2</v>
      </c>
      <c r="M792" s="5">
        <f>$C$40+$C$41*EXP(-$C$42*C792)</f>
        <v>0</v>
      </c>
      <c r="N792" s="5">
        <f>(D792-M792)^2</f>
        <v>12.382164568899999</v>
      </c>
      <c r="O792" s="5">
        <f>(C792+C791)/2</f>
        <v>16.864191666666741</v>
      </c>
      <c r="P792" s="5" t="str">
        <f>IF(AND(D791&gt;6,D792&lt;=6),C791+(6-D791)*(C792-C791)/(D792-D791),"")</f>
        <v/>
      </c>
      <c r="Q792" s="5" t="str">
        <f>IF(AND(D791&gt;5,D792&lt;=5),C791+(5-D791)*(C792-C791)/(D792-D791),"")</f>
        <v/>
      </c>
      <c r="R792" s="5" t="str">
        <f>IF(AND(D791&gt;4,D792&lt;=4),C791+(4-D791)*(C792-C791)/(D792-D791),"")</f>
        <v/>
      </c>
      <c r="S792" s="5" t="str">
        <f>IF(AND(D791&gt;3,D792&lt;=3),C791+(3-D791)*(C792-C791)/(D792-D791),"")</f>
        <v/>
      </c>
    </row>
    <row r="793" spans="1:19" ht="20.100000000000001" customHeight="1">
      <c r="A793" t="s">
        <v>3</v>
      </c>
      <c r="B793">
        <v>448</v>
      </c>
      <c r="C793" s="5">
        <f>('Raw Data'!C448-'Raw Data'!$C$244)/60</f>
        <v>16.989066666666741</v>
      </c>
      <c r="D793" s="5">
        <f>'Raw Data'!J448</f>
        <v>3.5188299999999999</v>
      </c>
      <c r="E793" s="5">
        <f>$D$589-D793</f>
        <v>3.74342</v>
      </c>
      <c r="F793" s="8">
        <f>10^(-D793)</f>
        <v>3.0280985134060985E-4</v>
      </c>
      <c r="G793" s="5">
        <f>(D793-D792)/(C793-C792)</f>
        <v>0</v>
      </c>
      <c r="H793" s="5">
        <f>$C$9+$C$10*EXP(-$C$11*C793)</f>
        <v>3.4955698265434636</v>
      </c>
      <c r="I793" s="5">
        <f>D793-H793</f>
        <v>2.3260173456536304E-2</v>
      </c>
      <c r="J793" s="5">
        <f t="shared" si="18"/>
        <v>5.41035669228156E-4</v>
      </c>
      <c r="K793" s="5">
        <f>$C$17+$C$16*C793</f>
        <v>3.2118466730993922</v>
      </c>
      <c r="L793" s="5">
        <f>(D793-K793)^2</f>
        <v>9.4238762994965378E-2</v>
      </c>
      <c r="M793" s="5">
        <f>$C$40+$C$41*EXP(-$C$42*C793)</f>
        <v>0</v>
      </c>
      <c r="N793" s="5">
        <f>(D793-M793)^2</f>
        <v>12.382164568899999</v>
      </c>
      <c r="O793" s="5">
        <f>(C793+C792)/2</f>
        <v>16.947400000000073</v>
      </c>
      <c r="P793" s="5" t="str">
        <f>IF(AND(D792&gt;6,D793&lt;=6),C792+(6-D792)*(C793-C792)/(D793-D792),"")</f>
        <v/>
      </c>
      <c r="Q793" s="5" t="str">
        <f>IF(AND(D792&gt;5,D793&lt;=5),C792+(5-D792)*(C793-C792)/(D793-D792),"")</f>
        <v/>
      </c>
      <c r="R793" s="5" t="str">
        <f>IF(AND(D792&gt;4,D793&lt;=4),C792+(4-D792)*(C793-C792)/(D793-D792),"")</f>
        <v/>
      </c>
      <c r="S793" s="5" t="str">
        <f>IF(AND(D792&gt;3,D793&lt;=3),C792+(3-D792)*(C793-C792)/(D793-D792),"")</f>
        <v/>
      </c>
    </row>
    <row r="794" spans="1:19" ht="20.100000000000001" customHeight="1">
      <c r="A794" t="s">
        <v>3</v>
      </c>
      <c r="B794">
        <v>449</v>
      </c>
      <c r="C794" s="5">
        <f>('Raw Data'!C449-'Raw Data'!$C$244)/60</f>
        <v>17.072400000000073</v>
      </c>
      <c r="D794" s="5">
        <f>'Raw Data'!J449</f>
        <v>3.5165199999999999</v>
      </c>
      <c r="E794" s="5">
        <f>$D$589-D794</f>
        <v>3.74573</v>
      </c>
      <c r="F794" s="8">
        <f>10^(-D794)</f>
        <v>3.0442477940026332E-4</v>
      </c>
      <c r="G794" s="5">
        <f>(D794-D793)/(C794-C793)</f>
        <v>-2.7720000000000806E-2</v>
      </c>
      <c r="H794" s="5">
        <f>$C$9+$C$10*EXP(-$C$11*C794)</f>
        <v>3.4945850214533101</v>
      </c>
      <c r="I794" s="5">
        <f>D794-H794</f>
        <v>2.1934978546689798E-2</v>
      </c>
      <c r="J794" s="5">
        <f t="shared" si="18"/>
        <v>4.8114328384374171E-4</v>
      </c>
      <c r="K794" s="5">
        <f>$C$17+$C$16*C794</f>
        <v>3.1994041854487869</v>
      </c>
      <c r="L794" s="5">
        <f>(D794-K794)^2</f>
        <v>0.10056243983847929</v>
      </c>
      <c r="M794" s="5">
        <f>$C$40+$C$41*EXP(-$C$42*C794)</f>
        <v>0</v>
      </c>
      <c r="N794" s="5">
        <f>(D794-M794)^2</f>
        <v>12.365912910399999</v>
      </c>
      <c r="O794" s="5">
        <f>(C794+C793)/2</f>
        <v>17.030733333333409</v>
      </c>
      <c r="P794" s="5" t="str">
        <f>IF(AND(D793&gt;6,D794&lt;=6),C793+(6-D793)*(C794-C793)/(D794-D793),"")</f>
        <v/>
      </c>
      <c r="Q794" s="5" t="str">
        <f>IF(AND(D793&gt;5,D794&lt;=5),C793+(5-D793)*(C794-C793)/(D794-D793),"")</f>
        <v/>
      </c>
      <c r="R794" s="5" t="str">
        <f>IF(AND(D793&gt;4,D794&lt;=4),C793+(4-D793)*(C794-C793)/(D794-D793),"")</f>
        <v/>
      </c>
      <c r="S794" s="5" t="str">
        <f>IF(AND(D793&gt;3,D794&lt;=3),C793+(3-D793)*(C794-C793)/(D794-D793),"")</f>
        <v/>
      </c>
    </row>
    <row r="795" spans="1:19" ht="20.100000000000001" customHeight="1">
      <c r="A795" t="s">
        <v>3</v>
      </c>
      <c r="B795">
        <v>450</v>
      </c>
      <c r="C795" s="5">
        <f>('Raw Data'!C450-'Raw Data'!$C$244)/60</f>
        <v>17.155733333333405</v>
      </c>
      <c r="D795" s="5">
        <f>'Raw Data'!J450</f>
        <v>3.5188299999999999</v>
      </c>
      <c r="E795" s="5">
        <f>$D$589-D795</f>
        <v>3.74342</v>
      </c>
      <c r="F795" s="8">
        <f>10^(-D795)</f>
        <v>3.0280985134060985E-4</v>
      </c>
      <c r="G795" s="5">
        <f>(D795-D794)/(C795-C794)</f>
        <v>2.7720000000000806E-2</v>
      </c>
      <c r="H795" s="5">
        <f>$C$9+$C$10*EXP(-$C$11*C795)</f>
        <v>3.4936220407381113</v>
      </c>
      <c r="I795" s="5">
        <f>D795-H795</f>
        <v>2.5207959261888568E-2</v>
      </c>
      <c r="J795" s="5">
        <f t="shared" ref="J795:J858" si="19">I795^2</f>
        <v>6.3544121014903364E-4</v>
      </c>
      <c r="K795" s="5">
        <f>$C$17+$C$16*C795</f>
        <v>3.1869616977981816</v>
      </c>
      <c r="L795" s="5">
        <f>(D795-K795)^2</f>
        <v>0.11013657000631739</v>
      </c>
      <c r="M795" s="5">
        <f>$C$40+$C$41*EXP(-$C$42*C795)</f>
        <v>0</v>
      </c>
      <c r="N795" s="5">
        <f>(D795-M795)^2</f>
        <v>12.382164568899999</v>
      </c>
      <c r="O795" s="5">
        <f>(C795+C794)/2</f>
        <v>17.114066666666737</v>
      </c>
      <c r="P795" s="5" t="str">
        <f>IF(AND(D794&gt;6,D795&lt;=6),C794+(6-D794)*(C795-C794)/(D795-D794),"")</f>
        <v/>
      </c>
      <c r="Q795" s="5" t="str">
        <f>IF(AND(D794&gt;5,D795&lt;=5),C794+(5-D794)*(C795-C794)/(D795-D794),"")</f>
        <v/>
      </c>
      <c r="R795" s="5" t="str">
        <f>IF(AND(D794&gt;4,D795&lt;=4),C794+(4-D794)*(C795-C794)/(D795-D794),"")</f>
        <v/>
      </c>
      <c r="S795" s="5" t="str">
        <f>IF(AND(D794&gt;3,D795&lt;=3),C794+(3-D794)*(C795-C794)/(D795-D794),"")</f>
        <v/>
      </c>
    </row>
    <row r="796" spans="1:19" ht="20.100000000000001" customHeight="1">
      <c r="A796" t="s">
        <v>3</v>
      </c>
      <c r="B796">
        <v>451</v>
      </c>
      <c r="C796" s="5">
        <f>('Raw Data'!C451-'Raw Data'!$C$244)/60</f>
        <v>17.238800000000023</v>
      </c>
      <c r="D796" s="5">
        <f>'Raw Data'!J451</f>
        <v>3.5165199999999999</v>
      </c>
      <c r="E796" s="5">
        <f>$D$589-D796</f>
        <v>3.74573</v>
      </c>
      <c r="F796" s="8">
        <f>10^(-D796)</f>
        <v>3.0442477940026332E-4</v>
      </c>
      <c r="G796" s="5">
        <f>(D796-D795)/(C796-C795)</f>
        <v>-2.78089887640618E-2</v>
      </c>
      <c r="H796" s="5">
        <f>$C$9+$C$10*EXP(-$C$11*C796)</f>
        <v>3.4926833804624158</v>
      </c>
      <c r="I796" s="5">
        <f>D796-H796</f>
        <v>2.3836619537584092E-2</v>
      </c>
      <c r="J796" s="5">
        <f t="shared" si="19"/>
        <v>5.6818443097953559E-4</v>
      </c>
      <c r="K796" s="5">
        <f>$C$17+$C$16*C796</f>
        <v>3.1745590261080658</v>
      </c>
      <c r="L796" s="5">
        <f>(D796-K796)^2</f>
        <v>0.11693730766511999</v>
      </c>
      <c r="M796" s="5">
        <f>$C$40+$C$41*EXP(-$C$42*C796)</f>
        <v>0</v>
      </c>
      <c r="N796" s="5">
        <f>(D796-M796)^2</f>
        <v>12.365912910399999</v>
      </c>
      <c r="O796" s="5">
        <f>(C796+C795)/2</f>
        <v>17.197266666666714</v>
      </c>
      <c r="P796" s="5" t="str">
        <f>IF(AND(D795&gt;6,D796&lt;=6),C795+(6-D795)*(C796-C795)/(D796-D795),"")</f>
        <v/>
      </c>
      <c r="Q796" s="5" t="str">
        <f>IF(AND(D795&gt;5,D796&lt;=5),C795+(5-D795)*(C796-C795)/(D796-D795),"")</f>
        <v/>
      </c>
      <c r="R796" s="5" t="str">
        <f>IF(AND(D795&gt;4,D796&lt;=4),C795+(4-D795)*(C796-C795)/(D796-D795),"")</f>
        <v/>
      </c>
      <c r="S796" s="5" t="str">
        <f>IF(AND(D795&gt;3,D796&lt;=3),C795+(3-D795)*(C796-C795)/(D796-D795),"")</f>
        <v/>
      </c>
    </row>
    <row r="797" spans="1:19" ht="20.100000000000001" customHeight="1">
      <c r="A797" t="s">
        <v>3</v>
      </c>
      <c r="B797">
        <v>452</v>
      </c>
      <c r="C797" s="5">
        <f>('Raw Data'!C452-'Raw Data'!$C$244)/60</f>
        <v>17.322133333333355</v>
      </c>
      <c r="D797" s="5">
        <f>'Raw Data'!J452</f>
        <v>3.5038299999999998</v>
      </c>
      <c r="E797" s="5">
        <f>$D$589-D797</f>
        <v>3.7584200000000001</v>
      </c>
      <c r="F797" s="8">
        <f>10^(-D797)</f>
        <v>3.1345124560856882E-4</v>
      </c>
      <c r="G797" s="5">
        <f>(D797-D796)/(C797-C796)</f>
        <v>-0.15228000000000325</v>
      </c>
      <c r="H797" s="5">
        <f>$C$9+$C$10*EXP(-$C$11*C797)</f>
        <v>3.4917625422243725</v>
      </c>
      <c r="I797" s="5">
        <f>D797-H797</f>
        <v>1.2067457775627233E-2</v>
      </c>
      <c r="J797" s="5">
        <f t="shared" si="19"/>
        <v>1.4562353716654616E-4</v>
      </c>
      <c r="K797" s="5">
        <f>$C$17+$C$16*C797</f>
        <v>3.1621165384574605</v>
      </c>
      <c r="L797" s="5">
        <f>(D797-K797)^2</f>
        <v>0.11676808979938444</v>
      </c>
      <c r="M797" s="5">
        <f>$C$40+$C$41*EXP(-$C$42*C797)</f>
        <v>0</v>
      </c>
      <c r="N797" s="5">
        <f>(D797-M797)^2</f>
        <v>12.276824668899998</v>
      </c>
      <c r="O797" s="5">
        <f>(C797+C796)/2</f>
        <v>17.28046666666669</v>
      </c>
      <c r="P797" s="5" t="str">
        <f>IF(AND(D796&gt;6,D797&lt;=6),C796+(6-D796)*(C797-C796)/(D797-D796),"")</f>
        <v/>
      </c>
      <c r="Q797" s="5" t="str">
        <f>IF(AND(D796&gt;5,D797&lt;=5),C796+(5-D796)*(C797-C796)/(D797-D796),"")</f>
        <v/>
      </c>
      <c r="R797" s="5" t="str">
        <f>IF(AND(D796&gt;4,D797&lt;=4),C796+(4-D796)*(C797-C796)/(D797-D796),"")</f>
        <v/>
      </c>
      <c r="S797" s="5" t="str">
        <f>IF(AND(D796&gt;3,D797&lt;=3),C796+(3-D796)*(C797-C796)/(D797-D796),"")</f>
        <v/>
      </c>
    </row>
    <row r="798" spans="1:19" ht="20.100000000000001" customHeight="1">
      <c r="A798" t="s">
        <v>3</v>
      </c>
      <c r="B798">
        <v>453</v>
      </c>
      <c r="C798" s="5">
        <f>('Raw Data'!C453-'Raw Data'!$C$244)/60</f>
        <v>17.40546666666669</v>
      </c>
      <c r="D798" s="5">
        <f>'Raw Data'!J453</f>
        <v>3.5095999999999998</v>
      </c>
      <c r="E798" s="5">
        <f>$D$589-D798</f>
        <v>3.75265</v>
      </c>
      <c r="F798" s="8">
        <f>10^(-D798)</f>
        <v>3.0931430109489624E-4</v>
      </c>
      <c r="G798" s="5">
        <f>(D798-D797)/(C798-C797)</f>
        <v>6.9239999999998664E-2</v>
      </c>
      <c r="H798" s="5">
        <f>$C$9+$C$10*EXP(-$C$11*C798)</f>
        <v>3.4908621107847719</v>
      </c>
      <c r="I798" s="5">
        <f>D798-H798</f>
        <v>1.8737889215227899E-2</v>
      </c>
      <c r="J798" s="5">
        <f t="shared" si="19"/>
        <v>3.5110849224215398E-4</v>
      </c>
      <c r="K798" s="5">
        <f>$C$17+$C$16*C798</f>
        <v>3.1496740508068553</v>
      </c>
      <c r="L798" s="5">
        <f>(D798-K798)^2</f>
        <v>0.12954668890258608</v>
      </c>
      <c r="M798" s="5">
        <f>$C$40+$C$41*EXP(-$C$42*C798)</f>
        <v>0</v>
      </c>
      <c r="N798" s="5">
        <f>(D798-M798)^2</f>
        <v>12.317292159999999</v>
      </c>
      <c r="O798" s="5">
        <f>(C798+C797)/2</f>
        <v>17.363800000000023</v>
      </c>
      <c r="P798" s="5" t="str">
        <f>IF(AND(D797&gt;6,D798&lt;=6),C797+(6-D797)*(C798-C797)/(D798-D797),"")</f>
        <v/>
      </c>
      <c r="Q798" s="5" t="str">
        <f>IF(AND(D797&gt;5,D798&lt;=5),C797+(5-D797)*(C798-C797)/(D798-D797),"")</f>
        <v/>
      </c>
      <c r="R798" s="5" t="str">
        <f>IF(AND(D797&gt;4,D798&lt;=4),C797+(4-D797)*(C798-C797)/(D798-D797),"")</f>
        <v/>
      </c>
      <c r="S798" s="5" t="str">
        <f>IF(AND(D797&gt;3,D798&lt;=3),C797+(3-D797)*(C798-C797)/(D798-D797),"")</f>
        <v/>
      </c>
    </row>
    <row r="799" spans="1:19" ht="20.100000000000001" customHeight="1">
      <c r="A799" t="s">
        <v>3</v>
      </c>
      <c r="B799">
        <v>454</v>
      </c>
      <c r="C799" s="5">
        <f>('Raw Data'!C454-'Raw Data'!$C$244)/60</f>
        <v>17.488533333333422</v>
      </c>
      <c r="D799" s="5">
        <f>'Raw Data'!J454</f>
        <v>3.5084399999999998</v>
      </c>
      <c r="E799" s="5">
        <f>$D$589-D799</f>
        <v>3.7538100000000001</v>
      </c>
      <c r="F799" s="8">
        <f>10^(-D799)</f>
        <v>3.1014158353677825E-4</v>
      </c>
      <c r="G799" s="5">
        <f>(D799-D798)/(C799-C798)</f>
        <v>-1.3964686998384608E-2</v>
      </c>
      <c r="H799" s="5">
        <f>$C$9+$C$10*EXP(-$C$11*C799)</f>
        <v>3.4899844200792338</v>
      </c>
      <c r="I799" s="5">
        <f>D799-H799</f>
        <v>1.8455579920765963E-2</v>
      </c>
      <c r="J799" s="5">
        <f t="shared" si="19"/>
        <v>3.4060843021177978E-4</v>
      </c>
      <c r="K799" s="5">
        <f>$C$17+$C$16*C799</f>
        <v>3.1372713791167222</v>
      </c>
      <c r="L799" s="5">
        <f>(D799-K799)^2</f>
        <v>0.13776614512839427</v>
      </c>
      <c r="M799" s="5">
        <f>$C$40+$C$41*EXP(-$C$42*C799)</f>
        <v>0</v>
      </c>
      <c r="N799" s="5">
        <f>(D799-M799)^2</f>
        <v>12.309151233599998</v>
      </c>
      <c r="O799" s="5">
        <f>(C799+C798)/2</f>
        <v>17.447000000000056</v>
      </c>
      <c r="P799" s="5" t="str">
        <f>IF(AND(D798&gt;6,D799&lt;=6),C798+(6-D798)*(C799-C798)/(D799-D798),"")</f>
        <v/>
      </c>
      <c r="Q799" s="5" t="str">
        <f>IF(AND(D798&gt;5,D799&lt;=5),C798+(5-D798)*(C799-C798)/(D799-D798),"")</f>
        <v/>
      </c>
      <c r="R799" s="5" t="str">
        <f>IF(AND(D798&gt;4,D799&lt;=4),C798+(4-D798)*(C799-C798)/(D799-D798),"")</f>
        <v/>
      </c>
      <c r="S799" s="5" t="str">
        <f>IF(AND(D798&gt;3,D799&lt;=3),C798+(3-D798)*(C799-C798)/(D799-D798),"")</f>
        <v/>
      </c>
    </row>
    <row r="800" spans="1:19" ht="20.100000000000001" customHeight="1">
      <c r="A800" t="s">
        <v>3</v>
      </c>
      <c r="B800">
        <v>455</v>
      </c>
      <c r="C800" s="5">
        <f>('Raw Data'!C455-'Raw Data'!$C$244)/60</f>
        <v>17.572133333333355</v>
      </c>
      <c r="D800" s="5">
        <f>'Raw Data'!J455</f>
        <v>3.4992100000000002</v>
      </c>
      <c r="E800" s="5">
        <f>$D$589-D800</f>
        <v>3.7630399999999997</v>
      </c>
      <c r="F800" s="8">
        <f>10^(-D800)</f>
        <v>3.1680352117816854E-4</v>
      </c>
      <c r="G800" s="5">
        <f>(D800-D799)/(C800-C799)</f>
        <v>-0.11040669856467725</v>
      </c>
      <c r="H800" s="5">
        <f>$C$9+$C$10*EXP(-$C$11*C800)</f>
        <v>3.4891206693736732</v>
      </c>
      <c r="I800" s="5">
        <f>D800-H800</f>
        <v>1.0089330626326998E-2</v>
      </c>
      <c r="J800" s="5">
        <f t="shared" si="19"/>
        <v>1.0179459248733993E-4</v>
      </c>
      <c r="K800" s="5">
        <f>$C$17+$C$16*C800</f>
        <v>3.1247890755056451</v>
      </c>
      <c r="L800" s="5">
        <f>(D800-K800)^2</f>
        <v>0.14019102869920752</v>
      </c>
      <c r="M800" s="5">
        <f>$C$40+$C$41*EXP(-$C$42*C800)</f>
        <v>0</v>
      </c>
      <c r="N800" s="5">
        <f>(D800-M800)^2</f>
        <v>12.244470624100002</v>
      </c>
      <c r="O800" s="5">
        <f>(C800+C799)/2</f>
        <v>17.530333333333388</v>
      </c>
      <c r="P800" s="5" t="str">
        <f>IF(AND(D799&gt;6,D800&lt;=6),C799+(6-D799)*(C800-C799)/(D800-D799),"")</f>
        <v/>
      </c>
      <c r="Q800" s="5" t="str">
        <f>IF(AND(D799&gt;5,D800&lt;=5),C799+(5-D799)*(C800-C799)/(D800-D799),"")</f>
        <v/>
      </c>
      <c r="R800" s="5" t="str">
        <f>IF(AND(D799&gt;4,D800&lt;=4),C799+(4-D799)*(C800-C799)/(D800-D799),"")</f>
        <v/>
      </c>
      <c r="S800" s="5" t="str">
        <f>IF(AND(D799&gt;3,D800&lt;=3),C799+(3-D799)*(C800-C799)/(D800-D799),"")</f>
        <v/>
      </c>
    </row>
    <row r="801" spans="1:19" ht="20.100000000000001" customHeight="1">
      <c r="A801" t="s">
        <v>3</v>
      </c>
      <c r="B801">
        <v>456</v>
      </c>
      <c r="C801" s="5">
        <f>('Raw Data'!C456-'Raw Data'!$C$244)/60</f>
        <v>17.655200000000089</v>
      </c>
      <c r="D801" s="5">
        <f>'Raw Data'!J456</f>
        <v>3.5038299999999998</v>
      </c>
      <c r="E801" s="5">
        <f>$D$589-D801</f>
        <v>3.7584200000000001</v>
      </c>
      <c r="F801" s="8">
        <f>10^(-D801)</f>
        <v>3.1345124560856882E-4</v>
      </c>
      <c r="G801" s="5">
        <f>(D801-D800)/(C801-C800)</f>
        <v>5.5617977528039757E-2</v>
      </c>
      <c r="H801" s="5">
        <f>$C$9+$C$10*EXP(-$C$11*C801)</f>
        <v>3.4882814488235696</v>
      </c>
      <c r="I801" s="5">
        <f>D801-H801</f>
        <v>1.554855117643017E-2</v>
      </c>
      <c r="J801" s="5">
        <f t="shared" si="19"/>
        <v>2.4175744368606803E-4</v>
      </c>
      <c r="K801" s="5">
        <f>$C$17+$C$16*C801</f>
        <v>3.1123864038155116</v>
      </c>
      <c r="L801" s="5">
        <f>(D801-K801)^2</f>
        <v>0.15322808899384466</v>
      </c>
      <c r="M801" s="5">
        <f>$C$40+$C$41*EXP(-$C$42*C801)</f>
        <v>0</v>
      </c>
      <c r="N801" s="5">
        <f>(D801-M801)^2</f>
        <v>12.276824668899998</v>
      </c>
      <c r="O801" s="5">
        <f>(C801+C800)/2</f>
        <v>17.613666666666724</v>
      </c>
      <c r="P801" s="5" t="str">
        <f>IF(AND(D800&gt;6,D801&lt;=6),C800+(6-D800)*(C801-C800)/(D801-D800),"")</f>
        <v/>
      </c>
      <c r="Q801" s="5" t="str">
        <f>IF(AND(D800&gt;5,D801&lt;=5),C800+(5-D800)*(C801-C800)/(D801-D800),"")</f>
        <v/>
      </c>
      <c r="R801" s="5" t="str">
        <f>IF(AND(D800&gt;4,D801&lt;=4),C800+(4-D800)*(C801-C800)/(D801-D800),"")</f>
        <v/>
      </c>
      <c r="S801" s="5" t="str">
        <f>IF(AND(D800&gt;3,D801&lt;=3),C800+(3-D800)*(C801-C800)/(D801-D800),"")</f>
        <v/>
      </c>
    </row>
    <row r="802" spans="1:19" ht="20.100000000000001" customHeight="1">
      <c r="A802" t="s">
        <v>3</v>
      </c>
      <c r="B802">
        <v>457</v>
      </c>
      <c r="C802" s="5">
        <f>('Raw Data'!C457-'Raw Data'!$C$244)/60</f>
        <v>17.738533333333422</v>
      </c>
      <c r="D802" s="5">
        <f>'Raw Data'!J457</f>
        <v>3.5003700000000002</v>
      </c>
      <c r="E802" s="5">
        <f>$D$589-D802</f>
        <v>3.7618799999999997</v>
      </c>
      <c r="F802" s="8">
        <f>10^(-D802)</f>
        <v>3.1595846845222154E-4</v>
      </c>
      <c r="G802" s="5">
        <f>(D802-D801)/(C802-C801)</f>
        <v>-4.1519999999995484E-2</v>
      </c>
      <c r="H802" s="5">
        <f>$C$9+$C$10*EXP(-$C$11*C802)</f>
        <v>3.487458162281361</v>
      </c>
      <c r="I802" s="5">
        <f>D802-H802</f>
        <v>1.2911837718639241E-2</v>
      </c>
      <c r="J802" s="5">
        <f t="shared" si="19"/>
        <v>1.6671555327247499E-4</v>
      </c>
      <c r="K802" s="5">
        <f>$C$17+$C$16*C802</f>
        <v>3.0999439161649063</v>
      </c>
      <c r="L802" s="5">
        <f>(D802-K802)^2</f>
        <v>0.16034104861550966</v>
      </c>
      <c r="M802" s="5">
        <f>$C$40+$C$41*EXP(-$C$42*C802)</f>
        <v>0</v>
      </c>
      <c r="N802" s="5">
        <f>(D802-M802)^2</f>
        <v>12.252590136900002</v>
      </c>
      <c r="O802" s="5">
        <f>(C802+C801)/2</f>
        <v>17.696866666666757</v>
      </c>
      <c r="P802" s="5" t="str">
        <f>IF(AND(D801&gt;6,D802&lt;=6),C801+(6-D801)*(C802-C801)/(D802-D801),"")</f>
        <v/>
      </c>
      <c r="Q802" s="5" t="str">
        <f>IF(AND(D801&gt;5,D802&lt;=5),C801+(5-D801)*(C802-C801)/(D802-D801),"")</f>
        <v/>
      </c>
      <c r="R802" s="5" t="str">
        <f>IF(AND(D801&gt;4,D802&lt;=4),C801+(4-D801)*(C802-C801)/(D802-D801),"")</f>
        <v/>
      </c>
      <c r="S802" s="5" t="str">
        <f>IF(AND(D801&gt;3,D802&lt;=3),C801+(3-D801)*(C802-C801)/(D802-D801),"")</f>
        <v/>
      </c>
    </row>
    <row r="803" spans="1:19" ht="20.100000000000001" customHeight="1">
      <c r="A803" t="s">
        <v>3</v>
      </c>
      <c r="B803">
        <v>458</v>
      </c>
      <c r="C803" s="5">
        <f>('Raw Data'!C458-'Raw Data'!$C$244)/60</f>
        <v>17.821616666666774</v>
      </c>
      <c r="D803" s="5">
        <f>'Raw Data'!J458</f>
        <v>3.4992100000000002</v>
      </c>
      <c r="E803" s="5">
        <f>$D$589-D803</f>
        <v>3.7630399999999997</v>
      </c>
      <c r="F803" s="8">
        <f>10^(-D803)</f>
        <v>3.1680352117816854E-4</v>
      </c>
      <c r="G803" s="5">
        <f>(D803-D802)/(C803-C802)</f>
        <v>-1.3961885656968331E-2</v>
      </c>
      <c r="H803" s="5">
        <f>$C$9+$C$10*EXP(-$C$11*C803)</f>
        <v>3.486655508927877</v>
      </c>
      <c r="I803" s="5">
        <f>D803-H803</f>
        <v>1.2554491072123142E-2</v>
      </c>
      <c r="J803" s="5">
        <f t="shared" si="19"/>
        <v>1.5761524608001967E-4</v>
      </c>
      <c r="K803" s="5">
        <f>$C$17+$C$16*C803</f>
        <v>3.08753875597725</v>
      </c>
      <c r="L803" s="5">
        <f>(D803-K803)^2</f>
        <v>0.16947321315523869</v>
      </c>
      <c r="M803" s="5">
        <f>$C$40+$C$41*EXP(-$C$42*C803)</f>
        <v>0</v>
      </c>
      <c r="N803" s="5">
        <f>(D803-M803)^2</f>
        <v>12.244470624100002</v>
      </c>
      <c r="O803" s="5">
        <f>(C803+C802)/2</f>
        <v>17.780075000000096</v>
      </c>
      <c r="P803" s="5" t="str">
        <f>IF(AND(D802&gt;6,D803&lt;=6),C802+(6-D802)*(C803-C802)/(D803-D802),"")</f>
        <v/>
      </c>
      <c r="Q803" s="5" t="str">
        <f>IF(AND(D802&gt;5,D803&lt;=5),C802+(5-D802)*(C803-C802)/(D803-D802),"")</f>
        <v/>
      </c>
      <c r="R803" s="5" t="str">
        <f>IF(AND(D802&gt;4,D803&lt;=4),C802+(4-D802)*(C803-C802)/(D803-D802),"")</f>
        <v/>
      </c>
      <c r="S803" s="5" t="str">
        <f>IF(AND(D802&gt;3,D803&lt;=3),C802+(3-D802)*(C803-C802)/(D803-D802),"")</f>
        <v/>
      </c>
    </row>
    <row r="804" spans="1:19" ht="20.100000000000001" customHeight="1">
      <c r="A804" t="s">
        <v>3</v>
      </c>
      <c r="B804">
        <v>459</v>
      </c>
      <c r="C804" s="5">
        <f>('Raw Data'!C459-'Raw Data'!$C$244)/60</f>
        <v>17.905200000000089</v>
      </c>
      <c r="D804" s="5">
        <f>'Raw Data'!J459</f>
        <v>3.4957500000000001</v>
      </c>
      <c r="E804" s="5">
        <f>$D$589-D804</f>
        <v>3.7664999999999997</v>
      </c>
      <c r="F804" s="8">
        <f>10^(-D804)</f>
        <v>3.193375580862222E-4</v>
      </c>
      <c r="G804" s="5">
        <f>(D804-D803)/(C804-C803)</f>
        <v>-4.1395812562322075E-2</v>
      </c>
      <c r="H804" s="5">
        <f>$C$9+$C$10*EXP(-$C$11*C804)</f>
        <v>3.4858659197021393</v>
      </c>
      <c r="I804" s="5">
        <f>D804-H804</f>
        <v>9.8840802978608089E-3</v>
      </c>
      <c r="J804" s="5">
        <f t="shared" si="19"/>
        <v>9.7695043334560216E-5</v>
      </c>
      <c r="K804" s="5">
        <f>$C$17+$C$16*C804</f>
        <v>3.0750589408636957</v>
      </c>
      <c r="L804" s="5">
        <f>(D804-K804)^2</f>
        <v>0.17698096723722562</v>
      </c>
      <c r="M804" s="5">
        <f>$C$40+$C$41*EXP(-$C$42*C804)</f>
        <v>0</v>
      </c>
      <c r="N804" s="5">
        <f>(D804-M804)^2</f>
        <v>12.220268062500001</v>
      </c>
      <c r="O804" s="5">
        <f>(C804+C803)/2</f>
        <v>17.863408333333432</v>
      </c>
      <c r="P804" s="5" t="str">
        <f>IF(AND(D803&gt;6,D804&lt;=6),C803+(6-D803)*(C804-C803)/(D804-D803),"")</f>
        <v/>
      </c>
      <c r="Q804" s="5" t="str">
        <f>IF(AND(D803&gt;5,D804&lt;=5),C803+(5-D803)*(C804-C803)/(D804-D803),"")</f>
        <v/>
      </c>
      <c r="R804" s="5" t="str">
        <f>IF(AND(D803&gt;4,D804&lt;=4),C803+(4-D803)*(C804-C803)/(D804-D803),"")</f>
        <v/>
      </c>
      <c r="S804" s="5" t="str">
        <f>IF(AND(D803&gt;3,D804&lt;=3),C803+(3-D803)*(C804-C803)/(D804-D803),"")</f>
        <v/>
      </c>
    </row>
    <row r="805" spans="1:19" ht="20.100000000000001" customHeight="1">
      <c r="A805" t="s">
        <v>3</v>
      </c>
      <c r="B805">
        <v>460</v>
      </c>
      <c r="C805" s="5">
        <f>('Raw Data'!C460-'Raw Data'!$C$244)/60</f>
        <v>17.988283333333438</v>
      </c>
      <c r="D805" s="5">
        <f>'Raw Data'!J460</f>
        <v>3.4911400000000001</v>
      </c>
      <c r="E805" s="5">
        <f>$D$589-D805</f>
        <v>3.7711099999999997</v>
      </c>
      <c r="F805" s="8">
        <f>10^(-D805)</f>
        <v>3.2274535459014006E-4</v>
      </c>
      <c r="G805" s="5">
        <f>(D805-D804)/(C805-C804)</f>
        <v>-5.5486459378124166E-2</v>
      </c>
      <c r="H805" s="5">
        <f>$C$9+$C$10*EXP(-$C$11*C805)</f>
        <v>3.4850984475338649</v>
      </c>
      <c r="I805" s="5">
        <f>D805-H805</f>
        <v>6.0415524661352471E-3</v>
      </c>
      <c r="J805" s="5">
        <f t="shared" si="19"/>
        <v>3.6500356201064886E-5</v>
      </c>
      <c r="K805" s="5">
        <f>$C$17+$C$16*C805</f>
        <v>3.0626537806760399</v>
      </c>
      <c r="L805" s="5">
        <f>(D805-K805)^2</f>
        <v>0.18360044015054097</v>
      </c>
      <c r="M805" s="5">
        <f>$C$40+$C$41*EXP(-$C$42*C805)</f>
        <v>0</v>
      </c>
      <c r="N805" s="5">
        <f>(D805-M805)^2</f>
        <v>12.1880584996</v>
      </c>
      <c r="O805" s="5">
        <f>(C805+C804)/2</f>
        <v>17.946741666666764</v>
      </c>
      <c r="P805" s="5" t="str">
        <f>IF(AND(D804&gt;6,D805&lt;=6),C804+(6-D804)*(C805-C804)/(D805-D804),"")</f>
        <v/>
      </c>
      <c r="Q805" s="5" t="str">
        <f>IF(AND(D804&gt;5,D805&lt;=5),C804+(5-D804)*(C805-C804)/(D805-D804),"")</f>
        <v/>
      </c>
      <c r="R805" s="5" t="str">
        <f>IF(AND(D804&gt;4,D805&lt;=4),C804+(4-D804)*(C805-C804)/(D805-D804),"")</f>
        <v/>
      </c>
      <c r="S805" s="5" t="str">
        <f>IF(AND(D804&gt;3,D805&lt;=3),C804+(3-D804)*(C805-C804)/(D805-D804),"")</f>
        <v/>
      </c>
    </row>
    <row r="806" spans="1:19" ht="20.100000000000001" customHeight="1">
      <c r="A806" t="s">
        <v>3</v>
      </c>
      <c r="B806">
        <v>461</v>
      </c>
      <c r="C806" s="5">
        <f>('Raw Data'!C461-'Raw Data'!$C$244)/60</f>
        <v>18.071616666666774</v>
      </c>
      <c r="D806" s="5">
        <f>'Raw Data'!J461</f>
        <v>3.4957500000000001</v>
      </c>
      <c r="E806" s="5">
        <f>$D$589-D806</f>
        <v>3.7664999999999997</v>
      </c>
      <c r="F806" s="8">
        <f>10^(-D806)</f>
        <v>3.193375580862222E-4</v>
      </c>
      <c r="G806" s="5">
        <f>(D806-D805)/(C806-C805)</f>
        <v>5.5319999999998461E-2</v>
      </c>
      <c r="H806" s="5">
        <f>$C$9+$C$10*EXP(-$C$11*C806)</f>
        <v>3.4843456998366746</v>
      </c>
      <c r="I806" s="5">
        <f>D806-H806</f>
        <v>1.1404300163325498E-2</v>
      </c>
      <c r="J806" s="5">
        <f t="shared" si="19"/>
        <v>1.3005806221522598E-4</v>
      </c>
      <c r="K806" s="5">
        <f>$C$17+$C$16*C806</f>
        <v>3.0502112930254341</v>
      </c>
      <c r="L806" s="5">
        <f>(D806-K806)^2</f>
        <v>0.19850473941256819</v>
      </c>
      <c r="M806" s="5">
        <f>$C$40+$C$41*EXP(-$C$42*C806)</f>
        <v>0</v>
      </c>
      <c r="N806" s="5">
        <f>(D806-M806)^2</f>
        <v>12.220268062500001</v>
      </c>
      <c r="O806" s="5">
        <f>(C806+C805)/2</f>
        <v>18.029950000000106</v>
      </c>
      <c r="P806" s="5" t="str">
        <f>IF(AND(D805&gt;6,D806&lt;=6),C805+(6-D805)*(C806-C805)/(D806-D805),"")</f>
        <v/>
      </c>
      <c r="Q806" s="5" t="str">
        <f>IF(AND(D805&gt;5,D806&lt;=5),C805+(5-D805)*(C806-C805)/(D806-D805),"")</f>
        <v/>
      </c>
      <c r="R806" s="5" t="str">
        <f>IF(AND(D805&gt;4,D806&lt;=4),C805+(4-D805)*(C806-C805)/(D806-D805),"")</f>
        <v/>
      </c>
      <c r="S806" s="5" t="str">
        <f>IF(AND(D805&gt;3,D806&lt;=3),C805+(3-D805)*(C806-C805)/(D806-D805),"")</f>
        <v/>
      </c>
    </row>
    <row r="807" spans="1:19" ht="20.100000000000001" customHeight="1">
      <c r="A807" t="s">
        <v>3</v>
      </c>
      <c r="B807">
        <v>462</v>
      </c>
      <c r="C807" s="5">
        <f>('Raw Data'!C462-'Raw Data'!$C$244)/60</f>
        <v>18.154950000000106</v>
      </c>
      <c r="D807" s="5">
        <f>'Raw Data'!J462</f>
        <v>3.4865200000000001</v>
      </c>
      <c r="E807" s="5">
        <f>$D$589-D807</f>
        <v>3.7757299999999998</v>
      </c>
      <c r="F807" s="8">
        <f>10^(-D807)</f>
        <v>3.2619702812008164E-4</v>
      </c>
      <c r="G807" s="5">
        <f>(D807-D806)/(C807-C806)</f>
        <v>-0.11076000000000243</v>
      </c>
      <c r="H807" s="5">
        <f>$C$9+$C$10*EXP(-$C$11*C807)</f>
        <v>3.4836096338647864</v>
      </c>
      <c r="I807" s="5">
        <f>D807-H807</f>
        <v>2.9103661352136712E-3</v>
      </c>
      <c r="J807" s="5">
        <f t="shared" si="19"/>
        <v>8.4702310409985601E-6</v>
      </c>
      <c r="K807" s="5">
        <f>$C$17+$C$16*C807</f>
        <v>3.0377688053748293</v>
      </c>
      <c r="L807" s="5">
        <f>(D807-K807)^2</f>
        <v>0.2013776346775179</v>
      </c>
      <c r="M807" s="5">
        <f>$C$40+$C$41*EXP(-$C$42*C807)</f>
        <v>0</v>
      </c>
      <c r="N807" s="5">
        <f>(D807-M807)^2</f>
        <v>12.1558217104</v>
      </c>
      <c r="O807" s="5">
        <f>(C807+C806)/2</f>
        <v>18.113283333333442</v>
      </c>
      <c r="P807" s="5" t="str">
        <f>IF(AND(D806&gt;6,D807&lt;=6),C806+(6-D806)*(C807-C806)/(D807-D806),"")</f>
        <v/>
      </c>
      <c r="Q807" s="5" t="str">
        <f>IF(AND(D806&gt;5,D807&lt;=5),C806+(5-D806)*(C807-C806)/(D807-D806),"")</f>
        <v/>
      </c>
      <c r="R807" s="5" t="str">
        <f>IF(AND(D806&gt;4,D807&lt;=4),C806+(4-D806)*(C807-C806)/(D807-D806),"")</f>
        <v/>
      </c>
      <c r="S807" s="5" t="str">
        <f>IF(AND(D806&gt;3,D807&lt;=3),C806+(3-D806)*(C807-C806)/(D807-D806),"")</f>
        <v/>
      </c>
    </row>
    <row r="808" spans="1:19" ht="20.100000000000001" customHeight="1">
      <c r="A808" t="s">
        <v>3</v>
      </c>
      <c r="B808">
        <v>463</v>
      </c>
      <c r="C808" s="5">
        <f>('Raw Data'!C463-'Raw Data'!$C$244)/60</f>
        <v>18.238283333333438</v>
      </c>
      <c r="D808" s="5">
        <f>'Raw Data'!J463</f>
        <v>3.4946000000000002</v>
      </c>
      <c r="E808" s="5">
        <f>$D$589-D808</f>
        <v>3.7676499999999997</v>
      </c>
      <c r="F808" s="8">
        <f>10^(-D808)</f>
        <v>3.201842758202772E-4</v>
      </c>
      <c r="G808" s="5">
        <f>(D808-D807)/(C808-C807)</f>
        <v>9.6960000000002419E-2</v>
      </c>
      <c r="H808" s="5">
        <f>$C$9+$C$10*EXP(-$C$11*C808)</f>
        <v>3.4828898799326327</v>
      </c>
      <c r="I808" s="5">
        <f>D808-H808</f>
        <v>1.1710120067367491E-2</v>
      </c>
      <c r="J808" s="5">
        <f t="shared" si="19"/>
        <v>1.3712691199216281E-4</v>
      </c>
      <c r="K808" s="5">
        <f>$C$17+$C$16*C808</f>
        <v>3.025326317724224</v>
      </c>
      <c r="L808" s="5">
        <f>(D808-K808)^2</f>
        <v>0.2202177888766661</v>
      </c>
      <c r="M808" s="5">
        <f>$C$40+$C$41*EXP(-$C$42*C808)</f>
        <v>0</v>
      </c>
      <c r="N808" s="5">
        <f>(D808-M808)^2</f>
        <v>12.212229160000001</v>
      </c>
      <c r="O808" s="5">
        <f>(C808+C807)/2</f>
        <v>18.19661666666677</v>
      </c>
      <c r="P808" s="5" t="str">
        <f>IF(AND(D807&gt;6,D808&lt;=6),C807+(6-D807)*(C808-C807)/(D808-D807),"")</f>
        <v/>
      </c>
      <c r="Q808" s="5" t="str">
        <f>IF(AND(D807&gt;5,D808&lt;=5),C807+(5-D807)*(C808-C807)/(D808-D807),"")</f>
        <v/>
      </c>
      <c r="R808" s="5" t="str">
        <f>IF(AND(D807&gt;4,D808&lt;=4),C807+(4-D807)*(C808-C807)/(D808-D807),"")</f>
        <v/>
      </c>
      <c r="S808" s="5" t="str">
        <f>IF(AND(D807&gt;3,D808&lt;=3),C807+(3-D807)*(C808-C807)/(D808-D807),"")</f>
        <v/>
      </c>
    </row>
    <row r="809" spans="1:19" ht="20.100000000000001" customHeight="1">
      <c r="A809" t="s">
        <v>3</v>
      </c>
      <c r="B809">
        <v>464</v>
      </c>
      <c r="C809" s="5">
        <f>('Raw Data'!C464-'Raw Data'!$C$244)/60</f>
        <v>18.321350000000042</v>
      </c>
      <c r="D809" s="5">
        <f>'Raw Data'!J464</f>
        <v>3.4922900000000001</v>
      </c>
      <c r="E809" s="5">
        <f>$D$589-D809</f>
        <v>3.7699599999999998</v>
      </c>
      <c r="F809" s="8">
        <f>10^(-D809)</f>
        <v>3.2189186415993316E-4</v>
      </c>
      <c r="G809" s="5">
        <f>(D809-D808)/(C809-C808)</f>
        <v>-2.7808988764066556E-2</v>
      </c>
      <c r="H809" s="5">
        <f>$C$9+$C$10*EXP(-$C$11*C809)</f>
        <v>3.48218830365626</v>
      </c>
      <c r="I809" s="5">
        <f>D809-H809</f>
        <v>1.0101696343740141E-2</v>
      </c>
      <c r="J809" s="5">
        <f t="shared" si="19"/>
        <v>1.0204426902113293E-4</v>
      </c>
      <c r="K809" s="5">
        <f>$C$17+$C$16*C809</f>
        <v>3.01292364603411</v>
      </c>
      <c r="L809" s="5">
        <f>(D809-K809)^2</f>
        <v>0.22979210131455105</v>
      </c>
      <c r="M809" s="5">
        <f>$C$40+$C$41*EXP(-$C$42*C809)</f>
        <v>0</v>
      </c>
      <c r="N809" s="5">
        <f>(D809-M809)^2</f>
        <v>12.1960894441</v>
      </c>
      <c r="O809" s="5">
        <f>(C809+C808)/2</f>
        <v>18.27981666666674</v>
      </c>
      <c r="P809" s="5" t="str">
        <f>IF(AND(D808&gt;6,D809&lt;=6),C808+(6-D808)*(C809-C808)/(D809-D808),"")</f>
        <v/>
      </c>
      <c r="Q809" s="5" t="str">
        <f>IF(AND(D808&gt;5,D809&lt;=5),C808+(5-D808)*(C809-C808)/(D809-D808),"")</f>
        <v/>
      </c>
      <c r="R809" s="5" t="str">
        <f>IF(AND(D808&gt;4,D809&lt;=4),C808+(4-D808)*(C809-C808)/(D809-D808),"")</f>
        <v/>
      </c>
      <c r="S809" s="5" t="str">
        <f>IF(AND(D808&gt;3,D809&lt;=3),C808+(3-D808)*(C809-C808)/(D809-D808),"")</f>
        <v/>
      </c>
    </row>
    <row r="810" spans="1:19" ht="20.100000000000001" customHeight="1">
      <c r="A810" t="s">
        <v>3</v>
      </c>
      <c r="B810">
        <v>465</v>
      </c>
      <c r="C810" s="5">
        <f>('Raw Data'!C465-'Raw Data'!$C$244)/60</f>
        <v>18.404950000000106</v>
      </c>
      <c r="D810" s="5">
        <f>'Raw Data'!J465</f>
        <v>3.48306</v>
      </c>
      <c r="E810" s="5">
        <f>$D$589-D810</f>
        <v>3.7791899999999998</v>
      </c>
      <c r="F810" s="8">
        <f>10^(-D810)</f>
        <v>3.2880620148242266E-4</v>
      </c>
      <c r="G810" s="5">
        <f>(D810-D809)/(C810-C809)</f>
        <v>-0.11040669856450896</v>
      </c>
      <c r="H810" s="5">
        <f>$C$9+$C$10*EXP(-$C$11*C810)</f>
        <v>3.4814978702269204</v>
      </c>
      <c r="I810" s="5">
        <f>D810-H810</f>
        <v>1.562129773079679E-3</v>
      </c>
      <c r="J810" s="5">
        <f t="shared" si="19"/>
        <v>2.4402494279419694E-6</v>
      </c>
      <c r="K810" s="5">
        <f>$C$17+$C$16*C810</f>
        <v>3.0004413424230134</v>
      </c>
      <c r="L810" s="5">
        <f>(D810-K810)^2</f>
        <v>0.23292076864141267</v>
      </c>
      <c r="M810" s="5">
        <f>$C$40+$C$41*EXP(-$C$42*C810)</f>
        <v>0</v>
      </c>
      <c r="N810" s="5">
        <f>(D810-M810)^2</f>
        <v>12.131706963600001</v>
      </c>
      <c r="O810" s="5">
        <f>(C810+C809)/2</f>
        <v>18.363150000000076</v>
      </c>
      <c r="P810" s="5" t="str">
        <f>IF(AND(D809&gt;6,D810&lt;=6),C809+(6-D809)*(C810-C809)/(D810-D809),"")</f>
        <v/>
      </c>
      <c r="Q810" s="5" t="str">
        <f>IF(AND(D809&gt;5,D810&lt;=5),C809+(5-D809)*(C810-C809)/(D810-D809),"")</f>
        <v/>
      </c>
      <c r="R810" s="5" t="str">
        <f>IF(AND(D809&gt;4,D810&lt;=4),C809+(4-D809)*(C810-C809)/(D810-D809),"")</f>
        <v/>
      </c>
      <c r="S810" s="5" t="str">
        <f>IF(AND(D809&gt;3,D810&lt;=3),C809+(3-D809)*(C810-C809)/(D810-D809),"")</f>
        <v/>
      </c>
    </row>
    <row r="811" spans="1:19" ht="20.100000000000001" customHeight="1">
      <c r="A811" t="s">
        <v>3</v>
      </c>
      <c r="B811">
        <v>466</v>
      </c>
      <c r="C811" s="5">
        <f>('Raw Data'!C466-'Raw Data'!$C$244)/60</f>
        <v>18.488016666666706</v>
      </c>
      <c r="D811" s="5">
        <f>'Raw Data'!J466</f>
        <v>3.48306</v>
      </c>
      <c r="E811" s="5">
        <f>$D$589-D811</f>
        <v>3.7791899999999998</v>
      </c>
      <c r="F811" s="8">
        <f>10^(-D811)</f>
        <v>3.2880620148242266E-4</v>
      </c>
      <c r="G811" s="5">
        <f>(D811-D810)/(C811-C810)</f>
        <v>0</v>
      </c>
      <c r="H811" s="5">
        <f>$C$9+$C$10*EXP(-$C$11*C811)</f>
        <v>3.4808270448155509</v>
      </c>
      <c r="I811" s="5">
        <f>D811-H811</f>
        <v>2.2329551844491036E-3</v>
      </c>
      <c r="J811" s="5">
        <f t="shared" si="19"/>
        <v>4.9860888557581304E-6</v>
      </c>
      <c r="K811" s="5">
        <f>$C$17+$C$16*C811</f>
        <v>2.9880386707328999</v>
      </c>
      <c r="L811" s="5">
        <f>(D811-K811)^2</f>
        <v>0.24504611642936683</v>
      </c>
      <c r="M811" s="5">
        <f>$C$40+$C$41*EXP(-$C$42*C811)</f>
        <v>0</v>
      </c>
      <c r="N811" s="5">
        <f>(D811-M811)^2</f>
        <v>12.131706963600001</v>
      </c>
      <c r="O811" s="5">
        <f>(C811+C810)/2</f>
        <v>18.446483333333404</v>
      </c>
      <c r="P811" s="5" t="str">
        <f>IF(AND(D810&gt;6,D811&lt;=6),C810+(6-D810)*(C811-C810)/(D811-D810),"")</f>
        <v/>
      </c>
      <c r="Q811" s="5" t="str">
        <f>IF(AND(D810&gt;5,D811&lt;=5),C810+(5-D810)*(C811-C810)/(D811-D810),"")</f>
        <v/>
      </c>
      <c r="R811" s="5" t="str">
        <f>IF(AND(D810&gt;4,D811&lt;=4),C810+(4-D810)*(C811-C810)/(D811-D810),"")</f>
        <v/>
      </c>
      <c r="S811" s="5" t="str">
        <f>IF(AND(D810&gt;3,D811&lt;=3),C810+(3-D810)*(C811-C810)/(D811-D810),"")</f>
        <v/>
      </c>
    </row>
    <row r="812" spans="1:19" ht="20.100000000000001" customHeight="1">
      <c r="A812" t="s">
        <v>3</v>
      </c>
      <c r="B812">
        <v>467</v>
      </c>
      <c r="C812" s="5">
        <f>('Raw Data'!C467-'Raw Data'!$C$244)/60</f>
        <v>18.571350000000042</v>
      </c>
      <c r="D812" s="5">
        <f>'Raw Data'!J467</f>
        <v>3.4853700000000001</v>
      </c>
      <c r="E812" s="5">
        <f>$D$589-D812</f>
        <v>3.7768799999999998</v>
      </c>
      <c r="F812" s="8">
        <f>10^(-D812)</f>
        <v>3.2706193361431961E-4</v>
      </c>
      <c r="G812" s="5">
        <f>(D812-D811)/(C812-C811)</f>
        <v>2.7719999999999623E-2</v>
      </c>
      <c r="H812" s="5">
        <f>$C$9+$C$10*EXP(-$C$11*C812)</f>
        <v>3.4801689561482938</v>
      </c>
      <c r="I812" s="5">
        <f>D812-H812</f>
        <v>5.2010438517062774E-3</v>
      </c>
      <c r="J812" s="5">
        <f t="shared" si="19"/>
        <v>2.7050857147371669E-5</v>
      </c>
      <c r="K812" s="5">
        <f>$C$17+$C$16*C812</f>
        <v>2.9755961830822941</v>
      </c>
      <c r="L812" s="5">
        <f>(D812-K812)^2</f>
        <v>0.25986934441484677</v>
      </c>
      <c r="M812" s="5">
        <f>$C$40+$C$41*EXP(-$C$42*C812)</f>
        <v>0</v>
      </c>
      <c r="N812" s="5">
        <f>(D812-M812)^2</f>
        <v>12.1478040369</v>
      </c>
      <c r="O812" s="5">
        <f>(C812+C811)/2</f>
        <v>18.529683333333374</v>
      </c>
      <c r="P812" s="5" t="str">
        <f>IF(AND(D811&gt;6,D812&lt;=6),C811+(6-D811)*(C812-C811)/(D812-D811),"")</f>
        <v/>
      </c>
      <c r="Q812" s="5" t="str">
        <f>IF(AND(D811&gt;5,D812&lt;=5),C811+(5-D811)*(C812-C811)/(D812-D811),"")</f>
        <v/>
      </c>
      <c r="R812" s="5" t="str">
        <f>IF(AND(D811&gt;4,D812&lt;=4),C811+(4-D811)*(C812-C811)/(D812-D811),"")</f>
        <v/>
      </c>
      <c r="S812" s="5" t="str">
        <f>IF(AND(D811&gt;3,D812&lt;=3),C811+(3-D811)*(C812-C811)/(D812-D811),"")</f>
        <v/>
      </c>
    </row>
    <row r="813" spans="1:19" ht="20.100000000000001" customHeight="1">
      <c r="A813" t="s">
        <v>3</v>
      </c>
      <c r="B813">
        <v>468</v>
      </c>
      <c r="C813" s="5">
        <f>('Raw Data'!C468-'Raw Data'!$C$244)/60</f>
        <v>18.654683333333374</v>
      </c>
      <c r="D813" s="5">
        <f>'Raw Data'!J468</f>
        <v>3.4773000000000001</v>
      </c>
      <c r="E813" s="5">
        <f>$D$589-D813</f>
        <v>3.7849499999999998</v>
      </c>
      <c r="F813" s="8">
        <f>10^(-D813)</f>
        <v>3.3319616948930807E-4</v>
      </c>
      <c r="G813" s="5">
        <f>(D813-D812)/(C813-C812)</f>
        <v>-9.6840000000001633E-2</v>
      </c>
      <c r="H813" s="5">
        <f>$C$9+$C$10*EXP(-$C$11*C813)</f>
        <v>3.4795254514570648</v>
      </c>
      <c r="I813" s="5">
        <f>D813-H813</f>
        <v>-2.2254514570647643E-3</v>
      </c>
      <c r="J813" s="5">
        <f t="shared" si="19"/>
        <v>4.9526341877516827E-6</v>
      </c>
      <c r="K813" s="5">
        <f>$C$17+$C$16*C813</f>
        <v>2.9631536954316893</v>
      </c>
      <c r="L813" s="5">
        <f>(D813-K813)^2</f>
        <v>0.26434642250125018</v>
      </c>
      <c r="M813" s="5">
        <f>$C$40+$C$41*EXP(-$C$42*C813)</f>
        <v>0</v>
      </c>
      <c r="N813" s="5">
        <f>(D813-M813)^2</f>
        <v>12.09161529</v>
      </c>
      <c r="O813" s="5">
        <f>(C813+C812)/2</f>
        <v>18.613016666666709</v>
      </c>
      <c r="P813" s="5" t="str">
        <f>IF(AND(D812&gt;6,D813&lt;=6),C812+(6-D812)*(C813-C812)/(D813-D812),"")</f>
        <v/>
      </c>
      <c r="Q813" s="5" t="str">
        <f>IF(AND(D812&gt;5,D813&lt;=5),C812+(5-D812)*(C813-C812)/(D813-D812),"")</f>
        <v/>
      </c>
      <c r="R813" s="5" t="str">
        <f>IF(AND(D812&gt;4,D813&lt;=4),C812+(4-D812)*(C813-C812)/(D813-D812),"")</f>
        <v/>
      </c>
      <c r="S813" s="5" t="str">
        <f>IF(AND(D812&gt;3,D813&lt;=3),C812+(3-D812)*(C813-C812)/(D813-D812),"")</f>
        <v/>
      </c>
    </row>
    <row r="814" spans="1:19" ht="20.100000000000001" customHeight="1">
      <c r="A814" t="s">
        <v>3</v>
      </c>
      <c r="B814">
        <v>469</v>
      </c>
      <c r="C814" s="5">
        <f>('Raw Data'!C469-'Raw Data'!$C$244)/60</f>
        <v>18.738016666666706</v>
      </c>
      <c r="D814" s="5">
        <f>'Raw Data'!J469</f>
        <v>3.48306</v>
      </c>
      <c r="E814" s="5">
        <f>$D$589-D814</f>
        <v>3.7791899999999998</v>
      </c>
      <c r="F814" s="8">
        <f>10^(-D814)</f>
        <v>3.2880620148242266E-4</v>
      </c>
      <c r="G814" s="5">
        <f>(D814-D813)/(C814-C813)</f>
        <v>6.9120000000000834E-2</v>
      </c>
      <c r="H814" s="5">
        <f>$C$9+$C$10*EXP(-$C$11*C814)</f>
        <v>3.4788962075447523</v>
      </c>
      <c r="I814" s="5">
        <f>D814-H814</f>
        <v>4.1637924552477834E-3</v>
      </c>
      <c r="J814" s="5">
        <f t="shared" si="19"/>
        <v>1.7337167610378366E-5</v>
      </c>
      <c r="K814" s="5">
        <f>$C$17+$C$16*C814</f>
        <v>2.950711207781084</v>
      </c>
      <c r="L814" s="5">
        <f>(D814-K814)^2</f>
        <v>0.28339523657693866</v>
      </c>
      <c r="M814" s="5">
        <f>$C$40+$C$41*EXP(-$C$42*C814)</f>
        <v>0</v>
      </c>
      <c r="N814" s="5">
        <f>(D814-M814)^2</f>
        <v>12.131706963600001</v>
      </c>
      <c r="O814" s="5">
        <f>(C814+C813)/2</f>
        <v>18.696350000000038</v>
      </c>
      <c r="P814" s="5" t="str">
        <f>IF(AND(D813&gt;6,D814&lt;=6),C813+(6-D813)*(C814-C813)/(D814-D813),"")</f>
        <v/>
      </c>
      <c r="Q814" s="5" t="str">
        <f>IF(AND(D813&gt;5,D814&lt;=5),C813+(5-D813)*(C814-C813)/(D814-D813),"")</f>
        <v/>
      </c>
      <c r="R814" s="5" t="str">
        <f>IF(AND(D813&gt;4,D814&lt;=4),C813+(4-D813)*(C814-C813)/(D814-D813),"")</f>
        <v/>
      </c>
      <c r="S814" s="5" t="str">
        <f>IF(AND(D813&gt;3,D814&lt;=3),C813+(3-D813)*(C814-C813)/(D814-D813),"")</f>
        <v/>
      </c>
    </row>
    <row r="815" spans="1:19" ht="20.100000000000001" customHeight="1">
      <c r="A815" t="s">
        <v>3</v>
      </c>
      <c r="B815">
        <v>470</v>
      </c>
      <c r="C815" s="5">
        <f>('Raw Data'!C470-'Raw Data'!$C$244)/60</f>
        <v>18.821100000000055</v>
      </c>
      <c r="D815" s="5">
        <f>'Raw Data'!J470</f>
        <v>3.4853700000000001</v>
      </c>
      <c r="E815" s="5">
        <f>$D$589-D815</f>
        <v>3.7768799999999998</v>
      </c>
      <c r="F815" s="8">
        <f>10^(-D815)</f>
        <v>3.2706193361431961E-4</v>
      </c>
      <c r="G815" s="5">
        <f>(D815-D814)/(C815-C814)</f>
        <v>2.7803410230687341E-2</v>
      </c>
      <c r="H815" s="5">
        <f>$C$9+$C$10*EXP(-$C$11*C815)</f>
        <v>3.4782827337291571</v>
      </c>
      <c r="I815" s="5">
        <f>D815-H815</f>
        <v>7.0872662708429957E-3</v>
      </c>
      <c r="J815" s="5">
        <f t="shared" si="19"/>
        <v>5.022934319382878E-5</v>
      </c>
      <c r="K815" s="5">
        <f>$C$17+$C$16*C815</f>
        <v>2.9383060475934282</v>
      </c>
      <c r="L815" s="5">
        <f>(D815-K815)^2</f>
        <v>0.29927896802269999</v>
      </c>
      <c r="M815" s="5">
        <f>$C$40+$C$41*EXP(-$C$42*C815)</f>
        <v>0</v>
      </c>
      <c r="N815" s="5">
        <f>(D815-M815)^2</f>
        <v>12.1478040369</v>
      </c>
      <c r="O815" s="5">
        <f>(C815+C814)/2</f>
        <v>18.77955833333338</v>
      </c>
      <c r="P815" s="5" t="str">
        <f>IF(AND(D814&gt;6,D815&lt;=6),C814+(6-D814)*(C815-C814)/(D815-D814),"")</f>
        <v/>
      </c>
      <c r="Q815" s="5" t="str">
        <f>IF(AND(D814&gt;5,D815&lt;=5),C814+(5-D814)*(C815-C814)/(D815-D814),"")</f>
        <v/>
      </c>
      <c r="R815" s="5" t="str">
        <f>IF(AND(D814&gt;4,D815&lt;=4),C814+(4-D814)*(C815-C814)/(D815-D814),"")</f>
        <v/>
      </c>
      <c r="S815" s="5" t="str">
        <f>IF(AND(D814&gt;3,D815&lt;=3),C814+(3-D814)*(C815-C814)/(D815-D814),"")</f>
        <v/>
      </c>
    </row>
    <row r="816" spans="1:19" ht="20.100000000000001" customHeight="1">
      <c r="A816" t="s">
        <v>3</v>
      </c>
      <c r="B816">
        <v>471</v>
      </c>
      <c r="C816" s="5">
        <f>('Raw Data'!C471-'Raw Data'!$C$244)/60</f>
        <v>18.904433333333387</v>
      </c>
      <c r="D816" s="5">
        <f>'Raw Data'!J471</f>
        <v>3.4773000000000001</v>
      </c>
      <c r="E816" s="5">
        <f>$D$589-D816</f>
        <v>3.7849499999999998</v>
      </c>
      <c r="F816" s="8">
        <f>10^(-D816)</f>
        <v>3.3319616948930807E-4</v>
      </c>
      <c r="G816" s="5">
        <f>(D816-D815)/(C816-C815)</f>
        <v>-9.6840000000001633E-2</v>
      </c>
      <c r="H816" s="5">
        <f>$C$9+$C$10*EXP(-$C$11*C816)</f>
        <v>3.4776810298224028</v>
      </c>
      <c r="I816" s="5">
        <f>D816-H816</f>
        <v>-3.810298224027342E-4</v>
      </c>
      <c r="J816" s="5">
        <f t="shared" si="19"/>
        <v>1.4518372556025916E-7</v>
      </c>
      <c r="K816" s="5">
        <f>$C$17+$C$16*C816</f>
        <v>2.9258635599428233</v>
      </c>
      <c r="L816" s="5">
        <f>(D816-K816)^2</f>
        <v>0.30408214742293227</v>
      </c>
      <c r="M816" s="5">
        <f>$C$40+$C$41*EXP(-$C$42*C816)</f>
        <v>0</v>
      </c>
      <c r="N816" s="5">
        <f>(D816-M816)^2</f>
        <v>12.09161529</v>
      </c>
      <c r="O816" s="5">
        <f>(C816+C815)/2</f>
        <v>18.862766666666722</v>
      </c>
      <c r="P816" s="5" t="str">
        <f>IF(AND(D815&gt;6,D816&lt;=6),C815+(6-D815)*(C816-C815)/(D816-D815),"")</f>
        <v/>
      </c>
      <c r="Q816" s="5" t="str">
        <f>IF(AND(D815&gt;5,D816&lt;=5),C815+(5-D815)*(C816-C815)/(D816-D815),"")</f>
        <v/>
      </c>
      <c r="R816" s="5" t="str">
        <f>IF(AND(D815&gt;4,D816&lt;=4),C815+(4-D815)*(C816-C815)/(D816-D815),"")</f>
        <v/>
      </c>
      <c r="S816" s="5" t="str">
        <f>IF(AND(D815&gt;3,D816&lt;=3),C815+(3-D815)*(C816-C815)/(D816-D815),"")</f>
        <v/>
      </c>
    </row>
    <row r="817" spans="1:19" ht="20.100000000000001" customHeight="1">
      <c r="A817" t="s">
        <v>3</v>
      </c>
      <c r="B817">
        <v>472</v>
      </c>
      <c r="C817" s="5">
        <f>('Raw Data'!C472-'Raw Data'!$C$244)/60</f>
        <v>18.987766666666722</v>
      </c>
      <c r="D817" s="5">
        <f>'Raw Data'!J472</f>
        <v>3.4819100000000001</v>
      </c>
      <c r="E817" s="5">
        <f>$D$589-D817</f>
        <v>3.7803399999999998</v>
      </c>
      <c r="F817" s="8">
        <f>10^(-D817)</f>
        <v>3.2967802515243159E-4</v>
      </c>
      <c r="G817" s="5">
        <f>(D817-D816)/(C817-C816)</f>
        <v>5.5319999999998461E-2</v>
      </c>
      <c r="H817" s="5">
        <f>$C$9+$C$10*EXP(-$C$11*C817)</f>
        <v>3.477092660342739</v>
      </c>
      <c r="I817" s="5">
        <f>D817-H817</f>
        <v>4.817339657261055E-3</v>
      </c>
      <c r="J817" s="5">
        <f t="shared" si="19"/>
        <v>2.3206761373420058E-5</v>
      </c>
      <c r="K817" s="5">
        <f>$C$17+$C$16*C817</f>
        <v>2.9134210722922176</v>
      </c>
      <c r="L817" s="5">
        <f>(D817-K817)^2</f>
        <v>0.32317966092634431</v>
      </c>
      <c r="M817" s="5">
        <f>$C$40+$C$41*EXP(-$C$42*C817)</f>
        <v>0</v>
      </c>
      <c r="N817" s="5">
        <f>(D817-M817)^2</f>
        <v>12.123697248100001</v>
      </c>
      <c r="O817" s="5">
        <f>(C817+C816)/2</f>
        <v>18.946100000000055</v>
      </c>
      <c r="P817" s="5" t="str">
        <f>IF(AND(D816&gt;6,D817&lt;=6),C816+(6-D816)*(C817-C816)/(D817-D816),"")</f>
        <v/>
      </c>
      <c r="Q817" s="5" t="str">
        <f>IF(AND(D816&gt;5,D817&lt;=5),C816+(5-D816)*(C817-C816)/(D817-D816),"")</f>
        <v/>
      </c>
      <c r="R817" s="5" t="str">
        <f>IF(AND(D816&gt;4,D817&lt;=4),C816+(4-D816)*(C817-C816)/(D817-D816),"")</f>
        <v/>
      </c>
      <c r="S817" s="5" t="str">
        <f>IF(AND(D816&gt;3,D817&lt;=3),C816+(3-D816)*(C817-C816)/(D817-D816),"")</f>
        <v/>
      </c>
    </row>
    <row r="818" spans="1:19" ht="20.100000000000001" customHeight="1">
      <c r="A818" t="s">
        <v>3</v>
      </c>
      <c r="B818">
        <v>473</v>
      </c>
      <c r="C818" s="5">
        <f>('Raw Data'!C473-'Raw Data'!$C$244)/60</f>
        <v>19.070833333333336</v>
      </c>
      <c r="D818" s="5">
        <f>'Raw Data'!J473</f>
        <v>3.47384</v>
      </c>
      <c r="E818" s="5">
        <f>$D$589-D818</f>
        <v>3.7884099999999998</v>
      </c>
      <c r="F818" s="8">
        <f>10^(-D818)</f>
        <v>3.3586132733846364E-4</v>
      </c>
      <c r="G818" s="5">
        <f>(D818-D817)/(C818-C817)</f>
        <v>-9.7150882825101995E-2</v>
      </c>
      <c r="H818" s="5">
        <f>$C$9+$C$10*EXP(-$C$11*C818)</f>
        <v>3.4765191503551809</v>
      </c>
      <c r="I818" s="5">
        <f>D818-H818</f>
        <v>-2.6791503551808482E-3</v>
      </c>
      <c r="J818" s="5">
        <f t="shared" si="19"/>
        <v>7.1778466256656647E-6</v>
      </c>
      <c r="K818" s="5">
        <f>$C$17+$C$16*C818</f>
        <v>2.9010184006021023</v>
      </c>
      <c r="L818" s="5">
        <f>(D818-K818)^2</f>
        <v>0.3281245847367657</v>
      </c>
      <c r="M818" s="5">
        <f>$C$40+$C$41*EXP(-$C$42*C818)</f>
        <v>0</v>
      </c>
      <c r="N818" s="5">
        <f>(D818-M818)^2</f>
        <v>12.067564345600001</v>
      </c>
      <c r="O818" s="5">
        <f>(C818+C817)/2</f>
        <v>19.029300000000028</v>
      </c>
      <c r="P818" s="5" t="str">
        <f>IF(AND(D817&gt;6,D818&lt;=6),C817+(6-D817)*(C818-C817)/(D818-D817),"")</f>
        <v/>
      </c>
      <c r="Q818" s="5" t="str">
        <f>IF(AND(D817&gt;5,D818&lt;=5),C817+(5-D817)*(C818-C817)/(D818-D817),"")</f>
        <v/>
      </c>
      <c r="R818" s="5" t="str">
        <f>IF(AND(D817&gt;4,D818&lt;=4),C817+(4-D817)*(C818-C817)/(D818-D817),"")</f>
        <v/>
      </c>
      <c r="S818" s="5" t="str">
        <f>IF(AND(D817&gt;3,D818&lt;=3),C817+(3-D817)*(C818-C817)/(D818-D817),"")</f>
        <v/>
      </c>
    </row>
    <row r="819" spans="1:19" ht="20.100000000000001" customHeight="1">
      <c r="A819" t="s">
        <v>3</v>
      </c>
      <c r="B819">
        <v>474</v>
      </c>
      <c r="C819" s="5">
        <f>('Raw Data'!C474-'Raw Data'!$C$244)/60</f>
        <v>19.154433333333387</v>
      </c>
      <c r="D819" s="5">
        <f>'Raw Data'!J474</f>
        <v>3.47384</v>
      </c>
      <c r="E819" s="5">
        <f>$D$589-D819</f>
        <v>3.7884099999999998</v>
      </c>
      <c r="F819" s="8">
        <f>10^(-D819)</f>
        <v>3.3586132733846364E-4</v>
      </c>
      <c r="G819" s="5">
        <f>(D819-D818)/(C819-C818)</f>
        <v>0</v>
      </c>
      <c r="H819" s="5">
        <f>$C$9+$C$10*EXP(-$C$11*C819)</f>
        <v>3.4759547491905387</v>
      </c>
      <c r="I819" s="5">
        <f>D819-H819</f>
        <v>-2.1147491905386673E-3</v>
      </c>
      <c r="J819" s="5">
        <f t="shared" si="19"/>
        <v>4.4721641388839486E-6</v>
      </c>
      <c r="K819" s="5">
        <f>$C$17+$C$16*C819</f>
        <v>2.8885360969910074</v>
      </c>
      <c r="L819" s="5">
        <f>(D819-K819)^2</f>
        <v>0.34258065887756023</v>
      </c>
      <c r="M819" s="5">
        <f>$C$40+$C$41*EXP(-$C$42*C819)</f>
        <v>0</v>
      </c>
      <c r="N819" s="5">
        <f>(D819-M819)^2</f>
        <v>12.067564345600001</v>
      </c>
      <c r="O819" s="5">
        <f>(C819+C818)/2</f>
        <v>19.112633333333363</v>
      </c>
      <c r="P819" s="5" t="str">
        <f>IF(AND(D818&gt;6,D819&lt;=6),C818+(6-D818)*(C819-C818)/(D819-D818),"")</f>
        <v/>
      </c>
      <c r="Q819" s="5" t="str">
        <f>IF(AND(D818&gt;5,D819&lt;=5),C818+(5-D818)*(C819-C818)/(D819-D818),"")</f>
        <v/>
      </c>
      <c r="R819" s="5" t="str">
        <f>IF(AND(D818&gt;4,D819&lt;=4),C818+(4-D818)*(C819-C818)/(D819-D818),"")</f>
        <v/>
      </c>
      <c r="S819" s="5" t="str">
        <f>IF(AND(D818&gt;3,D819&lt;=3),C818+(3-D818)*(C819-C818)/(D819-D818),"")</f>
        <v/>
      </c>
    </row>
    <row r="820" spans="1:19" ht="20.100000000000001" customHeight="1">
      <c r="A820" t="s">
        <v>3</v>
      </c>
      <c r="B820">
        <v>475</v>
      </c>
      <c r="C820" s="5">
        <f>('Raw Data'!C475-'Raw Data'!$C$244)/60</f>
        <v>19.237500000000004</v>
      </c>
      <c r="D820" s="5">
        <f>'Raw Data'!J475</f>
        <v>3.47153</v>
      </c>
      <c r="E820" s="5">
        <f>$D$589-D820</f>
        <v>3.7907199999999999</v>
      </c>
      <c r="F820" s="8">
        <f>10^(-D820)</f>
        <v>3.3765252362639861E-4</v>
      </c>
      <c r="G820" s="5">
        <f>(D820-D819)/(C820-C819)</f>
        <v>-2.78089887640618E-2</v>
      </c>
      <c r="H820" s="5">
        <f>$C$9+$C$10*EXP(-$C$11*C820)</f>
        <v>3.4754063767807462</v>
      </c>
      <c r="I820" s="5">
        <f>D820-H820</f>
        <v>-3.8763767807461491E-3</v>
      </c>
      <c r="J820" s="5">
        <f t="shared" si="19"/>
        <v>1.5026296946307878E-5</v>
      </c>
      <c r="K820" s="5">
        <f>$C$17+$C$16*C820</f>
        <v>2.8761334253008912</v>
      </c>
      <c r="L820" s="5">
        <f>(D820-K820)^2</f>
        <v>0.35449708116343143</v>
      </c>
      <c r="M820" s="5">
        <f>$C$40+$C$41*EXP(-$C$42*C820)</f>
        <v>0</v>
      </c>
      <c r="N820" s="5">
        <f>(D820-M820)^2</f>
        <v>12.0515205409</v>
      </c>
      <c r="O820" s="5">
        <f>(C820+C819)/2</f>
        <v>19.195966666666695</v>
      </c>
      <c r="P820" s="5" t="str">
        <f>IF(AND(D819&gt;6,D820&lt;=6),C819+(6-D819)*(C820-C819)/(D820-D819),"")</f>
        <v/>
      </c>
      <c r="Q820" s="5" t="str">
        <f>IF(AND(D819&gt;5,D820&lt;=5),C819+(5-D819)*(C820-C819)/(D820-D819),"")</f>
        <v/>
      </c>
      <c r="R820" s="5" t="str">
        <f>IF(AND(D819&gt;4,D820&lt;=4),C819+(4-D819)*(C820-C819)/(D820-D819),"")</f>
        <v/>
      </c>
      <c r="S820" s="5" t="str">
        <f>IF(AND(D819&gt;3,D820&lt;=3),C819+(3-D819)*(C820-C819)/(D820-D819),"")</f>
        <v/>
      </c>
    </row>
    <row r="821" spans="1:19" ht="20.100000000000001" customHeight="1">
      <c r="A821" t="s">
        <v>3</v>
      </c>
      <c r="B821">
        <v>476</v>
      </c>
      <c r="C821" s="5">
        <f>('Raw Data'!C476-'Raw Data'!$C$244)/60</f>
        <v>19.320833333333336</v>
      </c>
      <c r="D821" s="5">
        <f>'Raw Data'!J476</f>
        <v>3.47499</v>
      </c>
      <c r="E821" s="5">
        <f>$D$589-D821</f>
        <v>3.7872599999999998</v>
      </c>
      <c r="F821" s="8">
        <f>10^(-D821)</f>
        <v>3.3497315211089421E-4</v>
      </c>
      <c r="G821" s="5">
        <f>(D821-D820)/(C821-C820)</f>
        <v>4.1520000000000813E-2</v>
      </c>
      <c r="H821" s="5">
        <f>$C$9+$C$10*EXP(-$C$11*C821)</f>
        <v>3.4748684161397132</v>
      </c>
      <c r="I821" s="5">
        <f>D821-H821</f>
        <v>1.2158386028682244E-4</v>
      </c>
      <c r="J821" s="5">
        <f t="shared" si="19"/>
        <v>1.4782635082245559E-8</v>
      </c>
      <c r="K821" s="5">
        <f>$C$17+$C$16*C821</f>
        <v>2.8636909376502864</v>
      </c>
      <c r="L821" s="5">
        <f>(D821-K821)^2</f>
        <v>0.3736865436296391</v>
      </c>
      <c r="M821" s="5">
        <f>$C$40+$C$41*EXP(-$C$42*C821)</f>
        <v>0</v>
      </c>
      <c r="N821" s="5">
        <f>(D821-M821)^2</f>
        <v>12.0755555001</v>
      </c>
      <c r="O821" s="5">
        <f>(C821+C820)/2</f>
        <v>19.279166666666669</v>
      </c>
      <c r="P821" s="5" t="str">
        <f>IF(AND(D820&gt;6,D821&lt;=6),C820+(6-D820)*(C821-C820)/(D821-D820),"")</f>
        <v/>
      </c>
      <c r="Q821" s="5" t="str">
        <f>IF(AND(D820&gt;5,D821&lt;=5),C820+(5-D820)*(C821-C820)/(D821-D820),"")</f>
        <v/>
      </c>
      <c r="R821" s="5" t="str">
        <f>IF(AND(D820&gt;4,D821&lt;=4),C820+(4-D820)*(C821-C820)/(D821-D820),"")</f>
        <v/>
      </c>
      <c r="S821" s="5" t="str">
        <f>IF(AND(D820&gt;3,D821&lt;=3),C820+(3-D820)*(C821-C820)/(D821-D820),"")</f>
        <v/>
      </c>
    </row>
    <row r="822" spans="1:19" ht="20.100000000000001" customHeight="1">
      <c r="A822" t="s">
        <v>3</v>
      </c>
      <c r="B822">
        <v>477</v>
      </c>
      <c r="C822" s="5">
        <f>('Raw Data'!C477-'Raw Data'!$C$244)/60</f>
        <v>19.404166666666672</v>
      </c>
      <c r="D822" s="5">
        <f>'Raw Data'!J477</f>
        <v>3.47037</v>
      </c>
      <c r="E822" s="5">
        <f>$D$589-D822</f>
        <v>3.7918799999999999</v>
      </c>
      <c r="F822" s="8">
        <f>10^(-D822)</f>
        <v>3.3855559859986275E-4</v>
      </c>
      <c r="G822" s="5">
        <f>(D822-D821)/(C822-C821)</f>
        <v>-5.5439999999999247E-2</v>
      </c>
      <c r="H822" s="5">
        <f>$C$9+$C$10*EXP(-$C$11*C822)</f>
        <v>3.4743423773041813</v>
      </c>
      <c r="I822" s="5">
        <f>D822-H822</f>
        <v>-3.9723773041813182E-3</v>
      </c>
      <c r="J822" s="5">
        <f t="shared" si="19"/>
        <v>1.5779781446774839E-5</v>
      </c>
      <c r="K822" s="5">
        <f>$C$17+$C$16*C822</f>
        <v>2.8512484499996806</v>
      </c>
      <c r="L822" s="5">
        <f>(D822-K822)^2</f>
        <v>0.38331149367479789</v>
      </c>
      <c r="M822" s="5">
        <f>$C$40+$C$41*EXP(-$C$42*C822)</f>
        <v>0</v>
      </c>
      <c r="N822" s="5">
        <f>(D822-M822)^2</f>
        <v>12.043467936899999</v>
      </c>
      <c r="O822" s="5">
        <f>(C822+C821)/2</f>
        <v>19.362500000000004</v>
      </c>
      <c r="P822" s="5" t="str">
        <f>IF(AND(D821&gt;6,D822&lt;=6),C821+(6-D821)*(C822-C821)/(D822-D821),"")</f>
        <v/>
      </c>
      <c r="Q822" s="5" t="str">
        <f>IF(AND(D821&gt;5,D822&lt;=5),C821+(5-D821)*(C822-C821)/(D822-D821),"")</f>
        <v/>
      </c>
      <c r="R822" s="5" t="str">
        <f>IF(AND(D821&gt;4,D822&lt;=4),C821+(4-D821)*(C822-C821)/(D822-D821),"")</f>
        <v/>
      </c>
      <c r="S822" s="5" t="str">
        <f>IF(AND(D821&gt;3,D822&lt;=3),C821+(3-D821)*(C822-C821)/(D822-D821),"")</f>
        <v/>
      </c>
    </row>
    <row r="823" spans="1:19" ht="20.100000000000001" customHeight="1">
      <c r="A823" t="s">
        <v>3</v>
      </c>
      <c r="B823">
        <v>478</v>
      </c>
      <c r="C823" s="5">
        <f>('Raw Data'!C478-'Raw Data'!$C$244)/60</f>
        <v>19.487500000000004</v>
      </c>
      <c r="D823" s="5">
        <f>'Raw Data'!J478</f>
        <v>3.47268</v>
      </c>
      <c r="E823" s="5">
        <f>$D$589-D823</f>
        <v>3.7895699999999999</v>
      </c>
      <c r="F823" s="8">
        <f>10^(-D823)</f>
        <v>3.3675961163385788E-4</v>
      </c>
      <c r="G823" s="5">
        <f>(D823-D822)/(C823-C822)</f>
        <v>2.7720000000000806E-2</v>
      </c>
      <c r="H823" s="5">
        <f>$C$9+$C$10*EXP(-$C$11*C823)</f>
        <v>3.4738279960736942</v>
      </c>
      <c r="I823" s="5">
        <f>D823-H823</f>
        <v>-1.1479960736942019E-3</v>
      </c>
      <c r="J823" s="5">
        <f t="shared" si="19"/>
        <v>1.3178949852173034E-6</v>
      </c>
      <c r="K823" s="5">
        <f>$C$17+$C$16*C823</f>
        <v>2.8388059623490758</v>
      </c>
      <c r="L823" s="5">
        <f>(D823-K823)^2</f>
        <v>0.40179629560788527</v>
      </c>
      <c r="M823" s="5">
        <f>$C$40+$C$41*EXP(-$C$42*C823)</f>
        <v>0</v>
      </c>
      <c r="N823" s="5">
        <f>(D823-M823)^2</f>
        <v>12.0595063824</v>
      </c>
      <c r="O823" s="5">
        <f>(C823+C822)/2</f>
        <v>19.44583333333334</v>
      </c>
      <c r="P823" s="5" t="str">
        <f>IF(AND(D822&gt;6,D823&lt;=6),C822+(6-D822)*(C823-C822)/(D823-D822),"")</f>
        <v/>
      </c>
      <c r="Q823" s="5" t="str">
        <f>IF(AND(D822&gt;5,D823&lt;=5),C822+(5-D822)*(C823-C822)/(D823-D822),"")</f>
        <v/>
      </c>
      <c r="R823" s="5" t="str">
        <f>IF(AND(D822&gt;4,D823&lt;=4),C822+(4-D822)*(C823-C822)/(D823-D822),"")</f>
        <v/>
      </c>
      <c r="S823" s="5" t="str">
        <f>IF(AND(D822&gt;3,D823&lt;=3),C822+(3-D822)*(C823-C822)/(D823-D822),"")</f>
        <v/>
      </c>
    </row>
    <row r="824" spans="1:19" ht="20.100000000000001" customHeight="1">
      <c r="A824" t="s">
        <v>3</v>
      </c>
      <c r="B824">
        <v>479</v>
      </c>
      <c r="C824" s="5">
        <f>('Raw Data'!C479-'Raw Data'!$C$244)/60</f>
        <v>19.570566666666739</v>
      </c>
      <c r="D824" s="5">
        <f>'Raw Data'!J479</f>
        <v>3.4634499999999999</v>
      </c>
      <c r="E824" s="5">
        <f>$D$589-D824</f>
        <v>3.7988</v>
      </c>
      <c r="F824" s="8">
        <f>10^(-D824)</f>
        <v>3.4399331279466182E-4</v>
      </c>
      <c r="G824" s="5">
        <f>(D824-D823)/(C824-C823)</f>
        <v>-0.11111556982334472</v>
      </c>
      <c r="H824" s="5">
        <f>$C$9+$C$10*EXP(-$C$11*C824)</f>
        <v>3.4733266057343011</v>
      </c>
      <c r="I824" s="5">
        <f>D824-H824</f>
        <v>-9.8766057343011582E-3</v>
      </c>
      <c r="J824" s="5">
        <f t="shared" si="19"/>
        <v>9.7547340830830525E-5</v>
      </c>
      <c r="K824" s="5">
        <f>$C$17+$C$16*C824</f>
        <v>2.8264032906589422</v>
      </c>
      <c r="L824" s="5">
        <f>(D824-K824)^2</f>
        <v>0.40582850988227004</v>
      </c>
      <c r="M824" s="5">
        <f>$C$40+$C$41*EXP(-$C$42*C824)</f>
        <v>0</v>
      </c>
      <c r="N824" s="5">
        <f>(D824-M824)^2</f>
        <v>11.995485902499999</v>
      </c>
      <c r="O824" s="5">
        <f>(C824+C823)/2</f>
        <v>19.529033333333373</v>
      </c>
      <c r="P824" s="5" t="str">
        <f>IF(AND(D823&gt;6,D824&lt;=6),C823+(6-D823)*(C824-C823)/(D824-D823),"")</f>
        <v/>
      </c>
      <c r="Q824" s="5" t="str">
        <f>IF(AND(D823&gt;5,D824&lt;=5),C823+(5-D823)*(C824-C823)/(D824-D823),"")</f>
        <v/>
      </c>
      <c r="R824" s="5" t="str">
        <f>IF(AND(D823&gt;4,D824&lt;=4),C823+(4-D823)*(C824-C823)/(D824-D823),"")</f>
        <v/>
      </c>
      <c r="S824" s="5" t="str">
        <f>IF(AND(D823&gt;3,D824&lt;=3),C823+(3-D823)*(C824-C823)/(D824-D823),"")</f>
        <v/>
      </c>
    </row>
    <row r="825" spans="1:19" ht="20.100000000000001" customHeight="1">
      <c r="A825" t="s">
        <v>3</v>
      </c>
      <c r="B825">
        <v>480</v>
      </c>
      <c r="C825" s="5">
        <f>('Raw Data'!C480-'Raw Data'!$C$244)/60</f>
        <v>19.654166666666672</v>
      </c>
      <c r="D825" s="5">
        <f>'Raw Data'!J480</f>
        <v>3.4634499999999999</v>
      </c>
      <c r="E825" s="5">
        <f>$D$589-D825</f>
        <v>3.7988</v>
      </c>
      <c r="F825" s="8">
        <f>10^(-D825)</f>
        <v>3.4399331279466182E-4</v>
      </c>
      <c r="G825" s="5">
        <f>(D825-D824)/(C825-C824)</f>
        <v>0</v>
      </c>
      <c r="H825" s="5">
        <f>$C$9+$C$10*EXP(-$C$11*C825)</f>
        <v>3.4728331787711584</v>
      </c>
      <c r="I825" s="5">
        <f>D825-H825</f>
        <v>-9.3831787711584624E-3</v>
      </c>
      <c r="J825" s="5">
        <f t="shared" si="19"/>
        <v>8.8044043851518837E-5</v>
      </c>
      <c r="K825" s="5">
        <f>$C$17+$C$16*C825</f>
        <v>2.8139209870478648</v>
      </c>
      <c r="L825" s="5">
        <f>(D825-K825)^2</f>
        <v>0.42188793866657498</v>
      </c>
      <c r="M825" s="5">
        <f>$C$40+$C$41*EXP(-$C$42*C825)</f>
        <v>0</v>
      </c>
      <c r="N825" s="5">
        <f>(D825-M825)^2</f>
        <v>11.995485902499999</v>
      </c>
      <c r="O825" s="5">
        <f>(C825+C824)/2</f>
        <v>19.612366666666706</v>
      </c>
      <c r="P825" s="5" t="str">
        <f>IF(AND(D824&gt;6,D825&lt;=6),C824+(6-D824)*(C825-C824)/(D825-D824),"")</f>
        <v/>
      </c>
      <c r="Q825" s="5" t="str">
        <f>IF(AND(D824&gt;5,D825&lt;=5),C824+(5-D824)*(C825-C824)/(D825-D824),"")</f>
        <v/>
      </c>
      <c r="R825" s="5" t="str">
        <f>IF(AND(D824&gt;4,D825&lt;=4),C824+(4-D824)*(C825-C824)/(D825-D824),"")</f>
        <v/>
      </c>
      <c r="S825" s="5" t="str">
        <f>IF(AND(D824&gt;3,D825&lt;=3),C824+(3-D824)*(C825-C824)/(D825-D824),"")</f>
        <v/>
      </c>
    </row>
    <row r="826" spans="1:19" ht="20.100000000000001" customHeight="1">
      <c r="A826" t="s">
        <v>3</v>
      </c>
      <c r="B826">
        <v>481</v>
      </c>
      <c r="C826" s="5">
        <f>('Raw Data'!C481-'Raw Data'!$C$244)/60</f>
        <v>19.737233333333403</v>
      </c>
      <c r="D826" s="5">
        <f>'Raw Data'!J481</f>
        <v>3.4530699999999999</v>
      </c>
      <c r="E826" s="5">
        <f>$D$589-D826</f>
        <v>3.80918</v>
      </c>
      <c r="F826" s="8">
        <f>10^(-D826)</f>
        <v>3.5231408014537482E-4</v>
      </c>
      <c r="G826" s="5">
        <f>(D826-D825)/(C826-C825)</f>
        <v>-0.12495987158898861</v>
      </c>
      <c r="H826" s="5">
        <f>$C$9+$C$10*EXP(-$C$11*C826)</f>
        <v>3.4723537649254981</v>
      </c>
      <c r="I826" s="5">
        <f>D826-H826</f>
        <v>-1.9283764925498215E-2</v>
      </c>
      <c r="J826" s="5">
        <f t="shared" si="19"/>
        <v>3.7186358970187517E-4</v>
      </c>
      <c r="K826" s="5">
        <f>$C$17+$C$16*C826</f>
        <v>2.8015183153577321</v>
      </c>
      <c r="L826" s="5">
        <f>(D826-K826)^2</f>
        <v>0.42451959776017711</v>
      </c>
      <c r="M826" s="5">
        <f>$C$40+$C$41*EXP(-$C$42*C826)</f>
        <v>0</v>
      </c>
      <c r="N826" s="5">
        <f>(D826-M826)^2</f>
        <v>11.923692424899999</v>
      </c>
      <c r="O826" s="5">
        <f>(C826+C825)/2</f>
        <v>19.695700000000038</v>
      </c>
      <c r="P826" s="5" t="str">
        <f>IF(AND(D825&gt;6,D826&lt;=6),C825+(6-D825)*(C826-C825)/(D826-D825),"")</f>
        <v/>
      </c>
      <c r="Q826" s="5" t="str">
        <f>IF(AND(D825&gt;5,D826&lt;=5),C825+(5-D825)*(C826-C825)/(D826-D825),"")</f>
        <v/>
      </c>
      <c r="R826" s="5" t="str">
        <f>IF(AND(D825&gt;4,D826&lt;=4),C825+(4-D825)*(C826-C825)/(D826-D825),"")</f>
        <v/>
      </c>
      <c r="S826" s="5" t="str">
        <f>IF(AND(D825&gt;3,D826&lt;=3),C825+(3-D825)*(C826-C825)/(D826-D825),"")</f>
        <v/>
      </c>
    </row>
    <row r="827" spans="1:19" ht="20.100000000000001" customHeight="1">
      <c r="A827" t="s">
        <v>3</v>
      </c>
      <c r="B827">
        <v>482</v>
      </c>
      <c r="C827" s="5">
        <f>('Raw Data'!C482-'Raw Data'!$C$244)/60</f>
        <v>19.820566666666739</v>
      </c>
      <c r="D827" s="5">
        <f>'Raw Data'!J482</f>
        <v>3.46576</v>
      </c>
      <c r="E827" s="5">
        <f>$D$589-D827</f>
        <v>3.7964899999999999</v>
      </c>
      <c r="F827" s="8">
        <f>10^(-D827)</f>
        <v>3.4216847956571186E-4</v>
      </c>
      <c r="G827" s="5">
        <f>(D827-D826)/(C827-C826)</f>
        <v>0.15227999999999675</v>
      </c>
      <c r="H827" s="5">
        <f>$C$9+$C$10*EXP(-$C$11*C827)</f>
        <v>3.4718834535547485</v>
      </c>
      <c r="I827" s="5">
        <f>D827-H827</f>
        <v>-6.1234535547485258E-3</v>
      </c>
      <c r="J827" s="5">
        <f t="shared" si="19"/>
        <v>3.7496683437162354E-5</v>
      </c>
      <c r="K827" s="5">
        <f>$C$17+$C$16*C827</f>
        <v>2.7890758277071264</v>
      </c>
      <c r="L827" s="5">
        <f>(D827-K827)^2</f>
        <v>0.45790146903169143</v>
      </c>
      <c r="M827" s="5">
        <f>$C$40+$C$41*EXP(-$C$42*C827)</f>
        <v>0</v>
      </c>
      <c r="N827" s="5">
        <f>(D827-M827)^2</f>
        <v>12.0114923776</v>
      </c>
      <c r="O827" s="5">
        <f>(C827+C826)/2</f>
        <v>19.778900000000071</v>
      </c>
      <c r="P827" s="5" t="str">
        <f>IF(AND(D826&gt;6,D827&lt;=6),C826+(6-D826)*(C827-C826)/(D827-D826),"")</f>
        <v/>
      </c>
      <c r="Q827" s="5" t="str">
        <f>IF(AND(D826&gt;5,D827&lt;=5),C826+(5-D826)*(C827-C826)/(D827-D826),"")</f>
        <v/>
      </c>
      <c r="R827" s="5" t="str">
        <f>IF(AND(D826&gt;4,D827&lt;=4),C826+(4-D826)*(C827-C826)/(D827-D826),"")</f>
        <v/>
      </c>
      <c r="S827" s="5" t="str">
        <f>IF(AND(D826&gt;3,D827&lt;=3),C826+(3-D826)*(C827-C826)/(D827-D826),"")</f>
        <v/>
      </c>
    </row>
    <row r="828" spans="1:19" ht="20.100000000000001" customHeight="1">
      <c r="A828" t="s">
        <v>3</v>
      </c>
      <c r="B828">
        <v>483</v>
      </c>
      <c r="C828" s="5">
        <f>('Raw Data'!C483-'Raw Data'!$C$244)/60</f>
        <v>19.903650000000074</v>
      </c>
      <c r="D828" s="5">
        <f>'Raw Data'!J483</f>
        <v>3.4622999999999999</v>
      </c>
      <c r="E828" s="5">
        <f>$D$589-D828</f>
        <v>3.7999499999999999</v>
      </c>
      <c r="F828" s="8">
        <f>10^(-D828)</f>
        <v>3.4490540481442022E-4</v>
      </c>
      <c r="G828" s="5">
        <f>(D828-D827)/(C828-C827)</f>
        <v>-4.1644934804412878E-2</v>
      </c>
      <c r="H828" s="5">
        <f>$C$9+$C$10*EXP(-$C$11*C828)</f>
        <v>3.4714249291169494</v>
      </c>
      <c r="I828" s="5">
        <f>D828-H828</f>
        <v>-9.1249291169495095E-3</v>
      </c>
      <c r="J828" s="5">
        <f t="shared" si="19"/>
        <v>8.3264331389352951E-5</v>
      </c>
      <c r="K828" s="5">
        <f>$C$17+$C$16*C828</f>
        <v>2.7766706675194728</v>
      </c>
      <c r="L828" s="5">
        <f>(D828-K828)^2</f>
        <v>0.47008758155769326</v>
      </c>
      <c r="M828" s="5">
        <f>$C$40+$C$41*EXP(-$C$42*C828)</f>
        <v>0</v>
      </c>
      <c r="N828" s="5">
        <f>(D828-M828)^2</f>
        <v>11.98752129</v>
      </c>
      <c r="O828" s="5">
        <f>(C828+C827)/2</f>
        <v>19.862108333333406</v>
      </c>
      <c r="P828" s="5" t="str">
        <f>IF(AND(D827&gt;6,D828&lt;=6),C827+(6-D827)*(C828-C827)/(D828-D827),"")</f>
        <v/>
      </c>
      <c r="Q828" s="5" t="str">
        <f>IF(AND(D827&gt;5,D828&lt;=5),C827+(5-D827)*(C828-C827)/(D828-D827),"")</f>
        <v/>
      </c>
      <c r="R828" s="5" t="str">
        <f>IF(AND(D827&gt;4,D828&lt;=4),C827+(4-D827)*(C828-C827)/(D828-D827),"")</f>
        <v/>
      </c>
      <c r="S828" s="5" t="str">
        <f>IF(AND(D827&gt;3,D828&lt;=3),C827+(3-D827)*(C828-C827)/(D828-D827),"")</f>
        <v/>
      </c>
    </row>
    <row r="829" spans="1:19" ht="20.100000000000001" customHeight="1">
      <c r="A829" t="s">
        <v>3</v>
      </c>
      <c r="B829">
        <v>484</v>
      </c>
      <c r="C829" s="5">
        <f>('Raw Data'!C484-'Raw Data'!$C$244)/60</f>
        <v>19.987233333333403</v>
      </c>
      <c r="D829" s="5">
        <f>'Raw Data'!J484</f>
        <v>3.4472999999999998</v>
      </c>
      <c r="E829" s="5">
        <f>$D$589-D829</f>
        <v>3.8149500000000001</v>
      </c>
      <c r="F829" s="8">
        <f>10^(-D829)</f>
        <v>3.5702612803901508E-4</v>
      </c>
      <c r="G829" s="5">
        <f>(D829-D828)/(C829-C828)</f>
        <v>-0.17946161515454548</v>
      </c>
      <c r="H829" s="5">
        <f>$C$9+$C$10*EXP(-$C$11*C829)</f>
        <v>3.4709738677038846</v>
      </c>
      <c r="I829" s="5">
        <f>D829-H829</f>
        <v>-2.3673867703884799E-2</v>
      </c>
      <c r="J829" s="5">
        <f t="shared" si="19"/>
        <v>5.6045201206103969E-4</v>
      </c>
      <c r="K829" s="5">
        <f>$C$17+$C$16*C829</f>
        <v>2.7641908524059162</v>
      </c>
      <c r="L829" s="5">
        <f>(D829-K829)^2</f>
        <v>0.46663810752671547</v>
      </c>
      <c r="M829" s="5">
        <f>$C$40+$C$41*EXP(-$C$42*C829)</f>
        <v>0</v>
      </c>
      <c r="N829" s="5">
        <f>(D829-M829)^2</f>
        <v>11.883877289999999</v>
      </c>
      <c r="O829" s="5">
        <f>(C829+C828)/2</f>
        <v>19.945441666666738</v>
      </c>
      <c r="P829" s="5" t="str">
        <f>IF(AND(D828&gt;6,D829&lt;=6),C828+(6-D828)*(C829-C828)/(D829-D828),"")</f>
        <v/>
      </c>
      <c r="Q829" s="5" t="str">
        <f>IF(AND(D828&gt;5,D829&lt;=5),C828+(5-D828)*(C829-C828)/(D829-D828),"")</f>
        <v/>
      </c>
      <c r="R829" s="5" t="str">
        <f>IF(AND(D828&gt;4,D829&lt;=4),C828+(4-D828)*(C829-C828)/(D829-D828),"")</f>
        <v/>
      </c>
      <c r="S829" s="5" t="str">
        <f>IF(AND(D828&gt;3,D829&lt;=3),C828+(3-D828)*(C829-C828)/(D829-D828),"")</f>
        <v/>
      </c>
    </row>
    <row r="830" spans="1:19" ht="20.100000000000001" customHeight="1">
      <c r="A830" t="s">
        <v>3</v>
      </c>
      <c r="B830">
        <v>485</v>
      </c>
      <c r="C830" s="5">
        <f>('Raw Data'!C485-'Raw Data'!$C$244)/60</f>
        <v>20.070316666666738</v>
      </c>
      <c r="D830" s="5">
        <f>'Raw Data'!J485</f>
        <v>3.4599899999999999</v>
      </c>
      <c r="E830" s="5">
        <f>$D$589-D830</f>
        <v>3.80226</v>
      </c>
      <c r="F830" s="8">
        <f>10^(-D830)</f>
        <v>3.4674483445548069E-4</v>
      </c>
      <c r="G830" s="5">
        <f>(D830-D829)/(C830-C829)</f>
        <v>0.15273821464393073</v>
      </c>
      <c r="H830" s="5">
        <f>$C$9+$C$10*EXP(-$C$11*C830)</f>
        <v>3.470535440899889</v>
      </c>
      <c r="I830" s="5">
        <f>D830-H830</f>
        <v>-1.0545440899889069E-2</v>
      </c>
      <c r="J830" s="5">
        <f t="shared" si="19"/>
        <v>1.1120632377305319E-4</v>
      </c>
      <c r="K830" s="5">
        <f>$C$17+$C$16*C830</f>
        <v>2.7517856922182626</v>
      </c>
      <c r="L830" s="5">
        <f>(D830-K830)^2</f>
        <v>0.5015533415606096</v>
      </c>
      <c r="M830" s="5">
        <f>$C$40+$C$41*EXP(-$C$42*C830)</f>
        <v>0</v>
      </c>
      <c r="N830" s="5">
        <f>(D830-M830)^2</f>
        <v>11.9715308001</v>
      </c>
      <c r="O830" s="5">
        <f>(C830+C829)/2</f>
        <v>20.028775000000071</v>
      </c>
      <c r="P830" s="5" t="str">
        <f>IF(AND(D829&gt;6,D830&lt;=6),C829+(6-D829)*(C830-C829)/(D830-D829),"")</f>
        <v/>
      </c>
      <c r="Q830" s="5" t="str">
        <f>IF(AND(D829&gt;5,D830&lt;=5),C829+(5-D829)*(C830-C829)/(D830-D829),"")</f>
        <v/>
      </c>
      <c r="R830" s="5" t="str">
        <f>IF(AND(D829&gt;4,D830&lt;=4),C829+(4-D829)*(C830-C829)/(D830-D829),"")</f>
        <v/>
      </c>
      <c r="S830" s="5" t="str">
        <f>IF(AND(D829&gt;3,D830&lt;=3),C829+(3-D829)*(C830-C829)/(D830-D829),"")</f>
        <v/>
      </c>
    </row>
    <row r="831" spans="1:19" ht="20.100000000000001" customHeight="1">
      <c r="A831" t="s">
        <v>3</v>
      </c>
      <c r="B831">
        <v>486</v>
      </c>
      <c r="C831" s="5">
        <f>('Raw Data'!C486-'Raw Data'!$C$244)/60</f>
        <v>20.153650000000074</v>
      </c>
      <c r="D831" s="5">
        <f>'Raw Data'!J486</f>
        <v>3.4553799999999999</v>
      </c>
      <c r="E831" s="5">
        <f>$D$589-D831</f>
        <v>3.80687</v>
      </c>
      <c r="F831" s="8">
        <f>10^(-D831)</f>
        <v>3.5044510648640141E-4</v>
      </c>
      <c r="G831" s="5">
        <f>(D831-D830)/(C831-C830)</f>
        <v>-5.5319999999998461E-2</v>
      </c>
      <c r="H831" s="5">
        <f>$C$9+$C$10*EXP(-$C$11*C831)</f>
        <v>3.4701054256097756</v>
      </c>
      <c r="I831" s="5">
        <f>D831-H831</f>
        <v>-1.4725425609775744E-2</v>
      </c>
      <c r="J831" s="5">
        <f t="shared" si="19"/>
        <v>2.1683815938903933E-4</v>
      </c>
      <c r="K831" s="5">
        <f>$C$17+$C$16*C831</f>
        <v>2.7393432045676569</v>
      </c>
      <c r="L831" s="5">
        <f>(D831-K831)^2</f>
        <v>0.51270869241301897</v>
      </c>
      <c r="M831" s="5">
        <f>$C$40+$C$41*EXP(-$C$42*C831)</f>
        <v>0</v>
      </c>
      <c r="N831" s="5">
        <f>(D831-M831)^2</f>
        <v>11.939650944399999</v>
      </c>
      <c r="O831" s="5">
        <f>(C831+C830)/2</f>
        <v>20.111983333333406</v>
      </c>
      <c r="P831" s="5" t="str">
        <f>IF(AND(D830&gt;6,D831&lt;=6),C830+(6-D830)*(C831-C830)/(D831-D830),"")</f>
        <v/>
      </c>
      <c r="Q831" s="5" t="str">
        <f>IF(AND(D830&gt;5,D831&lt;=5),C830+(5-D830)*(C831-C830)/(D831-D830),"")</f>
        <v/>
      </c>
      <c r="R831" s="5" t="str">
        <f>IF(AND(D830&gt;4,D831&lt;=4),C830+(4-D830)*(C831-C830)/(D831-D830),"")</f>
        <v/>
      </c>
      <c r="S831" s="5" t="str">
        <f>IF(AND(D830&gt;3,D831&lt;=3),C830+(3-D830)*(C831-C830)/(D831-D830),"")</f>
        <v/>
      </c>
    </row>
    <row r="832" spans="1:19" ht="20.100000000000001" customHeight="1">
      <c r="A832" t="s">
        <v>4</v>
      </c>
      <c r="B832">
        <v>487</v>
      </c>
      <c r="C832" s="5">
        <f>('Raw Data'!C487-'Raw Data'!$C$487)/60</f>
        <v>0</v>
      </c>
      <c r="D832" s="5">
        <f>'Raw Data'!J487</f>
        <v>7.1284299999999998</v>
      </c>
      <c r="E832" s="5">
        <f>$D$832-D832</f>
        <v>0</v>
      </c>
      <c r="F832" s="8">
        <f>10^(-D832)</f>
        <v>7.4399497106492416E-8</v>
      </c>
      <c r="G832" s="5"/>
      <c r="H832" s="5">
        <f>$D$9+$D$10*EXP(-$D$11*C832)</f>
        <v>7.4601645331710227</v>
      </c>
      <c r="I832" s="5">
        <f>D832-H832</f>
        <v>-0.33173453317102286</v>
      </c>
      <c r="J832" s="5">
        <f t="shared" si="19"/>
        <v>0.11004780049819647</v>
      </c>
      <c r="K832" s="5">
        <f>$D$17+$D$16*C832</f>
        <v>6.0308441626665923</v>
      </c>
      <c r="L832" s="5">
        <f>(D832-K832)^2</f>
        <v>1.2046946703148773</v>
      </c>
      <c r="M832" s="5">
        <f>$D$40+$D$41*EXP(-$D$42*C832)</f>
        <v>0</v>
      </c>
      <c r="N832" s="5">
        <f>(D832-M832)^2</f>
        <v>50.814514264899998</v>
      </c>
      <c r="O832" s="5"/>
      <c r="P832" s="5"/>
      <c r="Q832" s="5"/>
      <c r="R832" s="5"/>
      <c r="S832" s="5"/>
    </row>
    <row r="833" spans="1:19" ht="20.100000000000001" customHeight="1">
      <c r="A833" t="s">
        <v>4</v>
      </c>
      <c r="B833">
        <v>488</v>
      </c>
      <c r="C833" s="5">
        <f>('Raw Data'!C488-'Raw Data'!$C$487)/60</f>
        <v>8.3066666666733624E-2</v>
      </c>
      <c r="D833" s="5">
        <f>'Raw Data'!J488</f>
        <v>7.1330499999999999</v>
      </c>
      <c r="E833" s="5">
        <f>$D$832-D833</f>
        <v>-4.6200000000000685E-3</v>
      </c>
      <c r="F833" s="8">
        <f>10^(-D833)</f>
        <v>7.3612234339926471E-8</v>
      </c>
      <c r="G833" s="5">
        <f>(D833-D832)/(C833-C832)</f>
        <v>5.5617977528045884E-2</v>
      </c>
      <c r="H833" s="5">
        <f>$D$9+$D$10*EXP(-$D$11*C833)</f>
        <v>7.3948144309821568</v>
      </c>
      <c r="I833" s="5">
        <f>D833-H833</f>
        <v>-0.26176443098215696</v>
      </c>
      <c r="J833" s="5">
        <f t="shared" si="19"/>
        <v>6.8520617327412409E-2</v>
      </c>
      <c r="K833" s="5">
        <f>$D$17+$D$16*C833</f>
        <v>6.0190587358207335</v>
      </c>
      <c r="L833" s="5">
        <f>(D833-K833)^2</f>
        <v>1.2409765366677201</v>
      </c>
      <c r="M833" s="5">
        <f>$D$40+$D$41*EXP(-$D$42*C833)</f>
        <v>0</v>
      </c>
      <c r="N833" s="5">
        <f>(D833-M833)^2</f>
        <v>50.880402302499995</v>
      </c>
      <c r="O833" s="5">
        <f>(C833+C832)/2</f>
        <v>4.1533333333366812E-2</v>
      </c>
      <c r="P833" s="5" t="str">
        <f>IF(AND(D832&gt;6,D833&lt;=6),C832+(6-D832)*(C833-C832)/(D833-D832),"")</f>
        <v/>
      </c>
      <c r="Q833" s="5" t="str">
        <f>IF(AND(D832&gt;5,D833&lt;=5),C832+(5-D832)*(C833-C832)/(D833-D832),"")</f>
        <v/>
      </c>
      <c r="R833" s="5" t="str">
        <f>IF(AND(D832&gt;4,D833&lt;=4),C832+(4-D832)*(C833-C832)/(D833-D832),"")</f>
        <v/>
      </c>
      <c r="S833" s="5" t="str">
        <f>IF(AND(D832&gt;3,D833&lt;=3),C832+(3-D832)*(C833-C832)/(D833-D832),"")</f>
        <v/>
      </c>
    </row>
    <row r="834" spans="1:19" ht="20.100000000000001" customHeight="1">
      <c r="A834" t="s">
        <v>4</v>
      </c>
      <c r="B834">
        <v>489</v>
      </c>
      <c r="C834" s="5">
        <f>('Raw Data'!C489-'Raw Data'!$C$487)/60</f>
        <v>0.16640000000006697</v>
      </c>
      <c r="D834" s="5">
        <f>'Raw Data'!J489</f>
        <v>7.0984400000000001</v>
      </c>
      <c r="E834" s="5">
        <f>$D$832-D834</f>
        <v>2.9989999999999739E-2</v>
      </c>
      <c r="F834" s="8">
        <f>10^(-D834)</f>
        <v>7.9718661838419114E-8</v>
      </c>
      <c r="G834" s="5">
        <f>(D834-D833)/(C834-C833)</f>
        <v>-0.41531999999999764</v>
      </c>
      <c r="H834" s="5">
        <f>$D$9+$D$10*EXP(-$D$11*C834)</f>
        <v>7.3304099466409554</v>
      </c>
      <c r="I834" s="5">
        <f>D834-H834</f>
        <v>-0.23196994664095527</v>
      </c>
      <c r="J834" s="5">
        <f t="shared" si="19"/>
        <v>5.3810056144607633E-2</v>
      </c>
      <c r="K834" s="5">
        <f>$D$17+$D$16*C834</f>
        <v>6.0072354745387821</v>
      </c>
      <c r="L834" s="5">
        <f>(D834-K834)^2</f>
        <v>1.1907273163870418</v>
      </c>
      <c r="M834" s="5">
        <f>$D$40+$D$41*EXP(-$D$42*C834)</f>
        <v>0</v>
      </c>
      <c r="N834" s="5">
        <f>(D834-M834)^2</f>
        <v>50.387850433600001</v>
      </c>
      <c r="O834" s="5">
        <f>(C834+C833)/2</f>
        <v>0.1247333333334003</v>
      </c>
      <c r="P834" s="5" t="str">
        <f>IF(AND(D833&gt;6,D834&lt;=6),C833+(6-D833)*(C834-C833)/(D834-D833),"")</f>
        <v/>
      </c>
      <c r="Q834" s="5" t="str">
        <f>IF(AND(D833&gt;5,D834&lt;=5),C833+(5-D833)*(C834-C833)/(D834-D833),"")</f>
        <v/>
      </c>
      <c r="R834" s="5" t="str">
        <f>IF(AND(D833&gt;4,D834&lt;=4),C833+(4-D833)*(C834-C833)/(D834-D833),"")</f>
        <v/>
      </c>
      <c r="S834" s="5" t="str">
        <f>IF(AND(D833&gt;3,D834&lt;=3),C833+(3-D833)*(C834-C833)/(D834-D833),"")</f>
        <v/>
      </c>
    </row>
    <row r="835" spans="1:19" ht="20.100000000000001" customHeight="1">
      <c r="A835" t="s">
        <v>4</v>
      </c>
      <c r="B835">
        <v>490</v>
      </c>
      <c r="C835" s="5">
        <f>('Raw Data'!C490-'Raw Data'!$C$487)/60</f>
        <v>0.24973333333340031</v>
      </c>
      <c r="D835" s="5">
        <f>'Raw Data'!J490</f>
        <v>7.0580600000000002</v>
      </c>
      <c r="E835" s="5">
        <f>$D$832-D835</f>
        <v>7.03699999999996E-2</v>
      </c>
      <c r="F835" s="8">
        <f>10^(-D835)</f>
        <v>8.7486290010153873E-8</v>
      </c>
      <c r="G835" s="5">
        <f>(D835-D834)/(C835-C834)</f>
        <v>-0.48455999999999827</v>
      </c>
      <c r="H835" s="5">
        <f>$D$9+$D$10*EXP(-$D$11*C835)</f>
        <v>7.2671423173760612</v>
      </c>
      <c r="I835" s="5">
        <f>D835-H835</f>
        <v>-0.20908231737606098</v>
      </c>
      <c r="J835" s="5">
        <f t="shared" si="19"/>
        <v>4.3715415439343888E-2</v>
      </c>
      <c r="K835" s="5">
        <f>$D$17+$D$16*C835</f>
        <v>5.9954122132568299</v>
      </c>
      <c r="L835" s="5">
        <f>(D835-K835)^2</f>
        <v>1.1292203186701584</v>
      </c>
      <c r="M835" s="5">
        <f>$D$40+$D$41*EXP(-$D$42*C835)</f>
        <v>0</v>
      </c>
      <c r="N835" s="5">
        <f>(D835-M835)^2</f>
        <v>49.8162109636</v>
      </c>
      <c r="O835" s="5">
        <f>(C835+C834)/2</f>
        <v>0.20806666666673362</v>
      </c>
      <c r="P835" s="5" t="str">
        <f>IF(AND(D834&gt;6,D835&lt;=6),C834+(6-D834)*(C835-C834)/(D835-D834),"")</f>
        <v/>
      </c>
      <c r="Q835" s="5" t="str">
        <f>IF(AND(D834&gt;5,D835&lt;=5),C834+(5-D834)*(C835-C834)/(D835-D834),"")</f>
        <v/>
      </c>
      <c r="R835" s="5" t="str">
        <f>IF(AND(D834&gt;4,D835&lt;=4),C834+(4-D834)*(C835-C834)/(D835-D834),"")</f>
        <v/>
      </c>
      <c r="S835" s="5" t="str">
        <f>IF(AND(D834&gt;3,D835&lt;=3),C834+(3-D834)*(C835-C834)/(D835-D834),"")</f>
        <v/>
      </c>
    </row>
    <row r="836" spans="1:19" ht="20.100000000000001" customHeight="1">
      <c r="A836" t="s">
        <v>4</v>
      </c>
      <c r="B836">
        <v>491</v>
      </c>
      <c r="C836" s="5">
        <f>('Raw Data'!C491-'Raw Data'!$C$487)/60</f>
        <v>0.33306666666673368</v>
      </c>
      <c r="D836" s="5">
        <f>'Raw Data'!J491</f>
        <v>7.0096100000000003</v>
      </c>
      <c r="E836" s="5">
        <f>$D$832-D836</f>
        <v>0.11881999999999948</v>
      </c>
      <c r="F836" s="8">
        <f>10^(-D836)</f>
        <v>9.781151821293118E-8</v>
      </c>
      <c r="G836" s="5">
        <f>(D836-D835)/(C836-C835)</f>
        <v>-0.58139999999999836</v>
      </c>
      <c r="H836" s="5">
        <f>$D$9+$D$10*EXP(-$D$11*C836)</f>
        <v>7.2049914756490434</v>
      </c>
      <c r="I836" s="5">
        <f>D836-H836</f>
        <v>-0.19538147564904307</v>
      </c>
      <c r="J836" s="5">
        <f t="shared" si="19"/>
        <v>3.8173921026797612E-2</v>
      </c>
      <c r="K836" s="5">
        <f>$D$17+$D$16*C836</f>
        <v>5.9835889519748786</v>
      </c>
      <c r="L836" s="5">
        <f>(D836-K836)^2</f>
        <v>1.0527191909905691</v>
      </c>
      <c r="M836" s="5">
        <f>$D$40+$D$41*EXP(-$D$42*C836)</f>
        <v>0</v>
      </c>
      <c r="N836" s="5">
        <f>(D836-M836)^2</f>
        <v>49.134632352100006</v>
      </c>
      <c r="O836" s="5">
        <f>(C836+C835)/2</f>
        <v>0.29140000000006699</v>
      </c>
      <c r="P836" s="5" t="str">
        <f>IF(AND(D835&gt;6,D836&lt;=6),C835+(6-D835)*(C836-C835)/(D836-D835),"")</f>
        <v/>
      </c>
      <c r="Q836" s="5" t="str">
        <f>IF(AND(D835&gt;5,D836&lt;=5),C835+(5-D835)*(C836-C835)/(D836-D835),"")</f>
        <v/>
      </c>
      <c r="R836" s="5" t="str">
        <f>IF(AND(D835&gt;4,D836&lt;=4),C835+(4-D835)*(C836-C835)/(D836-D835),"")</f>
        <v/>
      </c>
      <c r="S836" s="5" t="str">
        <f>IF(AND(D835&gt;3,D836&lt;=3),C835+(3-D835)*(C836-C835)/(D836-D835),"")</f>
        <v/>
      </c>
    </row>
    <row r="837" spans="1:19" ht="20.100000000000001" customHeight="1">
      <c r="A837" t="s">
        <v>4</v>
      </c>
      <c r="B837">
        <v>492</v>
      </c>
      <c r="C837" s="5">
        <f>('Raw Data'!C492-'Raw Data'!$C$487)/60</f>
        <v>0.41615000000007663</v>
      </c>
      <c r="D837" s="5">
        <f>'Raw Data'!J492</f>
        <v>6.9692400000000001</v>
      </c>
      <c r="E837" s="5">
        <f>$D$832-D837</f>
        <v>0.15918999999999972</v>
      </c>
      <c r="F837" s="8">
        <f>10^(-D837)</f>
        <v>1.0733960678208804E-7</v>
      </c>
      <c r="G837" s="5">
        <f>(D837-D836)/(C837-C836)</f>
        <v>-0.4858976930791844</v>
      </c>
      <c r="H837" s="5">
        <f>$D$9+$D$10*EXP(-$D$11*C837)</f>
        <v>7.1441192481418501</v>
      </c>
      <c r="I837" s="5">
        <f>D837-H837</f>
        <v>-0.17487924814184996</v>
      </c>
      <c r="J837" s="5">
        <f t="shared" si="19"/>
        <v>3.0582751430658733E-2</v>
      </c>
      <c r="K837" s="5">
        <f>$D$17+$D$16*C837</f>
        <v>5.9718011604767716</v>
      </c>
      <c r="L837" s="5">
        <f>(D837-K837)^2</f>
        <v>0.99488423858944486</v>
      </c>
      <c r="M837" s="5">
        <f>$D$40+$D$41*EXP(-$D$42*C837)</f>
        <v>0</v>
      </c>
      <c r="N837" s="5">
        <f>(D837-M837)^2</f>
        <v>48.570306177600003</v>
      </c>
      <c r="O837" s="5">
        <f>(C837+C836)/2</f>
        <v>0.37460833333340515</v>
      </c>
      <c r="P837" s="5" t="str">
        <f>IF(AND(D836&gt;6,D837&lt;=6),C836+(6-D836)*(C837-C836)/(D837-D836),"")</f>
        <v/>
      </c>
      <c r="Q837" s="5" t="str">
        <f>IF(AND(D836&gt;5,D837&lt;=5),C836+(5-D836)*(C837-C836)/(D837-D836),"")</f>
        <v/>
      </c>
      <c r="R837" s="5" t="str">
        <f>IF(AND(D836&gt;4,D837&lt;=4),C836+(4-D836)*(C837-C836)/(D837-D836),"")</f>
        <v/>
      </c>
      <c r="S837" s="5" t="str">
        <f>IF(AND(D836&gt;3,D837&lt;=3),C836+(3-D836)*(C837-C836)/(D837-D836),"")</f>
        <v/>
      </c>
    </row>
    <row r="838" spans="1:19" ht="20.100000000000001" customHeight="1">
      <c r="A838" t="s">
        <v>4</v>
      </c>
      <c r="B838">
        <v>493</v>
      </c>
      <c r="C838" s="5">
        <f>('Raw Data'!C493-'Raw Data'!$C$487)/60</f>
        <v>0.49948333333341</v>
      </c>
      <c r="D838" s="5">
        <f>'Raw Data'!J493</f>
        <v>6.9277100000000003</v>
      </c>
      <c r="E838" s="5">
        <f>$D$832-D838</f>
        <v>0.20071999999999957</v>
      </c>
      <c r="F838" s="8">
        <f>10^(-D838)</f>
        <v>1.1811090575798504E-7</v>
      </c>
      <c r="G838" s="5">
        <f>(D838-D837)/(C838-C837)</f>
        <v>-0.49835999999999792</v>
      </c>
      <c r="H838" s="5">
        <f>$D$9+$D$10*EXP(-$D$11*C838)</f>
        <v>7.0841399850276003</v>
      </c>
      <c r="I838" s="5">
        <f>D838-H838</f>
        <v>-0.15642998502760008</v>
      </c>
      <c r="J838" s="5">
        <f t="shared" si="19"/>
        <v>2.4470340215735187E-2</v>
      </c>
      <c r="K838" s="5">
        <f>$D$17+$D$16*C838</f>
        <v>5.9599778991948202</v>
      </c>
      <c r="L838" s="5">
        <f>(D838-K838)^2</f>
        <v>0.93650541892880712</v>
      </c>
      <c r="M838" s="5">
        <f>$D$40+$D$41*EXP(-$D$42*C838)</f>
        <v>0</v>
      </c>
      <c r="N838" s="5">
        <f>(D838-M838)^2</f>
        <v>47.993165844100005</v>
      </c>
      <c r="O838" s="5">
        <f>(C838+C837)/2</f>
        <v>0.45781666666674331</v>
      </c>
      <c r="P838" s="5" t="str">
        <f>IF(AND(D837&gt;6,D838&lt;=6),C837+(6-D837)*(C838-C837)/(D838-D837),"")</f>
        <v/>
      </c>
      <c r="Q838" s="5" t="str">
        <f>IF(AND(D837&gt;5,D838&lt;=5),C837+(5-D837)*(C838-C837)/(D838-D837),"")</f>
        <v/>
      </c>
      <c r="R838" s="5" t="str">
        <f>IF(AND(D837&gt;4,D838&lt;=4),C837+(4-D837)*(C838-C837)/(D838-D837),"")</f>
        <v/>
      </c>
      <c r="S838" s="5" t="str">
        <f>IF(AND(D837&gt;3,D838&lt;=3),C837+(3-D837)*(C838-C837)/(D838-D837),"")</f>
        <v/>
      </c>
    </row>
    <row r="839" spans="1:19" ht="20.100000000000001" customHeight="1">
      <c r="A839" t="s">
        <v>4</v>
      </c>
      <c r="B839">
        <v>494</v>
      </c>
      <c r="C839" s="5">
        <f>('Raw Data'!C494-'Raw Data'!$C$487)/60</f>
        <v>0.58281666666674325</v>
      </c>
      <c r="D839" s="5">
        <f>'Raw Data'!J494</f>
        <v>6.8780999999999999</v>
      </c>
      <c r="E839" s="5">
        <f>$D$832-D839</f>
        <v>0.25032999999999994</v>
      </c>
      <c r="F839" s="8">
        <f>10^(-D839)</f>
        <v>1.3240366293918917E-7</v>
      </c>
      <c r="G839" s="5">
        <f>(D839-D838)/(C839-C838)</f>
        <v>-0.59532000000000507</v>
      </c>
      <c r="H839" s="5">
        <f>$D$9+$D$10*EXP(-$D$11*C839)</f>
        <v>7.0252194638696306</v>
      </c>
      <c r="I839" s="5">
        <f>D839-H839</f>
        <v>-0.14711946386963071</v>
      </c>
      <c r="J839" s="5">
        <f t="shared" si="19"/>
        <v>2.1644136649287576E-2</v>
      </c>
      <c r="K839" s="5">
        <f>$D$17+$D$16*C839</f>
        <v>5.948154637912868</v>
      </c>
      <c r="L839" s="5">
        <f>(D839-K839)^2</f>
        <v>0.86479837646736679</v>
      </c>
      <c r="M839" s="5">
        <f>$D$40+$D$41*EXP(-$D$42*C839)</f>
        <v>0</v>
      </c>
      <c r="N839" s="5">
        <f>(D839-M839)^2</f>
        <v>47.30825961</v>
      </c>
      <c r="O839" s="5">
        <f>(C839+C838)/2</f>
        <v>0.54115000000007663</v>
      </c>
      <c r="P839" s="5" t="str">
        <f>IF(AND(D838&gt;6,D839&lt;=6),C838+(6-D838)*(C839-C838)/(D839-D838),"")</f>
        <v/>
      </c>
      <c r="Q839" s="5" t="str">
        <f>IF(AND(D838&gt;5,D839&lt;=5),C838+(5-D838)*(C839-C838)/(D839-D838),"")</f>
        <v/>
      </c>
      <c r="R839" s="5" t="str">
        <f>IF(AND(D838&gt;4,D839&lt;=4),C838+(4-D838)*(C839-C838)/(D839-D838),"")</f>
        <v/>
      </c>
      <c r="S839" s="5" t="str">
        <f>IF(AND(D838&gt;3,D839&lt;=3),C838+(3-D838)*(C839-C838)/(D839-D838),"")</f>
        <v/>
      </c>
    </row>
    <row r="840" spans="1:19" ht="20.100000000000001" customHeight="1">
      <c r="A840" t="s">
        <v>4</v>
      </c>
      <c r="B840">
        <v>495</v>
      </c>
      <c r="C840" s="5">
        <f>('Raw Data'!C495-'Raw Data'!$C$487)/60</f>
        <v>0.6658833333333557</v>
      </c>
      <c r="D840" s="5">
        <f>'Raw Data'!J495</f>
        <v>6.8457999999999997</v>
      </c>
      <c r="E840" s="5">
        <f>$D$832-D840</f>
        <v>0.28263000000000016</v>
      </c>
      <c r="F840" s="8">
        <f>10^(-D840)</f>
        <v>1.4262642613526164E-7</v>
      </c>
      <c r="G840" s="5">
        <f>(D840-D839)/(C840-C839)</f>
        <v>-0.38884430176590651</v>
      </c>
      <c r="H840" s="5">
        <f>$D$9+$D$10*EXP(-$D$11*C840)</f>
        <v>6.9675225742796041</v>
      </c>
      <c r="I840" s="5">
        <f>D840-H840</f>
        <v>-0.12172257427960442</v>
      </c>
      <c r="J840" s="5">
        <f t="shared" si="19"/>
        <v>1.4816385089253816E-2</v>
      </c>
      <c r="K840" s="5">
        <f>$D$17+$D$16*C840</f>
        <v>5.936369211067027</v>
      </c>
      <c r="L840" s="5">
        <f>(D840-K840)^2</f>
        <v>0.82706435985924909</v>
      </c>
      <c r="M840" s="5">
        <f>$D$40+$D$41*EXP(-$D$42*C840)</f>
        <v>0</v>
      </c>
      <c r="N840" s="5">
        <f>(D840-M840)^2</f>
        <v>46.864977639999992</v>
      </c>
      <c r="O840" s="5">
        <f>(C840+C839)/2</f>
        <v>0.62435000000004948</v>
      </c>
      <c r="P840" s="5" t="str">
        <f>IF(AND(D839&gt;6,D840&lt;=6),C839+(6-D839)*(C840-C839)/(D840-D839),"")</f>
        <v/>
      </c>
      <c r="Q840" s="5" t="str">
        <f>IF(AND(D839&gt;5,D840&lt;=5),C839+(5-D839)*(C840-C839)/(D840-D839),"")</f>
        <v/>
      </c>
      <c r="R840" s="5" t="str">
        <f>IF(AND(D839&gt;4,D840&lt;=4),C839+(4-D839)*(C840-C839)/(D840-D839),"")</f>
        <v/>
      </c>
      <c r="S840" s="5" t="str">
        <f>IF(AND(D839&gt;3,D840&lt;=3),C839+(3-D839)*(C840-C839)/(D840-D839),"")</f>
        <v/>
      </c>
    </row>
    <row r="841" spans="1:19" ht="20.100000000000001" customHeight="1">
      <c r="A841" t="s">
        <v>4</v>
      </c>
      <c r="B841">
        <v>496</v>
      </c>
      <c r="C841" s="5">
        <f>('Raw Data'!C496-'Raw Data'!$C$487)/60</f>
        <v>0.74948333333341</v>
      </c>
      <c r="D841" s="5">
        <f>'Raw Data'!J496</f>
        <v>6.8077300000000003</v>
      </c>
      <c r="E841" s="5">
        <f>$D$832-D841</f>
        <v>0.32069999999999954</v>
      </c>
      <c r="F841" s="8">
        <f>10^(-D841)</f>
        <v>1.5569332730467745E-7</v>
      </c>
      <c r="G841" s="5">
        <f>(D841-D840)/(C841-C840)</f>
        <v>-0.45538277511931408</v>
      </c>
      <c r="H841" s="5">
        <f>$D$9+$D$10*EXP(-$D$11*C841)</f>
        <v>6.910480222506715</v>
      </c>
      <c r="I841" s="5">
        <f>D841-H841</f>
        <v>-0.10275022250671473</v>
      </c>
      <c r="J841" s="5">
        <f t="shared" si="19"/>
        <v>1.0557608225179385E-2</v>
      </c>
      <c r="K841" s="5">
        <f>$D$17+$D$16*C841</f>
        <v>5.9245081153489654</v>
      </c>
      <c r="L841" s="5">
        <f>(D841-K841)^2</f>
        <v>0.78008089752652598</v>
      </c>
      <c r="M841" s="5">
        <f>$D$40+$D$41*EXP(-$D$42*C841)</f>
        <v>0</v>
      </c>
      <c r="N841" s="5">
        <f>(D841-M841)^2</f>
        <v>46.345187752900003</v>
      </c>
      <c r="O841" s="5">
        <f>(C841+C840)/2</f>
        <v>0.70768333333338285</v>
      </c>
      <c r="P841" s="5" t="str">
        <f>IF(AND(D840&gt;6,D841&lt;=6),C840+(6-D840)*(C841-C840)/(D841-D840),"")</f>
        <v/>
      </c>
      <c r="Q841" s="5" t="str">
        <f>IF(AND(D840&gt;5,D841&lt;=5),C840+(5-D840)*(C841-C840)/(D841-D840),"")</f>
        <v/>
      </c>
      <c r="R841" s="5" t="str">
        <f>IF(AND(D840&gt;4,D841&lt;=4),C840+(4-D840)*(C841-C840)/(D841-D840),"")</f>
        <v/>
      </c>
      <c r="S841" s="5" t="str">
        <f>IF(AND(D840&gt;3,D841&lt;=3),C840+(3-D840)*(C841-C840)/(D841-D840),"")</f>
        <v/>
      </c>
    </row>
    <row r="842" spans="1:19" ht="20.100000000000001" customHeight="1">
      <c r="A842" t="s">
        <v>4</v>
      </c>
      <c r="B842">
        <v>497</v>
      </c>
      <c r="C842" s="5">
        <f>('Raw Data'!C497-'Raw Data'!$C$487)/60</f>
        <v>0.83255000000002233</v>
      </c>
      <c r="D842" s="5">
        <f>'Raw Data'!J497</f>
        <v>6.7742800000000001</v>
      </c>
      <c r="E842" s="5">
        <f>$D$832-D842</f>
        <v>0.35414999999999974</v>
      </c>
      <c r="F842" s="8">
        <f>10^(-D842)</f>
        <v>1.6815895506542537E-7</v>
      </c>
      <c r="G842" s="5">
        <f>(D842-D841)/(C842-C841)</f>
        <v>-0.40268860353156599</v>
      </c>
      <c r="H842" s="5">
        <f>$D$9+$D$10*EXP(-$D$11*C842)</f>
        <v>6.8548022632818029</v>
      </c>
      <c r="I842" s="5">
        <f>D842-H842</f>
        <v>-8.0522263281802786E-2</v>
      </c>
      <c r="J842" s="5">
        <f t="shared" si="19"/>
        <v>6.4838348840239651E-3</v>
      </c>
      <c r="K842" s="5">
        <f>$D$17+$D$16*C842</f>
        <v>5.9127226885031234</v>
      </c>
      <c r="L842" s="5">
        <f>(D842-K842)^2</f>
        <v>0.74228100099372618</v>
      </c>
      <c r="M842" s="5">
        <f>$D$40+$D$41*EXP(-$D$42*C842)</f>
        <v>0</v>
      </c>
      <c r="N842" s="5">
        <f>(D842-M842)^2</f>
        <v>45.890869518400002</v>
      </c>
      <c r="O842" s="5">
        <f>(C842+C841)/2</f>
        <v>0.79101666666671622</v>
      </c>
      <c r="P842" s="5" t="str">
        <f>IF(AND(D841&gt;6,D842&lt;=6),C841+(6-D841)*(C842-C841)/(D842-D841),"")</f>
        <v/>
      </c>
      <c r="Q842" s="5" t="str">
        <f>IF(AND(D841&gt;5,D842&lt;=5),C841+(5-D841)*(C842-C841)/(D842-D841),"")</f>
        <v/>
      </c>
      <c r="R842" s="5" t="str">
        <f>IF(AND(D841&gt;4,D842&lt;=4),C841+(4-D841)*(C842-C841)/(D842-D841),"")</f>
        <v/>
      </c>
      <c r="S842" s="5" t="str">
        <f>IF(AND(D841&gt;3,D842&lt;=3),C841+(3-D841)*(C842-C841)/(D842-D841),"")</f>
        <v/>
      </c>
    </row>
    <row r="843" spans="1:19" ht="20.100000000000001" customHeight="1">
      <c r="A843" t="s">
        <v>4</v>
      </c>
      <c r="B843">
        <v>498</v>
      </c>
      <c r="C843" s="5">
        <f>('Raw Data'!C498-'Raw Data'!$C$487)/60</f>
        <v>0.9158833333333557</v>
      </c>
      <c r="D843" s="5">
        <f>'Raw Data'!J498</f>
        <v>6.7373599999999998</v>
      </c>
      <c r="E843" s="5">
        <f>$D$832-D843</f>
        <v>0.39107000000000003</v>
      </c>
      <c r="F843" s="8">
        <f>10^(-D843)</f>
        <v>1.8307961901578725E-7</v>
      </c>
      <c r="G843" s="5">
        <f>(D843-D842)/(C843-C842)</f>
        <v>-0.44304000000000321</v>
      </c>
      <c r="H843" s="5">
        <f>$D$9+$D$10*EXP(-$D$11*C843)</f>
        <v>6.7999299657191656</v>
      </c>
      <c r="I843" s="5">
        <f>D843-H843</f>
        <v>-6.2569965719165843E-2</v>
      </c>
      <c r="J843" s="5">
        <f t="shared" si="19"/>
        <v>3.9150006100975888E-3</v>
      </c>
      <c r="K843" s="5">
        <f>$D$17+$D$16*C843</f>
        <v>5.9008994272211721</v>
      </c>
      <c r="L843" s="5">
        <f>(D843-K843)^2</f>
        <v>0.69966628981348444</v>
      </c>
      <c r="M843" s="5">
        <f>$D$40+$D$41*EXP(-$D$42*C843)</f>
        <v>0</v>
      </c>
      <c r="N843" s="5">
        <f>(D843-M843)^2</f>
        <v>45.392019769599997</v>
      </c>
      <c r="O843" s="5">
        <f>(C843+C842)/2</f>
        <v>0.87421666666668907</v>
      </c>
      <c r="P843" s="5" t="str">
        <f>IF(AND(D842&gt;6,D843&lt;=6),C842+(6-D842)*(C843-C842)/(D843-D842),"")</f>
        <v/>
      </c>
      <c r="Q843" s="5" t="str">
        <f>IF(AND(D842&gt;5,D843&lt;=5),C842+(5-D842)*(C843-C842)/(D843-D842),"")</f>
        <v/>
      </c>
      <c r="R843" s="5" t="str">
        <f>IF(AND(D842&gt;4,D843&lt;=4),C842+(4-D842)*(C843-C842)/(D843-D842),"")</f>
        <v/>
      </c>
      <c r="S843" s="5" t="str">
        <f>IF(AND(D842&gt;3,D843&lt;=3),C842+(3-D842)*(C843-C842)/(D843-D842),"")</f>
        <v/>
      </c>
    </row>
    <row r="844" spans="1:19" ht="20.100000000000001" customHeight="1">
      <c r="A844" t="s">
        <v>4</v>
      </c>
      <c r="B844">
        <v>499</v>
      </c>
      <c r="C844" s="5">
        <f>('Raw Data'!C499-'Raw Data'!$C$487)/60</f>
        <v>0.99921666666668896</v>
      </c>
      <c r="D844" s="5">
        <f>'Raw Data'!J499</f>
        <v>6.7050599999999996</v>
      </c>
      <c r="E844" s="5">
        <f>$D$832-D844</f>
        <v>0.42337000000000025</v>
      </c>
      <c r="F844" s="8">
        <f>10^(-D844)</f>
        <v>1.9721502546662833E-7</v>
      </c>
      <c r="G844" s="5">
        <f>(D844-D843)/(C844-C843)</f>
        <v>-0.38760000000000294</v>
      </c>
      <c r="H844" s="5">
        <f>$D$9+$D$10*EXP(-$D$11*C844)</f>
        <v>6.7460262629783134</v>
      </c>
      <c r="I844" s="5">
        <f>D844-H844</f>
        <v>-4.096626297831385E-2</v>
      </c>
      <c r="J844" s="5">
        <f t="shared" si="19"/>
        <v>1.678234702408368E-3</v>
      </c>
      <c r="K844" s="5">
        <f>$D$17+$D$16*C844</f>
        <v>5.8890761659392208</v>
      </c>
      <c r="L844" s="5">
        <f>(D844-K844)^2</f>
        <v>0.66582961744852853</v>
      </c>
      <c r="M844" s="5">
        <f>$D$40+$D$41*EXP(-$D$42*C844)</f>
        <v>0</v>
      </c>
      <c r="N844" s="5">
        <f>(D844-M844)^2</f>
        <v>44.957829603599997</v>
      </c>
      <c r="O844" s="5">
        <f>(C844+C843)/2</f>
        <v>0.95755000000002233</v>
      </c>
      <c r="P844" s="5" t="str">
        <f>IF(AND(D843&gt;6,D844&lt;=6),C843+(6-D843)*(C844-C843)/(D844-D843),"")</f>
        <v/>
      </c>
      <c r="Q844" s="5" t="str">
        <f>IF(AND(D843&gt;5,D844&lt;=5),C843+(5-D843)*(C844-C843)/(D844-D843),"")</f>
        <v/>
      </c>
      <c r="R844" s="5" t="str">
        <f>IF(AND(D843&gt;4,D844&lt;=4),C843+(4-D843)*(C844-C843)/(D844-D843),"")</f>
        <v/>
      </c>
      <c r="S844" s="5" t="str">
        <f>IF(AND(D843&gt;3,D844&lt;=3),C843+(3-D843)*(C844-C843)/(D844-D843),"")</f>
        <v/>
      </c>
    </row>
    <row r="845" spans="1:19" ht="20.100000000000001" customHeight="1">
      <c r="A845" t="s">
        <v>4</v>
      </c>
      <c r="B845">
        <v>500</v>
      </c>
      <c r="C845" s="5">
        <f>('Raw Data'!C500-'Raw Data'!$C$487)/60</f>
        <v>1.0825500000000223</v>
      </c>
      <c r="D845" s="5">
        <f>'Raw Data'!J500</f>
        <v>6.6704499999999998</v>
      </c>
      <c r="E845" s="5">
        <f>$D$832-D845</f>
        <v>0.45798000000000005</v>
      </c>
      <c r="F845" s="8">
        <f>10^(-D845)</f>
        <v>2.1357479589642161E-7</v>
      </c>
      <c r="G845" s="5">
        <f>(D845-D844)/(C845-C844)</f>
        <v>-0.41531999999999752</v>
      </c>
      <c r="H845" s="5">
        <f>$D$9+$D$10*EXP(-$D$11*C845)</f>
        <v>6.6930740576171788</v>
      </c>
      <c r="I845" s="5">
        <f>D845-H845</f>
        <v>-2.2624057617179005E-2</v>
      </c>
      <c r="J845" s="5">
        <f t="shared" si="19"/>
        <v>5.1184798306543532E-4</v>
      </c>
      <c r="K845" s="5">
        <f>$D$17+$D$16*C845</f>
        <v>5.8772529046572686</v>
      </c>
      <c r="L845" s="5">
        <f>(D845-K845)^2</f>
        <v>0.62916163206014575</v>
      </c>
      <c r="M845" s="5">
        <f>$D$40+$D$41*EXP(-$D$42*C845)</f>
        <v>0</v>
      </c>
      <c r="N845" s="5">
        <f>(D845-M845)^2</f>
        <v>44.494903202499998</v>
      </c>
      <c r="O845" s="5">
        <f>(C845+C844)/2</f>
        <v>1.0408833333333556</v>
      </c>
      <c r="P845" s="5" t="str">
        <f>IF(AND(D844&gt;6,D845&lt;=6),C844+(6-D844)*(C845-C844)/(D845-D844),"")</f>
        <v/>
      </c>
      <c r="Q845" s="5" t="str">
        <f>IF(AND(D844&gt;5,D845&lt;=5),C844+(5-D844)*(C845-C844)/(D845-D844),"")</f>
        <v/>
      </c>
      <c r="R845" s="5" t="str">
        <f>IF(AND(D844&gt;4,D845&lt;=4),C844+(4-D844)*(C845-C844)/(D845-D844),"")</f>
        <v/>
      </c>
      <c r="S845" s="5" t="str">
        <f>IF(AND(D844&gt;3,D845&lt;=3),C844+(3-D844)*(C845-C844)/(D845-D844),"")</f>
        <v/>
      </c>
    </row>
    <row r="846" spans="1:19" ht="20.100000000000001" customHeight="1">
      <c r="A846" t="s">
        <v>4</v>
      </c>
      <c r="B846">
        <v>501</v>
      </c>
      <c r="C846" s="5">
        <f>('Raw Data'!C501-'Raw Data'!$C$487)/60</f>
        <v>1.1656333333333653</v>
      </c>
      <c r="D846" s="5">
        <f>'Raw Data'!J501</f>
        <v>6.6381500000000004</v>
      </c>
      <c r="E846" s="5">
        <f>$D$832-D846</f>
        <v>0.49027999999999938</v>
      </c>
      <c r="F846" s="8">
        <f>10^(-D846)</f>
        <v>2.3006470648221404E-7</v>
      </c>
      <c r="G846" s="5">
        <f>(D846-D845)/(C846-C845)</f>
        <v>-0.388766298896637</v>
      </c>
      <c r="H846" s="5">
        <f>$D$9+$D$10*EXP(-$D$11*C846)</f>
        <v>6.6412112251569466</v>
      </c>
      <c r="I846" s="5">
        <f>D846-H846</f>
        <v>-3.061225156946179E-3</v>
      </c>
      <c r="J846" s="5">
        <f t="shared" si="19"/>
        <v>9.3710994615201583E-6</v>
      </c>
      <c r="K846" s="5">
        <f>$D$17+$D$16*C846</f>
        <v>5.8654651131591615</v>
      </c>
      <c r="L846" s="5">
        <f>(D846-K846)^2</f>
        <v>0.59704193435224007</v>
      </c>
      <c r="M846" s="5">
        <f>$D$40+$D$41*EXP(-$D$42*C846)</f>
        <v>0</v>
      </c>
      <c r="N846" s="5">
        <f>(D846-M846)^2</f>
        <v>44.065035422500003</v>
      </c>
      <c r="O846" s="5">
        <f>(C846+C845)/2</f>
        <v>1.1240916666666938</v>
      </c>
      <c r="P846" s="5" t="str">
        <f>IF(AND(D845&gt;6,D846&lt;=6),C845+(6-D845)*(C846-C845)/(D846-D845),"")</f>
        <v/>
      </c>
      <c r="Q846" s="5" t="str">
        <f>IF(AND(D845&gt;5,D846&lt;=5),C845+(5-D845)*(C846-C845)/(D846-D845),"")</f>
        <v/>
      </c>
      <c r="R846" s="5" t="str">
        <f>IF(AND(D845&gt;4,D846&lt;=4),C845+(4-D845)*(C846-C845)/(D846-D845),"")</f>
        <v/>
      </c>
      <c r="S846" s="5" t="str">
        <f>IF(AND(D845&gt;3,D846&lt;=3),C845+(3-D845)*(C846-C845)/(D846-D845),"")</f>
        <v/>
      </c>
    </row>
    <row r="847" spans="1:19" ht="20.100000000000001" customHeight="1">
      <c r="A847" t="s">
        <v>4</v>
      </c>
      <c r="B847">
        <v>502</v>
      </c>
      <c r="C847" s="5">
        <f>('Raw Data'!C502-'Raw Data'!$C$487)/60</f>
        <v>1.2492166666666891</v>
      </c>
      <c r="D847" s="5">
        <f>'Raw Data'!J502</f>
        <v>6.6127700000000003</v>
      </c>
      <c r="E847" s="5">
        <f>$D$832-D847</f>
        <v>0.51565999999999956</v>
      </c>
      <c r="F847" s="8">
        <f>10^(-D847)</f>
        <v>2.4391022116714869E-7</v>
      </c>
      <c r="G847" s="5">
        <f>(D847-D846)/(C847-C846)</f>
        <v>-0.30364905284151239</v>
      </c>
      <c r="H847" s="5">
        <f>$D$9+$D$10*EXP(-$D$11*C847)</f>
        <v>6.5899572529415957</v>
      </c>
      <c r="I847" s="5">
        <f>D847-H847</f>
        <v>2.2812747058404526E-2</v>
      </c>
      <c r="J847" s="5">
        <f t="shared" si="19"/>
        <v>5.2042142835074438E-4</v>
      </c>
      <c r="K847" s="5">
        <f>$D$17+$D$16*C847</f>
        <v>5.8536063820933659</v>
      </c>
      <c r="L847" s="5">
        <f>(D847-K847)^2</f>
        <v>0.57632939875309031</v>
      </c>
      <c r="M847" s="5">
        <f>$D$40+$D$41*EXP(-$D$42*C847)</f>
        <v>0</v>
      </c>
      <c r="N847" s="5">
        <f>(D847-M847)^2</f>
        <v>43.7287270729</v>
      </c>
      <c r="O847" s="5">
        <f>(C847+C846)/2</f>
        <v>1.2074250000000273</v>
      </c>
      <c r="P847" s="5" t="str">
        <f>IF(AND(D846&gt;6,D847&lt;=6),C846+(6-D846)*(C847-C846)/(D847-D846),"")</f>
        <v/>
      </c>
      <c r="Q847" s="5" t="str">
        <f>IF(AND(D846&gt;5,D847&lt;=5),C846+(5-D846)*(C847-C846)/(D847-D846),"")</f>
        <v/>
      </c>
      <c r="R847" s="5" t="str">
        <f>IF(AND(D846&gt;4,D847&lt;=4),C846+(4-D846)*(C847-C846)/(D847-D846),"")</f>
        <v/>
      </c>
      <c r="S847" s="5" t="str">
        <f>IF(AND(D846&gt;3,D847&lt;=3),C846+(3-D846)*(C847-C846)/(D847-D846),"")</f>
        <v/>
      </c>
    </row>
    <row r="848" spans="1:19" ht="20.100000000000001" customHeight="1">
      <c r="A848" t="s">
        <v>4</v>
      </c>
      <c r="B848">
        <v>503</v>
      </c>
      <c r="C848" s="5">
        <f>('Raw Data'!C503-'Raw Data'!$C$487)/60</f>
        <v>1.332300000000032</v>
      </c>
      <c r="D848" s="5">
        <f>'Raw Data'!J503</f>
        <v>6.5793200000000001</v>
      </c>
      <c r="E848" s="5">
        <f>$D$832-D848</f>
        <v>0.54910999999999976</v>
      </c>
      <c r="F848" s="8">
        <f>10^(-D848)</f>
        <v>2.6343895805489855E-7</v>
      </c>
      <c r="G848" s="5">
        <f>(D848-D847)/(C848-C847)</f>
        <v>-0.40260782347036705</v>
      </c>
      <c r="H848" s="5">
        <f>$D$9+$D$10*EXP(-$D$11*C848)</f>
        <v>6.5399092054380361</v>
      </c>
      <c r="I848" s="5">
        <f>D848-H848</f>
        <v>3.9410794561963947E-2</v>
      </c>
      <c r="J848" s="5">
        <f t="shared" si="19"/>
        <v>1.553210728005327E-3</v>
      </c>
      <c r="K848" s="5">
        <f>$D$17+$D$16*C848</f>
        <v>5.8418185905952589</v>
      </c>
      <c r="L848" s="5">
        <f>(D848-K848)^2</f>
        <v>0.54390832887397966</v>
      </c>
      <c r="M848" s="5">
        <f>$D$40+$D$41*EXP(-$D$42*C848)</f>
        <v>0</v>
      </c>
      <c r="N848" s="5">
        <f>(D848-M848)^2</f>
        <v>43.287451662400002</v>
      </c>
      <c r="O848" s="5">
        <f>(C848+C847)/2</f>
        <v>1.2907583333333605</v>
      </c>
      <c r="P848" s="5" t="str">
        <f>IF(AND(D847&gt;6,D848&lt;=6),C847+(6-D847)*(C848-C847)/(D848-D847),"")</f>
        <v/>
      </c>
      <c r="Q848" s="5" t="str">
        <f>IF(AND(D847&gt;5,D848&lt;=5),C847+(5-D847)*(C848-C847)/(D848-D847),"")</f>
        <v/>
      </c>
      <c r="R848" s="5" t="str">
        <f>IF(AND(D847&gt;4,D848&lt;=4),C847+(4-D847)*(C848-C847)/(D848-D847),"")</f>
        <v/>
      </c>
      <c r="S848" s="5" t="str">
        <f>IF(AND(D847&gt;3,D848&lt;=3),C847+(3-D847)*(C848-C847)/(D848-D847),"")</f>
        <v/>
      </c>
    </row>
    <row r="849" spans="1:19" ht="20.100000000000001" customHeight="1">
      <c r="A849" t="s">
        <v>4</v>
      </c>
      <c r="B849">
        <v>504</v>
      </c>
      <c r="C849" s="5">
        <f>('Raw Data'!C504-'Raw Data'!$C$487)/60</f>
        <v>1.4156333333333653</v>
      </c>
      <c r="D849" s="5">
        <f>'Raw Data'!J504</f>
        <v>6.5527899999999999</v>
      </c>
      <c r="E849" s="5">
        <f>$D$832-D849</f>
        <v>0.57563999999999993</v>
      </c>
      <c r="F849" s="8">
        <f>10^(-D849)</f>
        <v>2.8003350743662607E-7</v>
      </c>
      <c r="G849" s="5">
        <f>(D849-D848)/(C849-C848)</f>
        <v>-0.31836000000000225</v>
      </c>
      <c r="H849" s="5">
        <f>$D$9+$D$10*EXP(-$D$11*C849)</f>
        <v>6.4905953371519507</v>
      </c>
      <c r="I849" s="5">
        <f>D849-H849</f>
        <v>6.2194662848049198E-2</v>
      </c>
      <c r="J849" s="5">
        <f t="shared" si="19"/>
        <v>3.8681760867825114E-3</v>
      </c>
      <c r="K849" s="5">
        <f>$D$17+$D$16*C849</f>
        <v>5.8299953293133067</v>
      </c>
      <c r="L849" s="5">
        <f>(D849-K849)^2</f>
        <v>0.52243213597308535</v>
      </c>
      <c r="M849" s="5">
        <f>$D$40+$D$41*EXP(-$D$42*C849)</f>
        <v>0</v>
      </c>
      <c r="N849" s="5">
        <f>(D849-M849)^2</f>
        <v>42.939056784099996</v>
      </c>
      <c r="O849" s="5">
        <f>(C849+C848)/2</f>
        <v>1.3739666666666985</v>
      </c>
      <c r="P849" s="5" t="str">
        <f>IF(AND(D848&gt;6,D849&lt;=6),C848+(6-D848)*(C849-C848)/(D849-D848),"")</f>
        <v/>
      </c>
      <c r="Q849" s="5" t="str">
        <f>IF(AND(D848&gt;5,D849&lt;=5),C848+(5-D848)*(C849-C848)/(D849-D848),"")</f>
        <v/>
      </c>
      <c r="R849" s="5" t="str">
        <f>IF(AND(D848&gt;4,D849&lt;=4),C848+(4-D848)*(C849-C848)/(D849-D848),"")</f>
        <v/>
      </c>
      <c r="S849" s="5" t="str">
        <f>IF(AND(D848&gt;3,D849&lt;=3),C848+(3-D848)*(C849-C848)/(D849-D848),"")</f>
        <v/>
      </c>
    </row>
    <row r="850" spans="1:19" ht="20.100000000000001" customHeight="1">
      <c r="A850" t="s">
        <v>4</v>
      </c>
      <c r="B850">
        <v>505</v>
      </c>
      <c r="C850" s="5">
        <f>('Raw Data'!C505-'Raw Data'!$C$487)/60</f>
        <v>1.4989666666666988</v>
      </c>
      <c r="D850" s="5">
        <f>'Raw Data'!J505</f>
        <v>6.5158699999999996</v>
      </c>
      <c r="E850" s="5">
        <f>$D$832-D850</f>
        <v>0.61256000000000022</v>
      </c>
      <c r="F850" s="8">
        <f>10^(-D850)</f>
        <v>3.0488074710743287E-7</v>
      </c>
      <c r="G850" s="5">
        <f>(D850-D849)/(C850-C849)</f>
        <v>-0.44304000000000265</v>
      </c>
      <c r="H850" s="5">
        <f>$D$9+$D$10*EXP(-$D$11*C850)</f>
        <v>6.4421519474057805</v>
      </c>
      <c r="I850" s="5">
        <f>D850-H850</f>
        <v>7.3718052594219152E-2</v>
      </c>
      <c r="J850" s="5">
        <f t="shared" si="19"/>
        <v>5.4343512782840612E-3</v>
      </c>
      <c r="K850" s="5">
        <f>$D$17+$D$16*C850</f>
        <v>5.8181720680313553</v>
      </c>
      <c r="L850" s="5">
        <f>(D850-K850)^2</f>
        <v>0.48678240427332298</v>
      </c>
      <c r="M850" s="5">
        <f>$D$40+$D$41*EXP(-$D$42*C850)</f>
        <v>0</v>
      </c>
      <c r="N850" s="5">
        <f>(D850-M850)^2</f>
        <v>42.456561856899995</v>
      </c>
      <c r="O850" s="5">
        <f>(C850+C849)/2</f>
        <v>1.457300000000032</v>
      </c>
      <c r="P850" s="5" t="str">
        <f>IF(AND(D849&gt;6,D850&lt;=6),C849+(6-D849)*(C850-C849)/(D850-D849),"")</f>
        <v/>
      </c>
      <c r="Q850" s="5" t="str">
        <f>IF(AND(D849&gt;5,D850&lt;=5),C849+(5-D849)*(C850-C849)/(D850-D849),"")</f>
        <v/>
      </c>
      <c r="R850" s="5" t="str">
        <f>IF(AND(D849&gt;4,D850&lt;=4),C849+(4-D849)*(C850-C849)/(D850-D849),"")</f>
        <v/>
      </c>
      <c r="S850" s="5" t="str">
        <f>IF(AND(D849&gt;3,D850&lt;=3),C849+(3-D849)*(C850-C849)/(D850-D849),"")</f>
        <v/>
      </c>
    </row>
    <row r="851" spans="1:19" ht="20.100000000000001" customHeight="1">
      <c r="A851" t="s">
        <v>4</v>
      </c>
      <c r="B851">
        <v>506</v>
      </c>
      <c r="C851" s="5">
        <f>('Raw Data'!C506-'Raw Data'!$C$487)/60</f>
        <v>1.582300000000032</v>
      </c>
      <c r="D851" s="5">
        <f>'Raw Data'!J506</f>
        <v>6.4835700000000003</v>
      </c>
      <c r="E851" s="5">
        <f>$D$832-D851</f>
        <v>0.64485999999999954</v>
      </c>
      <c r="F851" s="8">
        <f>10^(-D851)</f>
        <v>3.2842030493788598E-7</v>
      </c>
      <c r="G851" s="5">
        <f>(D851-D850)/(C851-C850)</f>
        <v>-0.38759999999999228</v>
      </c>
      <c r="H851" s="5">
        <f>$D$9+$D$10*EXP(-$D$11*C851)</f>
        <v>6.3945636706864395</v>
      </c>
      <c r="I851" s="5">
        <f>D851-H851</f>
        <v>8.9006329313560784E-2</v>
      </c>
      <c r="J851" s="5">
        <f t="shared" si="19"/>
        <v>7.9221266578740294E-3</v>
      </c>
      <c r="K851" s="5">
        <f>$D$17+$D$16*C851</f>
        <v>5.806348806749404</v>
      </c>
      <c r="L851" s="5">
        <f>(D851-K851)^2</f>
        <v>0.45862854458776148</v>
      </c>
      <c r="M851" s="5">
        <f>$D$40+$D$41*EXP(-$D$42*C851)</f>
        <v>0</v>
      </c>
      <c r="N851" s="5">
        <f>(D851-M851)^2</f>
        <v>42.036679944900001</v>
      </c>
      <c r="O851" s="5">
        <f>(C851+C850)/2</f>
        <v>1.5406333333333655</v>
      </c>
      <c r="P851" s="5" t="str">
        <f>IF(AND(D850&gt;6,D851&lt;=6),C850+(6-D850)*(C851-C850)/(D851-D850),"")</f>
        <v/>
      </c>
      <c r="Q851" s="5" t="str">
        <f>IF(AND(D850&gt;5,D851&lt;=5),C850+(5-D850)*(C851-C850)/(D851-D850),"")</f>
        <v/>
      </c>
      <c r="R851" s="5" t="str">
        <f>IF(AND(D850&gt;4,D851&lt;=4),C850+(4-D850)*(C851-C850)/(D851-D850),"")</f>
        <v/>
      </c>
      <c r="S851" s="5" t="str">
        <f>IF(AND(D850&gt;3,D851&lt;=3),C850+(3-D850)*(C851-C850)/(D851-D850),"")</f>
        <v/>
      </c>
    </row>
    <row r="852" spans="1:19" ht="20.100000000000001" customHeight="1">
      <c r="A852" t="s">
        <v>4</v>
      </c>
      <c r="B852">
        <v>507</v>
      </c>
      <c r="C852" s="5">
        <f>('Raw Data'!C507-'Raw Data'!$C$487)/60</f>
        <v>1.6653666666666438</v>
      </c>
      <c r="D852" s="5">
        <f>'Raw Data'!J507</f>
        <v>6.4501200000000001</v>
      </c>
      <c r="E852" s="5">
        <f>$D$832-D852</f>
        <v>0.67830999999999975</v>
      </c>
      <c r="F852" s="8">
        <f>10^(-D852)</f>
        <v>3.5471536421435387E-7</v>
      </c>
      <c r="G852" s="5">
        <f>(D852-D851)/(C852-C851)</f>
        <v>-0.40268860353156866</v>
      </c>
      <c r="H852" s="5">
        <f>$D$9+$D$10*EXP(-$D$11*C852)</f>
        <v>6.3479636832169808</v>
      </c>
      <c r="I852" s="5">
        <f>D852-H852</f>
        <v>0.10215631678301929</v>
      </c>
      <c r="J852" s="5">
        <f t="shared" si="19"/>
        <v>1.0435913058672587E-2</v>
      </c>
      <c r="K852" s="5">
        <f>$D$17+$D$16*C852</f>
        <v>5.7945633799035621</v>
      </c>
      <c r="L852" s="5">
        <f>(D852-K852)^2</f>
        <v>0.42975448215226553</v>
      </c>
      <c r="M852" s="5">
        <f>$D$40+$D$41*EXP(-$D$42*C852)</f>
        <v>0</v>
      </c>
      <c r="N852" s="5">
        <f>(D852-M852)^2</f>
        <v>41.6040480144</v>
      </c>
      <c r="O852" s="5">
        <f>(C852+C851)/2</f>
        <v>1.6238333333333379</v>
      </c>
      <c r="P852" s="5" t="str">
        <f>IF(AND(D851&gt;6,D852&lt;=6),C851+(6-D851)*(C852-C851)/(D852-D851),"")</f>
        <v/>
      </c>
      <c r="Q852" s="5" t="str">
        <f>IF(AND(D851&gt;5,D852&lt;=5),C851+(5-D851)*(C852-C851)/(D852-D851),"")</f>
        <v/>
      </c>
      <c r="R852" s="5" t="str">
        <f>IF(AND(D851&gt;4,D852&lt;=4),C851+(4-D851)*(C852-C851)/(D852-D851),"")</f>
        <v/>
      </c>
      <c r="S852" s="5" t="str">
        <f>IF(AND(D851&gt;3,D852&lt;=3),C851+(3-D851)*(C852-C851)/(D852-D851),"")</f>
        <v/>
      </c>
    </row>
    <row r="853" spans="1:19" ht="20.100000000000001" customHeight="1">
      <c r="A853" t="s">
        <v>4</v>
      </c>
      <c r="B853">
        <v>508</v>
      </c>
      <c r="C853" s="5">
        <f>('Raw Data'!C508-'Raw Data'!$C$487)/60</f>
        <v>1.748966666666699</v>
      </c>
      <c r="D853" s="5">
        <f>'Raw Data'!J508</f>
        <v>6.4316599999999999</v>
      </c>
      <c r="E853" s="5">
        <f>$D$832-D853</f>
        <v>0.69676999999999989</v>
      </c>
      <c r="F853" s="8">
        <f>10^(-D853)</f>
        <v>3.7011782383385415E-7</v>
      </c>
      <c r="G853" s="5">
        <f>(D853-D852)/(C853-C852)</f>
        <v>-0.22081339712904255</v>
      </c>
      <c r="H853" s="5">
        <f>$D$9+$D$10*EXP(-$D$11*C853)</f>
        <v>6.3018923456330462</v>
      </c>
      <c r="I853" s="5">
        <f>D853-H853</f>
        <v>0.1297676543669537</v>
      </c>
      <c r="J853" s="5">
        <f t="shared" si="19"/>
        <v>1.6839644119901159E-2</v>
      </c>
      <c r="K853" s="5">
        <f>$D$17+$D$16*C853</f>
        <v>5.7827022841855005</v>
      </c>
      <c r="L853" s="5">
        <f>(D853-K853)^2</f>
        <v>0.42114611691517262</v>
      </c>
      <c r="M853" s="5">
        <f>$D$40+$D$41*EXP(-$D$42*C853)</f>
        <v>0</v>
      </c>
      <c r="N853" s="5">
        <f>(D853-M853)^2</f>
        <v>41.366250355600002</v>
      </c>
      <c r="O853" s="5">
        <f>(C853+C852)/2</f>
        <v>1.7071666666666714</v>
      </c>
      <c r="P853" s="5" t="str">
        <f>IF(AND(D852&gt;6,D853&lt;=6),C852+(6-D852)*(C853-C852)/(D853-D852),"")</f>
        <v/>
      </c>
      <c r="Q853" s="5" t="str">
        <f>IF(AND(D852&gt;5,D853&lt;=5),C852+(5-D852)*(C853-C852)/(D853-D852),"")</f>
        <v/>
      </c>
      <c r="R853" s="5" t="str">
        <f>IF(AND(D852&gt;4,D853&lt;=4),C852+(4-D852)*(C853-C852)/(D853-D852),"")</f>
        <v/>
      </c>
      <c r="S853" s="5" t="str">
        <f>IF(AND(D852&gt;3,D853&lt;=3),C852+(3-D852)*(C853-C852)/(D853-D852),"")</f>
        <v/>
      </c>
    </row>
    <row r="854" spans="1:19" ht="20.100000000000001" customHeight="1">
      <c r="A854" t="s">
        <v>4</v>
      </c>
      <c r="B854">
        <v>509</v>
      </c>
      <c r="C854" s="5">
        <f>('Raw Data'!C509-'Raw Data'!$C$487)/60</f>
        <v>1.8320333333333105</v>
      </c>
      <c r="D854" s="5">
        <f>'Raw Data'!J509</f>
        <v>6.3982099999999997</v>
      </c>
      <c r="E854" s="5">
        <f>$D$832-D854</f>
        <v>0.73022000000000009</v>
      </c>
      <c r="F854" s="8">
        <f>10^(-D854)</f>
        <v>3.997514060778917E-7</v>
      </c>
      <c r="G854" s="5">
        <f>(D854-D853)/(C854-C853)</f>
        <v>-0.40268860353156977</v>
      </c>
      <c r="H854" s="5">
        <f>$D$9+$D$10*EXP(-$D$11*C854)</f>
        <v>6.2569229855749526</v>
      </c>
      <c r="I854" s="5">
        <f>D854-H854</f>
        <v>0.1412870144250471</v>
      </c>
      <c r="J854" s="5">
        <f t="shared" si="19"/>
        <v>1.9962020445143468E-2</v>
      </c>
      <c r="K854" s="5">
        <f>$D$17+$D$16*C854</f>
        <v>5.7709168573396594</v>
      </c>
      <c r="L854" s="5">
        <f>(D854-K854)^2</f>
        <v>0.39349668682868605</v>
      </c>
      <c r="M854" s="5">
        <f>$D$40+$D$41*EXP(-$D$42*C854)</f>
        <v>0</v>
      </c>
      <c r="N854" s="5">
        <f>(D854-M854)^2</f>
        <v>40.9370912041</v>
      </c>
      <c r="O854" s="5">
        <f>(C854+C853)/2</f>
        <v>1.7905000000000046</v>
      </c>
      <c r="P854" s="5" t="str">
        <f>IF(AND(D853&gt;6,D854&lt;=6),C853+(6-D853)*(C854-C853)/(D854-D853),"")</f>
        <v/>
      </c>
      <c r="Q854" s="5" t="str">
        <f>IF(AND(D853&gt;5,D854&lt;=5),C853+(5-D853)*(C854-C853)/(D854-D853),"")</f>
        <v/>
      </c>
      <c r="R854" s="5" t="str">
        <f>IF(AND(D853&gt;4,D854&lt;=4),C853+(4-D853)*(C854-C853)/(D854-D853),"")</f>
        <v/>
      </c>
      <c r="S854" s="5" t="str">
        <f>IF(AND(D853&gt;3,D854&lt;=3),C853+(3-D853)*(C854-C853)/(D854-D853),"")</f>
        <v/>
      </c>
    </row>
    <row r="855" spans="1:19" ht="20.100000000000001" customHeight="1">
      <c r="A855" t="s">
        <v>4</v>
      </c>
      <c r="B855">
        <v>510</v>
      </c>
      <c r="C855" s="5">
        <f>('Raw Data'!C510-'Raw Data'!$C$487)/60</f>
        <v>1.9153666666666438</v>
      </c>
      <c r="D855" s="5">
        <f>'Raw Data'!J510</f>
        <v>6.3612900000000003</v>
      </c>
      <c r="E855" s="5">
        <f>$D$832-D855</f>
        <v>0.76713999999999949</v>
      </c>
      <c r="F855" s="8">
        <f>10^(-D855)</f>
        <v>4.3522115784610472E-7</v>
      </c>
      <c r="G855" s="5">
        <f>(D855-D854)/(C855-C854)</f>
        <v>-0.44303999999999316</v>
      </c>
      <c r="H855" s="5">
        <f>$D$9+$D$10*EXP(-$D$11*C855)</f>
        <v>6.2126043334429433</v>
      </c>
      <c r="I855" s="5">
        <f>D855-H855</f>
        <v>0.14868566655705706</v>
      </c>
      <c r="J855" s="5">
        <f t="shared" si="19"/>
        <v>2.2107427439516356E-2</v>
      </c>
      <c r="K855" s="5">
        <f>$D$17+$D$16*C855</f>
        <v>5.7590935960577072</v>
      </c>
      <c r="L855" s="5">
        <f>(D855-K855)^2</f>
        <v>0.36264050892102945</v>
      </c>
      <c r="M855" s="5">
        <f>$D$40+$D$41*EXP(-$D$42*C855)</f>
        <v>0</v>
      </c>
      <c r="N855" s="5">
        <f>(D855-M855)^2</f>
        <v>40.466010464100002</v>
      </c>
      <c r="O855" s="5">
        <f>(C855+C854)/2</f>
        <v>1.8736999999999773</v>
      </c>
      <c r="P855" s="5" t="str">
        <f>IF(AND(D854&gt;6,D855&lt;=6),C854+(6-D854)*(C855-C854)/(D855-D854),"")</f>
        <v/>
      </c>
      <c r="Q855" s="5" t="str">
        <f>IF(AND(D854&gt;5,D855&lt;=5),C854+(5-D854)*(C855-C854)/(D855-D854),"")</f>
        <v/>
      </c>
      <c r="R855" s="5" t="str">
        <f>IF(AND(D854&gt;4,D855&lt;=4),C854+(4-D854)*(C855-C854)/(D855-D854),"")</f>
        <v/>
      </c>
      <c r="S855" s="5" t="str">
        <f>IF(AND(D854&gt;3,D855&lt;=3),C854+(3-D854)*(C855-C854)/(D855-D854),"")</f>
        <v/>
      </c>
    </row>
    <row r="856" spans="1:19" ht="20.100000000000001" customHeight="1">
      <c r="A856" t="s">
        <v>4</v>
      </c>
      <c r="B856">
        <v>511</v>
      </c>
      <c r="C856" s="5">
        <f>('Raw Data'!C511-'Raw Data'!$C$487)/60</f>
        <v>1.9984333333333772</v>
      </c>
      <c r="D856" s="5">
        <f>'Raw Data'!J511</f>
        <v>6.3416800000000002</v>
      </c>
      <c r="E856" s="5">
        <f>$D$832-D856</f>
        <v>0.78674999999999962</v>
      </c>
      <c r="F856" s="8">
        <f>10^(-D856)</f>
        <v>4.5532343128209943E-7</v>
      </c>
      <c r="G856" s="5">
        <f>(D856-D855)/(C856-C855)</f>
        <v>-0.23607544141233178</v>
      </c>
      <c r="H856" s="5">
        <f>$D$9+$D$10*EXP(-$D$11*C856)</f>
        <v>6.169206068651846</v>
      </c>
      <c r="I856" s="5">
        <f>D856-H856</f>
        <v>0.17247393134815425</v>
      </c>
      <c r="J856" s="5">
        <f t="shared" si="19"/>
        <v>2.9747256994687825E-2</v>
      </c>
      <c r="K856" s="5">
        <f>$D$17+$D$16*C856</f>
        <v>5.7473081692118484</v>
      </c>
      <c r="L856" s="5">
        <f>(D856-K856)^2</f>
        <v>0.35327787323445936</v>
      </c>
      <c r="M856" s="5">
        <f>$D$40+$D$41*EXP(-$D$42*C856)</f>
        <v>0</v>
      </c>
      <c r="N856" s="5">
        <f>(D856-M856)^2</f>
        <v>40.216905222400001</v>
      </c>
      <c r="O856" s="5">
        <f>(C856+C855)/2</f>
        <v>1.9569000000000105</v>
      </c>
      <c r="P856" s="5" t="str">
        <f>IF(AND(D855&gt;6,D856&lt;=6),C855+(6-D855)*(C856-C855)/(D856-D855),"")</f>
        <v/>
      </c>
      <c r="Q856" s="5" t="str">
        <f>IF(AND(D855&gt;5,D856&lt;=5),C855+(5-D855)*(C856-C855)/(D856-D855),"")</f>
        <v/>
      </c>
      <c r="R856" s="5" t="str">
        <f>IF(AND(D855&gt;4,D856&lt;=4),C855+(4-D855)*(C856-C855)/(D856-D855),"")</f>
        <v/>
      </c>
      <c r="S856" s="5" t="str">
        <f>IF(AND(D855&gt;3,D856&lt;=3),C855+(3-D855)*(C856-C855)/(D856-D855),"")</f>
        <v/>
      </c>
    </row>
    <row r="857" spans="1:19" ht="20.100000000000001" customHeight="1">
      <c r="A857" t="s">
        <v>4</v>
      </c>
      <c r="B857">
        <v>512</v>
      </c>
      <c r="C857" s="5">
        <f>('Raw Data'!C512-'Raw Data'!$C$487)/60</f>
        <v>2.0817666666667107</v>
      </c>
      <c r="D857" s="5">
        <f>'Raw Data'!J512</f>
        <v>6.3116899999999996</v>
      </c>
      <c r="E857" s="5">
        <f>$D$832-D857</f>
        <v>0.81674000000000024</v>
      </c>
      <c r="F857" s="8">
        <f>10^(-D857)</f>
        <v>4.8787661284230438E-7</v>
      </c>
      <c r="G857" s="5">
        <f>(D857-D856)/(C857-C856)</f>
        <v>-0.35988000000000686</v>
      </c>
      <c r="H857" s="5">
        <f>$D$9+$D$10*EXP(-$D$11*C857)</f>
        <v>6.1264357779934508</v>
      </c>
      <c r="I857" s="5">
        <f>D857-H857</f>
        <v>0.18525422200654873</v>
      </c>
      <c r="J857" s="5">
        <f t="shared" si="19"/>
        <v>3.4319126771251644E-2</v>
      </c>
      <c r="K857" s="5">
        <f>$D$17+$D$16*C857</f>
        <v>5.7354849079298971</v>
      </c>
      <c r="L857" s="5">
        <f>(D857-K857)^2</f>
        <v>0.33201230812751531</v>
      </c>
      <c r="M857" s="5">
        <f>$D$40+$D$41*EXP(-$D$42*C857)</f>
        <v>0</v>
      </c>
      <c r="N857" s="5">
        <f>(D857-M857)^2</f>
        <v>39.837430656099997</v>
      </c>
      <c r="O857" s="5">
        <f>(C857+C856)/2</f>
        <v>2.0401000000000442</v>
      </c>
      <c r="P857" s="5" t="str">
        <f>IF(AND(D856&gt;6,D857&lt;=6),C856+(6-D856)*(C857-C856)/(D857-D856),"")</f>
        <v/>
      </c>
      <c r="Q857" s="5" t="str">
        <f>IF(AND(D856&gt;5,D857&lt;=5),C856+(5-D856)*(C857-C856)/(D857-D856),"")</f>
        <v/>
      </c>
      <c r="R857" s="5" t="str">
        <f>IF(AND(D856&gt;4,D857&lt;=4),C856+(4-D856)*(C857-C856)/(D857-D856),"")</f>
        <v/>
      </c>
      <c r="S857" s="5" t="str">
        <f>IF(AND(D856&gt;3,D857&lt;=3),C856+(3-D856)*(C857-C856)/(D857-D856),"")</f>
        <v/>
      </c>
    </row>
    <row r="858" spans="1:19" ht="20.100000000000001" customHeight="1">
      <c r="A858" t="s">
        <v>4</v>
      </c>
      <c r="B858">
        <v>513</v>
      </c>
      <c r="C858" s="5">
        <f>('Raw Data'!C513-'Raw Data'!$C$487)/60</f>
        <v>2.1651000000000442</v>
      </c>
      <c r="D858" s="5">
        <f>'Raw Data'!J513</f>
        <v>6.2816900000000002</v>
      </c>
      <c r="E858" s="5">
        <f>$D$832-D858</f>
        <v>0.8467399999999996</v>
      </c>
      <c r="F858" s="8">
        <f>10^(-D858)</f>
        <v>5.2276920923446158E-7</v>
      </c>
      <c r="G858" s="5">
        <f>(D858-D857)/(C858-C857)</f>
        <v>-0.35999999999999166</v>
      </c>
      <c r="H858" s="5">
        <f>$D$9+$D$10*EXP(-$D$11*C858)</f>
        <v>6.0844204599514438</v>
      </c>
      <c r="I858" s="5">
        <f>D858-H858</f>
        <v>0.19726954004855646</v>
      </c>
      <c r="J858" s="5">
        <f t="shared" si="19"/>
        <v>3.8915271430969019E-2</v>
      </c>
      <c r="K858" s="5">
        <f>$D$17+$D$16*C858</f>
        <v>5.7236616466479457</v>
      </c>
      <c r="L858" s="5">
        <f>(D858-K858)^2</f>
        <v>0.31139564314480539</v>
      </c>
      <c r="M858" s="5">
        <f>$D$40+$D$41*EXP(-$D$42*C858)</f>
        <v>0</v>
      </c>
      <c r="N858" s="5">
        <f>(D858-M858)^2</f>
        <v>39.459629256100001</v>
      </c>
      <c r="O858" s="5">
        <f>(C858+C857)/2</f>
        <v>2.1234333333333772</v>
      </c>
      <c r="P858" s="5" t="str">
        <f>IF(AND(D857&gt;6,D858&lt;=6),C857+(6-D857)*(C858-C857)/(D858-D857),"")</f>
        <v/>
      </c>
      <c r="Q858" s="5" t="str">
        <f>IF(AND(D857&gt;5,D858&lt;=5),C857+(5-D857)*(C858-C857)/(D858-D857),"")</f>
        <v/>
      </c>
      <c r="R858" s="5" t="str">
        <f>IF(AND(D857&gt;4,D858&lt;=4),C857+(4-D857)*(C858-C857)/(D858-D857),"")</f>
        <v/>
      </c>
      <c r="S858" s="5" t="str">
        <f>IF(AND(D857&gt;3,D858&lt;=3),C857+(3-D857)*(C858-C857)/(D858-D857),"")</f>
        <v/>
      </c>
    </row>
    <row r="859" spans="1:19" ht="20.100000000000001" customHeight="1">
      <c r="A859" t="s">
        <v>4</v>
      </c>
      <c r="B859">
        <v>514</v>
      </c>
      <c r="C859" s="5">
        <f>('Raw Data'!C514-'Raw Data'!$C$487)/60</f>
        <v>2.2481833333333872</v>
      </c>
      <c r="D859" s="5">
        <f>'Raw Data'!J514</f>
        <v>6.24939</v>
      </c>
      <c r="E859" s="5">
        <f>$D$832-D859</f>
        <v>0.87903999999999982</v>
      </c>
      <c r="F859" s="8">
        <f>10^(-D859)</f>
        <v>5.6313173179289396E-7</v>
      </c>
      <c r="G859" s="5">
        <f>(D859-D858)/(C859-C858)</f>
        <v>-0.38876629889664771</v>
      </c>
      <c r="H859" s="5">
        <f>$D$9+$D$10*EXP(-$D$11*C859)</f>
        <v>6.0432695128753968</v>
      </c>
      <c r="I859" s="5">
        <f>D859-H859</f>
        <v>0.20612048712460318</v>
      </c>
      <c r="J859" s="5">
        <f t="shared" ref="J859:J922" si="20">I859^2</f>
        <v>4.2485655212483708E-2</v>
      </c>
      <c r="K859" s="5">
        <f>$D$17+$D$16*C859</f>
        <v>5.7118738551498387</v>
      </c>
      <c r="L859" s="5">
        <f>(D859-K859)^2</f>
        <v>0.28892360597457961</v>
      </c>
      <c r="M859" s="5">
        <f>$D$40+$D$41*EXP(-$D$42*C859)</f>
        <v>0</v>
      </c>
      <c r="N859" s="5">
        <f>(D859-M859)^2</f>
        <v>39.0548753721</v>
      </c>
      <c r="O859" s="5">
        <f>(C859+C858)/2</f>
        <v>2.2066416666667159</v>
      </c>
      <c r="P859" s="5" t="str">
        <f>IF(AND(D858&gt;6,D859&lt;=6),C858+(6-D858)*(C859-C858)/(D859-D858),"")</f>
        <v/>
      </c>
      <c r="Q859" s="5" t="str">
        <f>IF(AND(D858&gt;5,D859&lt;=5),C858+(5-D858)*(C859-C858)/(D859-D858),"")</f>
        <v/>
      </c>
      <c r="R859" s="5" t="str">
        <f>IF(AND(D858&gt;4,D859&lt;=4),C858+(4-D858)*(C859-C858)/(D859-D858),"")</f>
        <v/>
      </c>
      <c r="S859" s="5" t="str">
        <f>IF(AND(D858&gt;3,D859&lt;=3),C858+(3-D858)*(C859-C858)/(D859-D858),"")</f>
        <v/>
      </c>
    </row>
    <row r="860" spans="1:19" ht="20.100000000000001" customHeight="1">
      <c r="A860" t="s">
        <v>4</v>
      </c>
      <c r="B860">
        <v>515</v>
      </c>
      <c r="C860" s="5">
        <f>('Raw Data'!C515-'Raw Data'!$C$487)/60</f>
        <v>2.3317666666667107</v>
      </c>
      <c r="D860" s="5">
        <f>'Raw Data'!J515</f>
        <v>6.2136300000000002</v>
      </c>
      <c r="E860" s="5">
        <f>$D$832-D860</f>
        <v>0.91479999999999961</v>
      </c>
      <c r="F860" s="8">
        <f>10^(-D860)</f>
        <v>6.1146274270824516E-7</v>
      </c>
      <c r="G860" s="5">
        <f>(D860-D859)/(C860-C859)</f>
        <v>-0.42783649052846223</v>
      </c>
      <c r="H860" s="5">
        <f>$D$9+$D$10*EXP(-$D$11*C860)</f>
        <v>6.0026016704530161</v>
      </c>
      <c r="I860" s="5">
        <f>D860-H860</f>
        <v>0.21102832954698414</v>
      </c>
      <c r="J860" s="5">
        <f t="shared" si="20"/>
        <v>4.4532955871390542E-2</v>
      </c>
      <c r="K860" s="5">
        <f>$D$17+$D$16*C860</f>
        <v>5.7000151240840422</v>
      </c>
      <c r="L860" s="5">
        <f>(D860-K860)^2</f>
        <v>0.26380024076216496</v>
      </c>
      <c r="M860" s="5">
        <f>$D$40+$D$41*EXP(-$D$42*C860)</f>
        <v>0</v>
      </c>
      <c r="N860" s="5">
        <f>(D860-M860)^2</f>
        <v>38.609197776900004</v>
      </c>
      <c r="O860" s="5">
        <f>(C860+C859)/2</f>
        <v>2.2899750000000489</v>
      </c>
      <c r="P860" s="5" t="str">
        <f>IF(AND(D859&gt;6,D860&lt;=6),C859+(6-D859)*(C860-C859)/(D860-D859),"")</f>
        <v/>
      </c>
      <c r="Q860" s="5" t="str">
        <f>IF(AND(D859&gt;5,D860&lt;=5),C859+(5-D859)*(C860-C859)/(D860-D859),"")</f>
        <v/>
      </c>
      <c r="R860" s="5" t="str">
        <f>IF(AND(D859&gt;4,D860&lt;=4),C859+(4-D859)*(C860-C859)/(D860-D859),"")</f>
        <v/>
      </c>
      <c r="S860" s="5" t="str">
        <f>IF(AND(D859&gt;3,D860&lt;=3),C859+(3-D859)*(C860-C859)/(D860-D859),"")</f>
        <v/>
      </c>
    </row>
    <row r="861" spans="1:19" ht="20.100000000000001" customHeight="1">
      <c r="A861" t="s">
        <v>4</v>
      </c>
      <c r="B861">
        <v>516</v>
      </c>
      <c r="C861" s="5">
        <f>('Raw Data'!C516-'Raw Data'!$C$487)/60</f>
        <v>2.4148500000000537</v>
      </c>
      <c r="D861" s="5">
        <f>'Raw Data'!J516</f>
        <v>6.18133</v>
      </c>
      <c r="E861" s="5">
        <f>$D$832-D861</f>
        <v>0.94709999999999983</v>
      </c>
      <c r="F861" s="8">
        <f>10^(-D861)</f>
        <v>6.5867321017694566E-7</v>
      </c>
      <c r="G861" s="5">
        <f>(D861-D860)/(C861-C860)</f>
        <v>-0.38876629889664771</v>
      </c>
      <c r="H861" s="5">
        <f>$D$9+$D$10*EXP(-$D$11*C861)</f>
        <v>5.9628906778909023</v>
      </c>
      <c r="I861" s="5">
        <f>D861-H861</f>
        <v>0.21843932210909767</v>
      </c>
      <c r="J861" s="5">
        <f t="shared" si="20"/>
        <v>4.7715737443482127E-2</v>
      </c>
      <c r="K861" s="5">
        <f>$D$17+$D$16*C861</f>
        <v>5.6882273325859352</v>
      </c>
      <c r="L861" s="5">
        <f>(D861-K861)^2</f>
        <v>0.24315024061086585</v>
      </c>
      <c r="M861" s="5">
        <f>$D$40+$D$41*EXP(-$D$42*C861)</f>
        <v>0</v>
      </c>
      <c r="N861" s="5">
        <f>(D861-M861)^2</f>
        <v>38.208840568900001</v>
      </c>
      <c r="O861" s="5">
        <f>(C861+C860)/2</f>
        <v>2.373308333333382</v>
      </c>
      <c r="P861" s="5" t="str">
        <f>IF(AND(D860&gt;6,D861&lt;=6),C860+(6-D860)*(C861-C860)/(D861-D860),"")</f>
        <v/>
      </c>
      <c r="Q861" s="5" t="str">
        <f>IF(AND(D860&gt;5,D861&lt;=5),C860+(5-D860)*(C861-C860)/(D861-D860),"")</f>
        <v/>
      </c>
      <c r="R861" s="5" t="str">
        <f>IF(AND(D860&gt;4,D861&lt;=4),C860+(4-D860)*(C861-C860)/(D861-D860),"")</f>
        <v/>
      </c>
      <c r="S861" s="5" t="str">
        <f>IF(AND(D860&gt;3,D861&lt;=3),C860+(3-D860)*(C861-C860)/(D861-D860),"")</f>
        <v/>
      </c>
    </row>
    <row r="862" spans="1:19" ht="20.100000000000001" customHeight="1">
      <c r="A862" t="s">
        <v>4</v>
      </c>
      <c r="B862">
        <v>517</v>
      </c>
      <c r="C862" s="5">
        <f>('Raw Data'!C517-'Raw Data'!$C$487)/60</f>
        <v>2.4981833333333872</v>
      </c>
      <c r="D862" s="5">
        <f>'Raw Data'!J517</f>
        <v>6.1467200000000002</v>
      </c>
      <c r="E862" s="5">
        <f>$D$832-D862</f>
        <v>0.98170999999999964</v>
      </c>
      <c r="F862" s="8">
        <f>10^(-D862)</f>
        <v>7.1331277164673577E-7</v>
      </c>
      <c r="G862" s="5">
        <f>(D862-D861)/(C862-C861)</f>
        <v>-0.41531999999999697</v>
      </c>
      <c r="H862" s="5">
        <f>$D$9+$D$10*EXP(-$D$11*C862)</f>
        <v>5.923762225245901</v>
      </c>
      <c r="I862" s="5">
        <f>D862-H862</f>
        <v>0.22295777475409917</v>
      </c>
      <c r="J862" s="5">
        <f t="shared" si="20"/>
        <v>4.9710169323299622E-2</v>
      </c>
      <c r="K862" s="5">
        <f>$D$17+$D$16*C862</f>
        <v>5.6764040713039838</v>
      </c>
      <c r="L862" s="5">
        <f>(D862-K862)^2</f>
        <v>0.22119707278519635</v>
      </c>
      <c r="M862" s="5">
        <f>$D$40+$D$41*EXP(-$D$42*C862)</f>
        <v>0</v>
      </c>
      <c r="N862" s="5">
        <f>(D862-M862)^2</f>
        <v>37.782166758400002</v>
      </c>
      <c r="O862" s="5">
        <f>(C862+C861)/2</f>
        <v>2.4565166666667206</v>
      </c>
      <c r="P862" s="5" t="str">
        <f>IF(AND(D861&gt;6,D862&lt;=6),C861+(6-D861)*(C862-C861)/(D862-D861),"")</f>
        <v/>
      </c>
      <c r="Q862" s="5" t="str">
        <f>IF(AND(D861&gt;5,D862&lt;=5),C861+(5-D861)*(C862-C861)/(D862-D861),"")</f>
        <v/>
      </c>
      <c r="R862" s="5" t="str">
        <f>IF(AND(D861&gt;4,D862&lt;=4),C861+(4-D861)*(C862-C861)/(D862-D861),"")</f>
        <v/>
      </c>
      <c r="S862" s="5" t="str">
        <f>IF(AND(D861&gt;3,D862&lt;=3),C861+(3-D861)*(C862-C861)/(D862-D861),"")</f>
        <v/>
      </c>
    </row>
    <row r="863" spans="1:19" ht="20.100000000000001" customHeight="1">
      <c r="A863" t="s">
        <v>4</v>
      </c>
      <c r="B863">
        <v>518</v>
      </c>
      <c r="C863" s="5">
        <f>('Raw Data'!C518-'Raw Data'!$C$487)/60</f>
        <v>2.5815166666667206</v>
      </c>
      <c r="D863" s="5">
        <f>'Raw Data'!J518</f>
        <v>6.11557</v>
      </c>
      <c r="E863" s="5">
        <f>$D$832-D863</f>
        <v>1.0128599999999999</v>
      </c>
      <c r="F863" s="8">
        <f>10^(-D863)</f>
        <v>7.6635500837409574E-7</v>
      </c>
      <c r="G863" s="5">
        <f>(D863-D862)/(C863-C862)</f>
        <v>-0.37380000000000213</v>
      </c>
      <c r="H863" s="5">
        <f>$D$9+$D$10*EXP(-$D$11*C863)</f>
        <v>5.8853244602210628</v>
      </c>
      <c r="I863" s="5">
        <f>D863-H863</f>
        <v>0.23024553977893714</v>
      </c>
      <c r="J863" s="5">
        <f t="shared" si="20"/>
        <v>5.3013008588094122E-2</v>
      </c>
      <c r="K863" s="5">
        <f>$D$17+$D$16*C863</f>
        <v>5.6645808100220316</v>
      </c>
      <c r="L863" s="5">
        <f>(D863-K863)^2</f>
        <v>0.203391249476984</v>
      </c>
      <c r="M863" s="5">
        <f>$D$40+$D$41*EXP(-$D$42*C863)</f>
        <v>0</v>
      </c>
      <c r="N863" s="5">
        <f>(D863-M863)^2</f>
        <v>37.400196424900003</v>
      </c>
      <c r="O863" s="5">
        <f>(C863+C862)/2</f>
        <v>2.5398500000000537</v>
      </c>
      <c r="P863" s="5" t="str">
        <f>IF(AND(D862&gt;6,D863&lt;=6),C862+(6-D862)*(C863-C862)/(D863-D862),"")</f>
        <v/>
      </c>
      <c r="Q863" s="5" t="str">
        <f>IF(AND(D862&gt;5,D863&lt;=5),C862+(5-D862)*(C863-C862)/(D863-D862),"")</f>
        <v/>
      </c>
      <c r="R863" s="5" t="str">
        <f>IF(AND(D862&gt;4,D863&lt;=4),C862+(4-D862)*(C863-C862)/(D863-D862),"")</f>
        <v/>
      </c>
      <c r="S863" s="5" t="str">
        <f>IF(AND(D862&gt;3,D863&lt;=3),C862+(3-D862)*(C863-C862)/(D863-D862),"")</f>
        <v/>
      </c>
    </row>
    <row r="864" spans="1:19" ht="20.100000000000001" customHeight="1">
      <c r="A864" t="s">
        <v>4</v>
      </c>
      <c r="B864">
        <v>519</v>
      </c>
      <c r="C864" s="5">
        <f>('Raw Data'!C519-'Raw Data'!$C$487)/60</f>
        <v>2.6648500000000537</v>
      </c>
      <c r="D864" s="5">
        <f>'Raw Data'!J519</f>
        <v>6.0844300000000002</v>
      </c>
      <c r="E864" s="5">
        <f>$D$832-D864</f>
        <v>1.0439999999999996</v>
      </c>
      <c r="F864" s="8">
        <f>10^(-D864)</f>
        <v>8.2332253014022218E-7</v>
      </c>
      <c r="G864" s="5">
        <f>(D864-D863)/(C864-C863)</f>
        <v>-0.37367999999999801</v>
      </c>
      <c r="H864" s="5">
        <f>$D$9+$D$10*EXP(-$D$11*C864)</f>
        <v>5.8475651909366597</v>
      </c>
      <c r="I864" s="5">
        <f>D864-H864</f>
        <v>0.23686480906334051</v>
      </c>
      <c r="J864" s="5">
        <f t="shared" si="20"/>
        <v>5.6104937772612759E-2</v>
      </c>
      <c r="K864" s="5">
        <f>$D$17+$D$16*C864</f>
        <v>5.6527575487400803</v>
      </c>
      <c r="L864" s="5">
        <f>(D864-K864)^2</f>
        <v>0.18634110517674796</v>
      </c>
      <c r="M864" s="5">
        <f>$D$40+$D$41*EXP(-$D$42*C864)</f>
        <v>0</v>
      </c>
      <c r="N864" s="5">
        <f>(D864-M864)^2</f>
        <v>37.020288424900002</v>
      </c>
      <c r="O864" s="5">
        <f>(C864+C863)/2</f>
        <v>2.6231833333333872</v>
      </c>
      <c r="P864" s="5" t="str">
        <f>IF(AND(D863&gt;6,D864&lt;=6),C863+(6-D863)*(C864-C863)/(D864-D863),"")</f>
        <v/>
      </c>
      <c r="Q864" s="5" t="str">
        <f>IF(AND(D863&gt;5,D864&lt;=5),C863+(5-D863)*(C864-C863)/(D864-D863),"")</f>
        <v/>
      </c>
      <c r="R864" s="5" t="str">
        <f>IF(AND(D863&gt;4,D864&lt;=4),C863+(4-D863)*(C864-C863)/(D864-D863),"")</f>
        <v/>
      </c>
      <c r="S864" s="5" t="str">
        <f>IF(AND(D863&gt;3,D864&lt;=3),C863+(3-D863)*(C864-C863)/(D864-D863),"")</f>
        <v/>
      </c>
    </row>
    <row r="865" spans="1:19" ht="20.100000000000001" customHeight="1">
      <c r="A865" t="s">
        <v>4</v>
      </c>
      <c r="B865">
        <v>520</v>
      </c>
      <c r="C865" s="5">
        <f>('Raw Data'!C520-'Raw Data'!$C$487)/60</f>
        <v>2.7479166666666672</v>
      </c>
      <c r="D865" s="5">
        <f>'Raw Data'!J520</f>
        <v>6.0440500000000004</v>
      </c>
      <c r="E865" s="5">
        <f>$D$832-D865</f>
        <v>1.0843799999999995</v>
      </c>
      <c r="F865" s="8">
        <f>10^(-D865)</f>
        <v>9.0354544322051656E-7</v>
      </c>
      <c r="G865" s="5">
        <f>(D865-D864)/(C865-C864)</f>
        <v>-0.48611556982374415</v>
      </c>
      <c r="H865" s="5">
        <f>$D$9+$D$10*EXP(-$D$11*C865)</f>
        <v>5.8105900870494853</v>
      </c>
      <c r="I865" s="5">
        <f>D865-H865</f>
        <v>0.23345991295051505</v>
      </c>
      <c r="J865" s="5">
        <f t="shared" si="20"/>
        <v>5.4503530954862066E-2</v>
      </c>
      <c r="K865" s="5">
        <f>$D$17+$D$16*C865</f>
        <v>5.6409721218942384</v>
      </c>
      <c r="L865" s="5">
        <f>(D865-K865)^2</f>
        <v>0.16247177581824354</v>
      </c>
      <c r="M865" s="5">
        <f>$D$40+$D$41*EXP(-$D$42*C865)</f>
        <v>0</v>
      </c>
      <c r="N865" s="5">
        <f>(D865-M865)^2</f>
        <v>36.530540402500002</v>
      </c>
      <c r="O865" s="5">
        <f>(C865+C864)/2</f>
        <v>2.7063833333333607</v>
      </c>
      <c r="P865" s="5" t="str">
        <f>IF(AND(D864&gt;6,D865&lt;=6),C864+(6-D864)*(C865-C864)/(D865-D864),"")</f>
        <v/>
      </c>
      <c r="Q865" s="5" t="str">
        <f>IF(AND(D864&gt;5,D865&lt;=5),C864+(5-D864)*(C865-C864)/(D865-D864),"")</f>
        <v/>
      </c>
      <c r="R865" s="5" t="str">
        <f>IF(AND(D864&gt;4,D865&lt;=4),C864+(4-D864)*(C865-C864)/(D865-D864),"")</f>
        <v/>
      </c>
      <c r="S865" s="5" t="str">
        <f>IF(AND(D864&gt;3,D865&lt;=3),C864+(3-D864)*(C865-C864)/(D865-D864),"")</f>
        <v/>
      </c>
    </row>
    <row r="866" spans="1:19" ht="20.100000000000001" customHeight="1">
      <c r="A866" t="s">
        <v>4</v>
      </c>
      <c r="B866">
        <v>521</v>
      </c>
      <c r="C866" s="5">
        <f>('Raw Data'!C521-'Raw Data'!$C$487)/60</f>
        <v>2.8315166666667206</v>
      </c>
      <c r="D866" s="5">
        <f>'Raw Data'!J521</f>
        <v>6.0117500000000001</v>
      </c>
      <c r="E866" s="5">
        <f>$D$832-D866</f>
        <v>1.1166799999999997</v>
      </c>
      <c r="F866" s="8">
        <f>10^(-D866)</f>
        <v>9.7330734329103197E-7</v>
      </c>
      <c r="G866" s="5">
        <f>(D866-D865)/(C866-C865)</f>
        <v>-0.3863636363633921</v>
      </c>
      <c r="H866" s="5">
        <f>$D$9+$D$10*EXP(-$D$11*C866)</f>
        <v>5.7740344443145286</v>
      </c>
      <c r="I866" s="5">
        <f>D866-H866</f>
        <v>0.23771555568547154</v>
      </c>
      <c r="J866" s="5">
        <f t="shared" si="20"/>
        <v>5.6508685414852516E-2</v>
      </c>
      <c r="K866" s="5">
        <f>$D$17+$D$16*C866</f>
        <v>5.6291110261761776</v>
      </c>
      <c r="L866" s="5">
        <f>(D866-K866)^2</f>
        <v>0.14641258428894793</v>
      </c>
      <c r="M866" s="5">
        <f>$D$40+$D$41*EXP(-$D$42*C866)</f>
        <v>0</v>
      </c>
      <c r="N866" s="5">
        <f>(D866-M866)^2</f>
        <v>36.141138062500005</v>
      </c>
      <c r="O866" s="5">
        <f>(C866+C865)/2</f>
        <v>2.7897166666666937</v>
      </c>
      <c r="P866" s="5" t="str">
        <f>IF(AND(D865&gt;6,D866&lt;=6),C865+(6-D865)*(C866-C865)/(D866-D865),"")</f>
        <v/>
      </c>
      <c r="Q866" s="5" t="str">
        <f>IF(AND(D865&gt;5,D866&lt;=5),C865+(5-D865)*(C866-C865)/(D866-D865),"")</f>
        <v/>
      </c>
      <c r="R866" s="5" t="str">
        <f>IF(AND(D865&gt;4,D866&lt;=4),C865+(4-D865)*(C866-C865)/(D866-D865),"")</f>
        <v/>
      </c>
      <c r="S866" s="5" t="str">
        <f>IF(AND(D865&gt;3,D866&lt;=3),C865+(3-D865)*(C866-C865)/(D866-D865),"")</f>
        <v/>
      </c>
    </row>
    <row r="867" spans="1:19" ht="20.100000000000001" customHeight="1">
      <c r="A867" t="s">
        <v>4</v>
      </c>
      <c r="B867">
        <v>522</v>
      </c>
      <c r="C867" s="5">
        <f>('Raw Data'!C522-'Raw Data'!$C$487)/60</f>
        <v>2.9145833333333337</v>
      </c>
      <c r="D867" s="5">
        <f>'Raw Data'!J522</f>
        <v>5.9713700000000003</v>
      </c>
      <c r="E867" s="5">
        <f>$D$832-D867</f>
        <v>1.1570599999999995</v>
      </c>
      <c r="F867" s="8">
        <f>10^(-D867)</f>
        <v>1.0681444788519305E-6</v>
      </c>
      <c r="G867" s="5">
        <f>(D867-D866)/(C867-C866)</f>
        <v>-0.48611556982374676</v>
      </c>
      <c r="H867" s="5">
        <f>$D$9+$D$10*EXP(-$D$11*C867)</f>
        <v>5.7383531737781901</v>
      </c>
      <c r="I867" s="5">
        <f>D867-H867</f>
        <v>0.23301682622181019</v>
      </c>
      <c r="J867" s="5">
        <f t="shared" si="20"/>
        <v>5.4296841302485292E-2</v>
      </c>
      <c r="K867" s="5">
        <f>$D$17+$D$16*C867</f>
        <v>5.6173255993303357</v>
      </c>
      <c r="L867" s="5">
        <f>(D867-K867)^2</f>
        <v>0.12534743764554199</v>
      </c>
      <c r="M867" s="5">
        <f>$D$40+$D$41*EXP(-$D$42*C867)</f>
        <v>0</v>
      </c>
      <c r="N867" s="5">
        <f>(D867-M867)^2</f>
        <v>35.657259676900004</v>
      </c>
      <c r="O867" s="5">
        <f>(C867+C866)/2</f>
        <v>2.8730500000000272</v>
      </c>
      <c r="P867" s="5">
        <f>IF(AND(D866&gt;6,D867&lt;=6),C866+(6-D866)*(C867-C866)/(D867-D866),"")</f>
        <v>2.8556878735347921</v>
      </c>
      <c r="Q867" s="5" t="str">
        <f>IF(AND(D866&gt;5,D867&lt;=5),C866+(5-D866)*(C867-C866)/(D867-D866),"")</f>
        <v/>
      </c>
      <c r="R867" s="5" t="str">
        <f>IF(AND(D866&gt;4,D867&lt;=4),C866+(4-D866)*(C867-C866)/(D867-D866),"")</f>
        <v/>
      </c>
      <c r="S867" s="5" t="str">
        <f>IF(AND(D866&gt;3,D867&lt;=3),C866+(3-D866)*(C867-C866)/(D867-D866),"")</f>
        <v/>
      </c>
    </row>
    <row r="868" spans="1:19" ht="20.100000000000001" customHeight="1">
      <c r="A868" t="s">
        <v>4</v>
      </c>
      <c r="B868">
        <v>523</v>
      </c>
      <c r="C868" s="5">
        <f>('Raw Data'!C523-'Raw Data'!$C$487)/60</f>
        <v>2.9979166666666672</v>
      </c>
      <c r="D868" s="5">
        <f>'Raw Data'!J523</f>
        <v>5.9333099999999996</v>
      </c>
      <c r="E868" s="5">
        <f>$D$832-D868</f>
        <v>1.1951200000000002</v>
      </c>
      <c r="F868" s="8">
        <f>10^(-D868)</f>
        <v>1.16597704392875E-6</v>
      </c>
      <c r="G868" s="5">
        <f>(D868-D867)/(C868-C867)</f>
        <v>-0.45672000000000695</v>
      </c>
      <c r="H868" s="5">
        <f>$D$9+$D$10*EXP(-$D$11*C868)</f>
        <v>5.7031882122469346</v>
      </c>
      <c r="I868" s="5">
        <f>D868-H868</f>
        <v>0.23012178775306502</v>
      </c>
      <c r="J868" s="5">
        <f t="shared" si="20"/>
        <v>5.2956037198666706E-2</v>
      </c>
      <c r="K868" s="5">
        <f>$D$17+$D$16*C868</f>
        <v>5.6055023380483835</v>
      </c>
      <c r="L868" s="5">
        <f>(D868-K868)^2</f>
        <v>0.10745786323418505</v>
      </c>
      <c r="M868" s="5">
        <f>$D$40+$D$41*EXP(-$D$42*C868)</f>
        <v>0</v>
      </c>
      <c r="N868" s="5">
        <f>(D868-M868)^2</f>
        <v>35.204167556099996</v>
      </c>
      <c r="O868" s="5">
        <f>(C868+C867)/2</f>
        <v>2.9562500000000007</v>
      </c>
      <c r="P868" s="5" t="str">
        <f>IF(AND(D867&gt;6,D868&lt;=6),C867+(6-D867)*(C868-C867)/(D868-D867),"")</f>
        <v/>
      </c>
      <c r="Q868" s="5" t="str">
        <f>IF(AND(D867&gt;5,D868&lt;=5),C867+(5-D867)*(C868-C867)/(D868-D867),"")</f>
        <v/>
      </c>
      <c r="R868" s="5" t="str">
        <f>IF(AND(D867&gt;4,D868&lt;=4),C867+(4-D867)*(C868-C867)/(D868-D867),"")</f>
        <v/>
      </c>
      <c r="S868" s="5" t="str">
        <f>IF(AND(D867&gt;3,D868&lt;=3),C867+(3-D867)*(C868-C867)/(D868-D867),"")</f>
        <v/>
      </c>
    </row>
    <row r="869" spans="1:19" ht="20.100000000000001" customHeight="1">
      <c r="A869" t="s">
        <v>4</v>
      </c>
      <c r="B869">
        <v>524</v>
      </c>
      <c r="C869" s="5">
        <f>('Raw Data'!C524-'Raw Data'!$C$487)/60</f>
        <v>3.0812500000000003</v>
      </c>
      <c r="D869" s="5">
        <f>'Raw Data'!J524</f>
        <v>5.8906200000000002</v>
      </c>
      <c r="E869" s="5">
        <f>$D$832-D869</f>
        <v>1.2378099999999996</v>
      </c>
      <c r="F869" s="8">
        <f>10^(-D869)</f>
        <v>1.2864117552143733E-6</v>
      </c>
      <c r="G869" s="5">
        <f>(D869-D868)/(C869-C868)</f>
        <v>-0.51227999999999518</v>
      </c>
      <c r="H869" s="5">
        <f>$D$9+$D$10*EXP(-$D$11*C869)</f>
        <v>5.6686439755834241</v>
      </c>
      <c r="I869" s="5">
        <f>D869-H869</f>
        <v>0.22197602441657605</v>
      </c>
      <c r="J869" s="5">
        <f t="shared" si="20"/>
        <v>4.9273355415788367E-2</v>
      </c>
      <c r="K869" s="5">
        <f>$D$17+$D$16*C869</f>
        <v>5.5936790767664322</v>
      </c>
      <c r="L869" s="5">
        <f>(D869-K869)^2</f>
        <v>8.817391189080373E-2</v>
      </c>
      <c r="M869" s="5">
        <f>$D$40+$D$41*EXP(-$D$42*C869)</f>
        <v>0</v>
      </c>
      <c r="N869" s="5">
        <f>(D869-M869)^2</f>
        <v>34.6994039844</v>
      </c>
      <c r="O869" s="5">
        <f>(C869+C868)/2</f>
        <v>3.0395833333333337</v>
      </c>
      <c r="P869" s="5" t="str">
        <f>IF(AND(D868&gt;6,D869&lt;=6),C868+(6-D868)*(C869-C868)/(D869-D868),"")</f>
        <v/>
      </c>
      <c r="Q869" s="5" t="str">
        <f>IF(AND(D868&gt;5,D869&lt;=5),C868+(5-D868)*(C869-C868)/(D869-D868),"")</f>
        <v/>
      </c>
      <c r="R869" s="5" t="str">
        <f>IF(AND(D868&gt;4,D869&lt;=4),C868+(4-D868)*(C869-C868)/(D869-D868),"")</f>
        <v/>
      </c>
      <c r="S869" s="5" t="str">
        <f>IF(AND(D868&gt;3,D869&lt;=3),C868+(3-D868)*(C869-C868)/(D869-D868),"")</f>
        <v/>
      </c>
    </row>
    <row r="870" spans="1:19" ht="20.100000000000001" customHeight="1">
      <c r="A870" t="s">
        <v>4</v>
      </c>
      <c r="B870">
        <v>525</v>
      </c>
      <c r="C870" s="5">
        <f>('Raw Data'!C525-'Raw Data'!$C$487)/60</f>
        <v>3.1645833333333337</v>
      </c>
      <c r="D870" s="5">
        <f>'Raw Data'!J525</f>
        <v>5.85947</v>
      </c>
      <c r="E870" s="5">
        <f>$D$832-D870</f>
        <v>1.2689599999999999</v>
      </c>
      <c r="F870" s="8">
        <f>10^(-D870)</f>
        <v>1.3820698726085365E-6</v>
      </c>
      <c r="G870" s="5">
        <f>(D870-D869)/(C870-C869)</f>
        <v>-0.37380000000000213</v>
      </c>
      <c r="H870" s="5">
        <f>$D$9+$D$10*EXP(-$D$11*C870)</f>
        <v>5.634709506876443</v>
      </c>
      <c r="I870" s="5">
        <f>D870-H870</f>
        <v>0.22476049312355695</v>
      </c>
      <c r="J870" s="5">
        <f t="shared" si="20"/>
        <v>5.051727926914449E-2</v>
      </c>
      <c r="K870" s="5">
        <f>$D$17+$D$16*C870</f>
        <v>5.5818558154844808</v>
      </c>
      <c r="L870" s="5">
        <f>(D870-K870)^2</f>
        <v>7.7069635444216689E-2</v>
      </c>
      <c r="M870" s="5">
        <f>$D$40+$D$41*EXP(-$D$42*C870)</f>
        <v>0</v>
      </c>
      <c r="N870" s="5">
        <f>(D870-M870)^2</f>
        <v>34.333388680900001</v>
      </c>
      <c r="O870" s="5">
        <f>(C870+C869)/2</f>
        <v>3.1229166666666668</v>
      </c>
      <c r="P870" s="5" t="str">
        <f>IF(AND(D869&gt;6,D870&lt;=6),C869+(6-D869)*(C870-C869)/(D870-D869),"")</f>
        <v/>
      </c>
      <c r="Q870" s="5" t="str">
        <f>IF(AND(D869&gt;5,D870&lt;=5),C869+(5-D869)*(C870-C869)/(D870-D869),"")</f>
        <v/>
      </c>
      <c r="R870" s="5" t="str">
        <f>IF(AND(D869&gt;4,D870&lt;=4),C869+(4-D869)*(C870-C869)/(D870-D869),"")</f>
        <v/>
      </c>
      <c r="S870" s="5" t="str">
        <f>IF(AND(D869&gt;3,D870&lt;=3),C869+(3-D869)*(C870-C869)/(D870-D869),"")</f>
        <v/>
      </c>
    </row>
    <row r="871" spans="1:19" ht="20.100000000000001" customHeight="1">
      <c r="A871" t="s">
        <v>4</v>
      </c>
      <c r="B871">
        <v>526</v>
      </c>
      <c r="C871" s="5">
        <f>('Raw Data'!C526-'Raw Data'!$C$487)/60</f>
        <v>3.2476500000000672</v>
      </c>
      <c r="D871" s="5">
        <f>'Raw Data'!J526</f>
        <v>5.8133299999999997</v>
      </c>
      <c r="E871" s="5">
        <f>$D$832-D871</f>
        <v>1.3151000000000002</v>
      </c>
      <c r="F871" s="8">
        <f>10^(-D871)</f>
        <v>1.5369863126959038E-6</v>
      </c>
      <c r="G871" s="5">
        <f>(D871-D870)/(C871-C870)</f>
        <v>-0.55545746388398709</v>
      </c>
      <c r="H871" s="5">
        <f>$D$9+$D$10*EXP(-$D$11*C871)</f>
        <v>5.6014797720437111</v>
      </c>
      <c r="I871" s="5">
        <f>D871-H871</f>
        <v>0.21185022795628861</v>
      </c>
      <c r="J871" s="5">
        <f t="shared" si="20"/>
        <v>4.4880519085131444E-2</v>
      </c>
      <c r="K871" s="5">
        <f>$D$17+$D$16*C871</f>
        <v>5.570070388638622</v>
      </c>
      <c r="L871" s="5">
        <f>(D871-K871)^2</f>
        <v>5.9175238519688485E-2</v>
      </c>
      <c r="M871" s="5">
        <f>$D$40+$D$41*EXP(-$D$42*C871)</f>
        <v>0</v>
      </c>
      <c r="N871" s="5">
        <f>(D871-M871)^2</f>
        <v>33.794805688899999</v>
      </c>
      <c r="O871" s="5">
        <f>(C871+C870)/2</f>
        <v>3.2061166666667003</v>
      </c>
      <c r="P871" s="5" t="str">
        <f>IF(AND(D870&gt;6,D871&lt;=6),C870+(6-D870)*(C871-C870)/(D871-D870),"")</f>
        <v/>
      </c>
      <c r="Q871" s="5" t="str">
        <f>IF(AND(D870&gt;5,D871&lt;=5),C870+(5-D870)*(C871-C870)/(D871-D870),"")</f>
        <v/>
      </c>
      <c r="R871" s="5" t="str">
        <f>IF(AND(D870&gt;4,D871&lt;=4),C870+(4-D870)*(C871-C870)/(D871-D870),"")</f>
        <v/>
      </c>
      <c r="S871" s="5" t="str">
        <f>IF(AND(D870&gt;3,D871&lt;=3),C870+(3-D870)*(C871-C870)/(D871-D870),"")</f>
        <v/>
      </c>
    </row>
    <row r="872" spans="1:19" ht="20.100000000000001" customHeight="1">
      <c r="A872" t="s">
        <v>4</v>
      </c>
      <c r="B872">
        <v>527</v>
      </c>
      <c r="C872" s="5">
        <f>('Raw Data'!C527-'Raw Data'!$C$487)/60</f>
        <v>3.3312500000000003</v>
      </c>
      <c r="D872" s="5">
        <f>'Raw Data'!J527</f>
        <v>5.7764199999999999</v>
      </c>
      <c r="E872" s="5">
        <f>$D$832-D872</f>
        <v>1.3520099999999999</v>
      </c>
      <c r="F872" s="8">
        <f>10^(-D872)</f>
        <v>1.6733238456540707E-6</v>
      </c>
      <c r="G872" s="5">
        <f>(D872-D871)/(C872-C871)</f>
        <v>-0.44150717703384368</v>
      </c>
      <c r="H872" s="5">
        <f>$D$9+$D$10*EXP(-$D$11*C872)</f>
        <v>5.568627009319207</v>
      </c>
      <c r="I872" s="5">
        <f>D872-H872</f>
        <v>0.20779299068079293</v>
      </c>
      <c r="J872" s="5">
        <f t="shared" si="20"/>
        <v>4.31779269760681E-2</v>
      </c>
      <c r="K872" s="5">
        <f>$D$17+$D$16*C872</f>
        <v>5.5582092929205773</v>
      </c>
      <c r="L872" s="5">
        <f>(D872-K872)^2</f>
        <v>4.7615912684101563E-2</v>
      </c>
      <c r="M872" s="5">
        <f>$D$40+$D$41*EXP(-$D$42*C872)</f>
        <v>0</v>
      </c>
      <c r="N872" s="5">
        <f>(D872-M872)^2</f>
        <v>33.367028016399999</v>
      </c>
      <c r="O872" s="5">
        <f>(C872+C871)/2</f>
        <v>3.2894500000000337</v>
      </c>
      <c r="P872" s="5" t="str">
        <f>IF(AND(D871&gt;6,D872&lt;=6),C871+(6-D871)*(C872-C871)/(D872-D871),"")</f>
        <v/>
      </c>
      <c r="Q872" s="5" t="str">
        <f>IF(AND(D871&gt;5,D872&lt;=5),C871+(5-D871)*(C872-C871)/(D872-D871),"")</f>
        <v/>
      </c>
      <c r="R872" s="5" t="str">
        <f>IF(AND(D871&gt;4,D872&lt;=4),C871+(4-D871)*(C872-C871)/(D872-D871),"")</f>
        <v/>
      </c>
      <c r="S872" s="5" t="str">
        <f>IF(AND(D871&gt;3,D872&lt;=3),C871+(3-D871)*(C872-C871)/(D872-D871),"")</f>
        <v/>
      </c>
    </row>
    <row r="873" spans="1:19" ht="20.100000000000001" customHeight="1">
      <c r="A873" t="s">
        <v>4</v>
      </c>
      <c r="B873">
        <v>528</v>
      </c>
      <c r="C873" s="5">
        <f>('Raw Data'!C528-'Raw Data'!$C$487)/60</f>
        <v>3.4143166666667342</v>
      </c>
      <c r="D873" s="5">
        <f>'Raw Data'!J528</f>
        <v>5.7337300000000004</v>
      </c>
      <c r="E873" s="5">
        <f>$D$832-D873</f>
        <v>1.3946999999999994</v>
      </c>
      <c r="F873" s="8">
        <f>10^(-D873)</f>
        <v>1.8461628181604725E-6</v>
      </c>
      <c r="G873" s="5">
        <f>(D873-D872)/(C873-C872)</f>
        <v>-0.51392455858705732</v>
      </c>
      <c r="H873" s="5">
        <f>$D$9+$D$10*EXP(-$D$11*C873)</f>
        <v>5.5365600498311283</v>
      </c>
      <c r="I873" s="5">
        <f>D873-H873</f>
        <v>0.19716995016887218</v>
      </c>
      <c r="J873" s="5">
        <f t="shared" si="20"/>
        <v>3.8875989249595538E-2</v>
      </c>
      <c r="K873" s="5">
        <f>$D$17+$D$16*C873</f>
        <v>5.5464238660747185</v>
      </c>
      <c r="L873" s="5">
        <f>(D873-K873)^2</f>
        <v>3.5083587806035654E-2</v>
      </c>
      <c r="M873" s="5">
        <f>$D$40+$D$41*EXP(-$D$42*C873)</f>
        <v>0</v>
      </c>
      <c r="N873" s="5">
        <f>(D873-M873)^2</f>
        <v>32.875659712900003</v>
      </c>
      <c r="O873" s="5">
        <f>(C873+C872)/2</f>
        <v>3.3727833333333672</v>
      </c>
      <c r="P873" s="5" t="str">
        <f>IF(AND(D872&gt;6,D873&lt;=6),C872+(6-D872)*(C873-C872)/(D873-D872),"")</f>
        <v/>
      </c>
      <c r="Q873" s="5" t="str">
        <f>IF(AND(D872&gt;5,D873&lt;=5),C872+(5-D872)*(C873-C872)/(D873-D872),"")</f>
        <v/>
      </c>
      <c r="R873" s="5" t="str">
        <f>IF(AND(D872&gt;4,D873&lt;=4),C872+(4-D872)*(C873-C872)/(D873-D872),"")</f>
        <v/>
      </c>
      <c r="S873" s="5" t="str">
        <f>IF(AND(D872&gt;3,D873&lt;=3),C872+(3-D872)*(C873-C872)/(D873-D872),"")</f>
        <v/>
      </c>
    </row>
    <row r="874" spans="1:19" ht="20.100000000000001" customHeight="1">
      <c r="A874" t="s">
        <v>4</v>
      </c>
      <c r="B874">
        <v>529</v>
      </c>
      <c r="C874" s="5">
        <f>('Raw Data'!C529-'Raw Data'!$C$487)/60</f>
        <v>3.4976500000000672</v>
      </c>
      <c r="D874" s="5">
        <f>'Raw Data'!J529</f>
        <v>5.6945100000000002</v>
      </c>
      <c r="E874" s="5">
        <f>$D$832-D874</f>
        <v>1.4339199999999996</v>
      </c>
      <c r="F874" s="8">
        <f>10^(-D874)</f>
        <v>2.0206449043882376E-6</v>
      </c>
      <c r="G874" s="5">
        <f>(D874-D873)/(C874-C873)</f>
        <v>-0.47064000000000472</v>
      </c>
      <c r="H874" s="5">
        <f>$D$9+$D$10*EXP(-$D$11*C874)</f>
        <v>5.5049571001639466</v>
      </c>
      <c r="I874" s="5">
        <f>D874-H874</f>
        <v>0.18955289983605361</v>
      </c>
      <c r="J874" s="5">
        <f t="shared" si="20"/>
        <v>3.5930301836256971E-2</v>
      </c>
      <c r="K874" s="5">
        <f>$D$17+$D$16*C874</f>
        <v>5.5346006047927672</v>
      </c>
      <c r="L874" s="5">
        <f>(D874-K874)^2</f>
        <v>2.5571014675543038E-2</v>
      </c>
      <c r="M874" s="5">
        <f>$D$40+$D$41*EXP(-$D$42*C874)</f>
        <v>0</v>
      </c>
      <c r="N874" s="5">
        <f>(D874-M874)^2</f>
        <v>32.4274441401</v>
      </c>
      <c r="O874" s="5">
        <f>(C874+C873)/2</f>
        <v>3.4559833333334007</v>
      </c>
      <c r="P874" s="5" t="str">
        <f>IF(AND(D873&gt;6,D874&lt;=6),C873+(6-D873)*(C874-C873)/(D874-D873),"")</f>
        <v/>
      </c>
      <c r="Q874" s="5" t="str">
        <f>IF(AND(D873&gt;5,D874&lt;=5),C873+(5-D873)*(C874-C873)/(D874-D873),"")</f>
        <v/>
      </c>
      <c r="R874" s="5" t="str">
        <f>IF(AND(D873&gt;4,D874&lt;=4),C873+(4-D873)*(C874-C873)/(D874-D873),"")</f>
        <v/>
      </c>
      <c r="S874" s="5" t="str">
        <f>IF(AND(D873&gt;3,D874&lt;=3),C873+(3-D873)*(C874-C873)/(D874-D873),"")</f>
        <v/>
      </c>
    </row>
    <row r="875" spans="1:19" ht="20.100000000000001" customHeight="1">
      <c r="A875" t="s">
        <v>4</v>
      </c>
      <c r="B875">
        <v>530</v>
      </c>
      <c r="C875" s="5">
        <f>('Raw Data'!C530-'Raw Data'!$C$487)/60</f>
        <v>3.5809833333334007</v>
      </c>
      <c r="D875" s="5">
        <f>'Raw Data'!J530</f>
        <v>5.6518300000000004</v>
      </c>
      <c r="E875" s="5">
        <f>$D$832-D875</f>
        <v>1.4765999999999995</v>
      </c>
      <c r="F875" s="8">
        <f>10^(-D875)</f>
        <v>2.2293076174828257E-6</v>
      </c>
      <c r="G875" s="5">
        <f>(D875-D874)/(C875-C874)</f>
        <v>-0.51215999999999706</v>
      </c>
      <c r="H875" s="5">
        <f>$D$9+$D$10*EXP(-$D$11*C875)</f>
        <v>5.4739119994435104</v>
      </c>
      <c r="I875" s="5">
        <f>D875-H875</f>
        <v>0.17791800055648999</v>
      </c>
      <c r="J875" s="5">
        <f t="shared" si="20"/>
        <v>3.1654814922019173E-2</v>
      </c>
      <c r="K875" s="5">
        <f>$D$17+$D$16*C875</f>
        <v>5.5227773435108158</v>
      </c>
      <c r="L875" s="5">
        <f>(D875-K875)^2</f>
        <v>1.6654588146915457E-2</v>
      </c>
      <c r="M875" s="5">
        <f>$D$40+$D$41*EXP(-$D$42*C875)</f>
        <v>0</v>
      </c>
      <c r="N875" s="5">
        <f>(D875-M875)^2</f>
        <v>31.943182348900002</v>
      </c>
      <c r="O875" s="5">
        <f>(C875+C874)/2</f>
        <v>3.5393166666667337</v>
      </c>
      <c r="P875" s="5" t="str">
        <f>IF(AND(D874&gt;6,D875&lt;=6),C874+(6-D874)*(C875-C874)/(D875-D874),"")</f>
        <v/>
      </c>
      <c r="Q875" s="5" t="str">
        <f>IF(AND(D874&gt;5,D875&lt;=5),C874+(5-D874)*(C875-C874)/(D875-D874),"")</f>
        <v/>
      </c>
      <c r="R875" s="5" t="str">
        <f>IF(AND(D874&gt;4,D875&lt;=4),C874+(4-D874)*(C875-C874)/(D875-D874),"")</f>
        <v/>
      </c>
      <c r="S875" s="5" t="str">
        <f>IF(AND(D874&gt;3,D875&lt;=3),C874+(3-D874)*(C875-C874)/(D875-D874),"")</f>
        <v/>
      </c>
    </row>
    <row r="876" spans="1:19" ht="20.100000000000001" customHeight="1">
      <c r="A876" t="s">
        <v>4</v>
      </c>
      <c r="B876">
        <v>531</v>
      </c>
      <c r="C876" s="5">
        <f>('Raw Data'!C531-'Raw Data'!$C$487)/60</f>
        <v>3.6643166666667342</v>
      </c>
      <c r="D876" s="5">
        <f>'Raw Data'!J531</f>
        <v>5.60799</v>
      </c>
      <c r="E876" s="5">
        <f>$D$832-D876</f>
        <v>1.5204399999999998</v>
      </c>
      <c r="F876" s="8">
        <f>10^(-D876)</f>
        <v>2.4660961205422429E-6</v>
      </c>
      <c r="G876" s="5">
        <f>(D876-D875)/(C876-C875)</f>
        <v>-0.52608000000000299</v>
      </c>
      <c r="H876" s="5">
        <f>$D$9+$D$10*EXP(-$D$11*C876)</f>
        <v>5.4434149006317831</v>
      </c>
      <c r="I876" s="5">
        <f>D876-H876</f>
        <v>0.1645750993682169</v>
      </c>
      <c r="J876" s="5">
        <f t="shared" si="20"/>
        <v>2.7084963332058468E-2</v>
      </c>
      <c r="K876" s="5">
        <f>$D$17+$D$16*C876</f>
        <v>5.5109540822288636</v>
      </c>
      <c r="L876" s="5">
        <f>(D876-K876)^2</f>
        <v>9.4159693376867463E-3</v>
      </c>
      <c r="M876" s="5">
        <f>$D$40+$D$41*EXP(-$D$42*C876)</f>
        <v>0</v>
      </c>
      <c r="N876" s="5">
        <f>(D876-M876)^2</f>
        <v>31.4495518401</v>
      </c>
      <c r="O876" s="5">
        <f>(C876+C875)/2</f>
        <v>3.6226500000000676</v>
      </c>
      <c r="P876" s="5" t="str">
        <f>IF(AND(D875&gt;6,D876&lt;=6),C875+(6-D875)*(C876-C875)/(D876-D875),"")</f>
        <v/>
      </c>
      <c r="Q876" s="5" t="str">
        <f>IF(AND(D875&gt;5,D876&lt;=5),C875+(5-D875)*(C876-C875)/(D876-D875),"")</f>
        <v/>
      </c>
      <c r="R876" s="5" t="str">
        <f>IF(AND(D875&gt;4,D876&lt;=4),C875+(4-D875)*(C876-C875)/(D876-D875),"")</f>
        <v/>
      </c>
      <c r="S876" s="5" t="str">
        <f>IF(AND(D875&gt;3,D876&lt;=3),C875+(3-D875)*(C876-C875)/(D876-D875),"")</f>
        <v/>
      </c>
    </row>
    <row r="877" spans="1:19" ht="20.100000000000001" customHeight="1">
      <c r="A877" t="s">
        <v>4</v>
      </c>
      <c r="B877">
        <v>532</v>
      </c>
      <c r="C877" s="5">
        <f>('Raw Data'!C532-'Raw Data'!$C$487)/60</f>
        <v>3.7474000000000771</v>
      </c>
      <c r="D877" s="5">
        <f>'Raw Data'!J532</f>
        <v>5.5583900000000002</v>
      </c>
      <c r="E877" s="5">
        <f>$D$832-D877</f>
        <v>1.5700399999999997</v>
      </c>
      <c r="F877" s="8">
        <f>10^(-D877)</f>
        <v>2.7644580244858671E-6</v>
      </c>
      <c r="G877" s="5">
        <f>(D877-D876)/(C877-C876)</f>
        <v>-0.59699097291868564</v>
      </c>
      <c r="H877" s="5">
        <f>$D$9+$D$10*EXP(-$D$11*C877)</f>
        <v>5.4135452112504119</v>
      </c>
      <c r="I877" s="5">
        <f>D877-H877</f>
        <v>0.14484478874958828</v>
      </c>
      <c r="J877" s="5">
        <f t="shared" si="20"/>
        <v>2.0980012827912856E-2</v>
      </c>
      <c r="K877" s="5">
        <f>$D$17+$D$16*C877</f>
        <v>5.4991662907307566</v>
      </c>
      <c r="L877" s="5">
        <f>(D877-K877)^2</f>
        <v>3.5074477396078887E-3</v>
      </c>
      <c r="M877" s="5">
        <f>$D$40+$D$41*EXP(-$D$42*C877)</f>
        <v>0</v>
      </c>
      <c r="N877" s="5">
        <f>(D877-M877)^2</f>
        <v>30.895699392100003</v>
      </c>
      <c r="O877" s="5">
        <f>(C877+C876)/2</f>
        <v>3.7058583333334054</v>
      </c>
      <c r="P877" s="5" t="str">
        <f>IF(AND(D876&gt;6,D877&lt;=6),C876+(6-D876)*(C877-C876)/(D877-D876),"")</f>
        <v/>
      </c>
      <c r="Q877" s="5" t="str">
        <f>IF(AND(D876&gt;5,D877&lt;=5),C876+(5-D876)*(C877-C876)/(D877-D876),"")</f>
        <v/>
      </c>
      <c r="R877" s="5" t="str">
        <f>IF(AND(D876&gt;4,D877&lt;=4),C876+(4-D876)*(C877-C876)/(D877-D876),"")</f>
        <v/>
      </c>
      <c r="S877" s="5" t="str">
        <f>IF(AND(D876&gt;3,D877&lt;=3),C876+(3-D876)*(C877-C876)/(D877-D876),"")</f>
        <v/>
      </c>
    </row>
    <row r="878" spans="1:19" ht="20.100000000000001" customHeight="1">
      <c r="A878" t="s">
        <v>4</v>
      </c>
      <c r="B878">
        <v>533</v>
      </c>
      <c r="C878" s="5">
        <f>('Raw Data'!C533-'Raw Data'!$C$487)/60</f>
        <v>3.8307333333334106</v>
      </c>
      <c r="D878" s="5">
        <f>'Raw Data'!J533</f>
        <v>5.5203199999999999</v>
      </c>
      <c r="E878" s="5">
        <f>$D$832-D878</f>
        <v>1.6081099999999999</v>
      </c>
      <c r="F878" s="8">
        <f>10^(-D878)</f>
        <v>3.0177273573281443E-6</v>
      </c>
      <c r="G878" s="5">
        <f>(D878-D877)/(C878-C877)</f>
        <v>-0.45684000000000241</v>
      </c>
      <c r="H878" s="5">
        <f>$D$9+$D$10*EXP(-$D$11*C878)</f>
        <v>5.3841136949101491</v>
      </c>
      <c r="I878" s="5">
        <f>D878-H878</f>
        <v>0.13620630508985077</v>
      </c>
      <c r="J878" s="5">
        <f t="shared" si="20"/>
        <v>1.8552157546229506E-2</v>
      </c>
      <c r="K878" s="5">
        <f>$D$17+$D$16*C878</f>
        <v>5.4873430294488053</v>
      </c>
      <c r="L878" s="5">
        <f>(D878-K878)^2</f>
        <v>1.0874805867343584E-3</v>
      </c>
      <c r="M878" s="5">
        <f>$D$40+$D$41*EXP(-$D$42*C878)</f>
        <v>0</v>
      </c>
      <c r="N878" s="5">
        <f>(D878-M878)^2</f>
        <v>30.473932902399998</v>
      </c>
      <c r="O878" s="5">
        <f>(C878+C877)/2</f>
        <v>3.7890666666667441</v>
      </c>
      <c r="P878" s="5" t="str">
        <f>IF(AND(D877&gt;6,D878&lt;=6),C877+(6-D877)*(C878-C877)/(D878-D877),"")</f>
        <v/>
      </c>
      <c r="Q878" s="5" t="str">
        <f>IF(AND(D877&gt;5,D878&lt;=5),C877+(5-D877)*(C878-C877)/(D878-D877),"")</f>
        <v/>
      </c>
      <c r="R878" s="5" t="str">
        <f>IF(AND(D877&gt;4,D878&lt;=4),C877+(4-D877)*(C878-C877)/(D878-D877),"")</f>
        <v/>
      </c>
      <c r="S878" s="5" t="str">
        <f>IF(AND(D877&gt;3,D878&lt;=3),C877+(3-D877)*(C878-C877)/(D878-D877),"")</f>
        <v/>
      </c>
    </row>
    <row r="879" spans="1:19" ht="20.100000000000001" customHeight="1">
      <c r="A879" t="s">
        <v>4</v>
      </c>
      <c r="B879">
        <v>534</v>
      </c>
      <c r="C879" s="5">
        <f>('Raw Data'!C534-'Raw Data'!$C$487)/60</f>
        <v>3.9140666666667436</v>
      </c>
      <c r="D879" s="5">
        <f>'Raw Data'!J534</f>
        <v>5.48109</v>
      </c>
      <c r="E879" s="5">
        <f>$D$832-D879</f>
        <v>1.6473399999999998</v>
      </c>
      <c r="F879" s="8">
        <f>10^(-D879)</f>
        <v>3.3030108477201301E-6</v>
      </c>
      <c r="G879" s="5">
        <f>(D879-D878)/(C879-C878)</f>
        <v>-0.47076000000000018</v>
      </c>
      <c r="H879" s="5">
        <f>$D$9+$D$10*EXP(-$D$11*C879)</f>
        <v>5.3552016978098447</v>
      </c>
      <c r="I879" s="5">
        <f>D879-H879</f>
        <v>0.12588830219015534</v>
      </c>
      <c r="J879" s="5">
        <f t="shared" si="20"/>
        <v>1.5847864628319872E-2</v>
      </c>
      <c r="K879" s="5">
        <f>$D$17+$D$16*C879</f>
        <v>5.4755197681668539</v>
      </c>
      <c r="L879" s="5">
        <f>(D879-K879)^2</f>
        <v>3.1027482674994035E-5</v>
      </c>
      <c r="M879" s="5">
        <f>$D$40+$D$41*EXP(-$D$42*C879)</f>
        <v>0</v>
      </c>
      <c r="N879" s="5">
        <f>(D879-M879)^2</f>
        <v>30.0423475881</v>
      </c>
      <c r="O879" s="5">
        <f>(C879+C878)/2</f>
        <v>3.8724000000000771</v>
      </c>
      <c r="P879" s="5" t="str">
        <f>IF(AND(D878&gt;6,D879&lt;=6),C878+(6-D878)*(C879-C878)/(D879-D878),"")</f>
        <v/>
      </c>
      <c r="Q879" s="5" t="str">
        <f>IF(AND(D878&gt;5,D879&lt;=5),C878+(5-D878)*(C879-C878)/(D879-D878),"")</f>
        <v/>
      </c>
      <c r="R879" s="5" t="str">
        <f>IF(AND(D878&gt;4,D879&lt;=4),C878+(4-D878)*(C879-C878)/(D879-D878),"")</f>
        <v/>
      </c>
      <c r="S879" s="5" t="str">
        <f>IF(AND(D878&gt;3,D879&lt;=3),C878+(3-D878)*(C879-C878)/(D879-D878),"")</f>
        <v/>
      </c>
    </row>
    <row r="880" spans="1:19" ht="20.100000000000001" customHeight="1">
      <c r="A880" t="s">
        <v>4</v>
      </c>
      <c r="B880">
        <v>535</v>
      </c>
      <c r="C880" s="5">
        <f>('Raw Data'!C535-'Raw Data'!$C$487)/60</f>
        <v>3.9971333333333559</v>
      </c>
      <c r="D880" s="5">
        <f>'Raw Data'!J535</f>
        <v>5.4360999999999997</v>
      </c>
      <c r="E880" s="5">
        <f>$D$832-D880</f>
        <v>1.6923300000000001</v>
      </c>
      <c r="F880" s="8">
        <f>10^(-D880)</f>
        <v>3.6635320899147134E-6</v>
      </c>
      <c r="G880" s="5">
        <f>(D880-D879)/(C880-C879)</f>
        <v>-0.54161316211913879</v>
      </c>
      <c r="H880" s="5">
        <f>$D$9+$D$10*EXP(-$D$11*C880)</f>
        <v>5.3268901304350234</v>
      </c>
      <c r="I880" s="5">
        <f>D880-H880</f>
        <v>0.10920986956497636</v>
      </c>
      <c r="J880" s="5">
        <f t="shared" si="20"/>
        <v>1.192679561039915E-2</v>
      </c>
      <c r="K880" s="5">
        <f>$D$17+$D$16*C880</f>
        <v>5.463734341321012</v>
      </c>
      <c r="L880" s="5">
        <f>(D880-K880)^2</f>
        <v>7.6365682024620671E-4</v>
      </c>
      <c r="M880" s="5">
        <f>$D$40+$D$41*EXP(-$D$42*C880)</f>
        <v>0</v>
      </c>
      <c r="N880" s="5">
        <f>(D880-M880)^2</f>
        <v>29.551183209999998</v>
      </c>
      <c r="O880" s="5">
        <f>(C880+C879)/2</f>
        <v>3.9556000000000497</v>
      </c>
      <c r="P880" s="5" t="str">
        <f>IF(AND(D879&gt;6,D880&lt;=6),C879+(6-D879)*(C880-C879)/(D880-D879),"")</f>
        <v/>
      </c>
      <c r="Q880" s="5" t="str">
        <f>IF(AND(D879&gt;5,D880&lt;=5),C879+(5-D879)*(C880-C879)/(D880-D879),"")</f>
        <v/>
      </c>
      <c r="R880" s="5" t="str">
        <f>IF(AND(D879&gt;4,D880&lt;=4),C879+(4-D879)*(C880-C879)/(D880-D879),"")</f>
        <v/>
      </c>
      <c r="S880" s="5" t="str">
        <f>IF(AND(D879&gt;3,D880&lt;=3),C879+(3-D879)*(C880-C879)/(D880-D879),"")</f>
        <v/>
      </c>
    </row>
    <row r="881" spans="1:19" ht="20.100000000000001" customHeight="1">
      <c r="A881" t="s">
        <v>4</v>
      </c>
      <c r="B881">
        <v>536</v>
      </c>
      <c r="C881" s="5">
        <f>('Raw Data'!C536-'Raw Data'!$C$487)/60</f>
        <v>4.0804666666666893</v>
      </c>
      <c r="D881" s="5">
        <f>'Raw Data'!J536</f>
        <v>5.3980399999999999</v>
      </c>
      <c r="E881" s="5">
        <f>$D$832-D881</f>
        <v>1.7303899999999999</v>
      </c>
      <c r="F881" s="8">
        <f>10^(-D881)</f>
        <v>3.999079151846655E-6</v>
      </c>
      <c r="G881" s="5">
        <f>(D881-D880)/(C881-C880)</f>
        <v>-0.4567199999999963</v>
      </c>
      <c r="H881" s="5">
        <f>$D$9+$D$10*EXP(-$D$11*C881)</f>
        <v>5.2989882322497754</v>
      </c>
      <c r="I881" s="5">
        <f>D881-H881</f>
        <v>9.9051767750224506E-2</v>
      </c>
      <c r="J881" s="5">
        <f t="shared" si="20"/>
        <v>9.8112526944444164E-3</v>
      </c>
      <c r="K881" s="5">
        <f>$D$17+$D$16*C881</f>
        <v>5.4519110800390607</v>
      </c>
      <c r="L881" s="5">
        <f>(D881-K881)^2</f>
        <v>2.902093264574886E-3</v>
      </c>
      <c r="M881" s="5">
        <f>$D$40+$D$41*EXP(-$D$42*C881)</f>
        <v>0</v>
      </c>
      <c r="N881" s="5">
        <f>(D881-M881)^2</f>
        <v>29.138835841599999</v>
      </c>
      <c r="O881" s="5">
        <f>(C881+C880)/2</f>
        <v>4.0388000000000224</v>
      </c>
      <c r="P881" s="5" t="str">
        <f>IF(AND(D880&gt;6,D881&lt;=6),C880+(6-D880)*(C881-C880)/(D881-D880),"")</f>
        <v/>
      </c>
      <c r="Q881" s="5" t="str">
        <f>IF(AND(D880&gt;5,D881&lt;=5),C880+(5-D880)*(C881-C880)/(D881-D880),"")</f>
        <v/>
      </c>
      <c r="R881" s="5" t="str">
        <f>IF(AND(D880&gt;4,D881&lt;=4),C880+(4-D880)*(C881-C880)/(D881-D880),"")</f>
        <v/>
      </c>
      <c r="S881" s="5" t="str">
        <f>IF(AND(D880&gt;3,D881&lt;=3),C880+(3-D880)*(C881-C880)/(D881-D880),"")</f>
        <v/>
      </c>
    </row>
    <row r="882" spans="1:19" ht="20.100000000000001" customHeight="1">
      <c r="A882" t="s">
        <v>4</v>
      </c>
      <c r="B882">
        <v>537</v>
      </c>
      <c r="C882" s="5">
        <f>('Raw Data'!C537-'Raw Data'!$C$487)/60</f>
        <v>4.1638000000000224</v>
      </c>
      <c r="D882" s="5">
        <f>'Raw Data'!J537</f>
        <v>5.3541999999999996</v>
      </c>
      <c r="E882" s="5">
        <f>$D$832-D882</f>
        <v>1.7742300000000002</v>
      </c>
      <c r="F882" s="8">
        <f>10^(-D882)</f>
        <v>4.4238459980888547E-6</v>
      </c>
      <c r="G882" s="5">
        <f>(D882-D881)/(C882-C881)</f>
        <v>-0.52608000000000577</v>
      </c>
      <c r="H882" s="5">
        <f>$D$9+$D$10*EXP(-$D$11*C882)</f>
        <v>5.2715788527907472</v>
      </c>
      <c r="I882" s="5">
        <f>D882-H882</f>
        <v>8.2621147209252399E-2</v>
      </c>
      <c r="J882" s="5">
        <f t="shared" si="20"/>
        <v>6.8262539661729559E-3</v>
      </c>
      <c r="K882" s="5">
        <f>$D$17+$D$16*C882</f>
        <v>5.4400878187571085</v>
      </c>
      <c r="L882" s="5">
        <f>(D882-K882)^2</f>
        <v>7.3767174108539746E-3</v>
      </c>
      <c r="M882" s="5">
        <f>$D$40+$D$41*EXP(-$D$42*C882)</f>
        <v>0</v>
      </c>
      <c r="N882" s="5">
        <f>(D882-M882)^2</f>
        <v>28.667457639999995</v>
      </c>
      <c r="O882" s="5">
        <f>(C882+C881)/2</f>
        <v>4.1221333333333554</v>
      </c>
      <c r="P882" s="5" t="str">
        <f>IF(AND(D881&gt;6,D882&lt;=6),C881+(6-D881)*(C882-C881)/(D882-D881),"")</f>
        <v/>
      </c>
      <c r="Q882" s="5" t="str">
        <f>IF(AND(D881&gt;5,D882&lt;=5),C881+(5-D881)*(C882-C881)/(D882-D881),"")</f>
        <v/>
      </c>
      <c r="R882" s="5" t="str">
        <f>IF(AND(D881&gt;4,D882&lt;=4),C881+(4-D881)*(C882-C881)/(D882-D881),"")</f>
        <v/>
      </c>
      <c r="S882" s="5" t="str">
        <f>IF(AND(D881&gt;3,D882&lt;=3),C881+(3-D881)*(C882-C881)/(D882-D881),"")</f>
        <v/>
      </c>
    </row>
    <row r="883" spans="1:19" ht="20.100000000000001" customHeight="1">
      <c r="A883" t="s">
        <v>4</v>
      </c>
      <c r="B883">
        <v>538</v>
      </c>
      <c r="C883" s="5">
        <f>('Raw Data'!C538-'Raw Data'!$C$487)/60</f>
        <v>4.2471333333333554</v>
      </c>
      <c r="D883" s="5">
        <f>'Raw Data'!J538</f>
        <v>5.3068999999999997</v>
      </c>
      <c r="E883" s="5">
        <f>$D$832-D883</f>
        <v>1.8215300000000001</v>
      </c>
      <c r="F883" s="8">
        <f>10^(-D883)</f>
        <v>4.9328737449464969E-6</v>
      </c>
      <c r="G883" s="5">
        <f>(D883-D882)/(C883-C882)</f>
        <v>-0.56760000000000077</v>
      </c>
      <c r="H883" s="5">
        <f>$D$9+$D$10*EXP(-$D$11*C883)</f>
        <v>5.2446532982158889</v>
      </c>
      <c r="I883" s="5">
        <f>D883-H883</f>
        <v>6.2246701784110847E-2</v>
      </c>
      <c r="J883" s="5">
        <f t="shared" si="20"/>
        <v>3.8746518830000284E-3</v>
      </c>
      <c r="K883" s="5">
        <f>$D$17+$D$16*C883</f>
        <v>5.4282645574751571</v>
      </c>
      <c r="L883" s="5">
        <f>(D883-K883)^2</f>
        <v>1.4729355811140783E-2</v>
      </c>
      <c r="M883" s="5">
        <f>$D$40+$D$41*EXP(-$D$42*C883)</f>
        <v>0</v>
      </c>
      <c r="N883" s="5">
        <f>(D883-M883)^2</f>
        <v>28.163187609999998</v>
      </c>
      <c r="O883" s="5">
        <f>(C883+C882)/2</f>
        <v>4.2054666666666893</v>
      </c>
      <c r="P883" s="5" t="str">
        <f>IF(AND(D882&gt;6,D883&lt;=6),C882+(6-D882)*(C883-C882)/(D883-D882),"")</f>
        <v/>
      </c>
      <c r="Q883" s="5" t="str">
        <f>IF(AND(D882&gt;5,D883&lt;=5),C882+(5-D882)*(C883-C882)/(D883-D882),"")</f>
        <v/>
      </c>
      <c r="R883" s="5" t="str">
        <f>IF(AND(D882&gt;4,D883&lt;=4),C882+(4-D882)*(C883-C882)/(D883-D882),"")</f>
        <v/>
      </c>
      <c r="S883" s="5" t="str">
        <f>IF(AND(D882&gt;3,D883&lt;=3),C882+(3-D882)*(C883-C882)/(D883-D882),"")</f>
        <v/>
      </c>
    </row>
    <row r="884" spans="1:19" ht="20.100000000000001" customHeight="1">
      <c r="A884" t="s">
        <v>4</v>
      </c>
      <c r="B884">
        <v>539</v>
      </c>
      <c r="C884" s="5">
        <f>('Raw Data'!C539-'Raw Data'!$C$487)/60</f>
        <v>4.3302166666666988</v>
      </c>
      <c r="D884" s="5">
        <f>'Raw Data'!J539</f>
        <v>5.2619100000000003</v>
      </c>
      <c r="E884" s="5">
        <f>$D$832-D884</f>
        <v>1.8665199999999995</v>
      </c>
      <c r="F884" s="8">
        <f>10^(-D884)</f>
        <v>5.4712933421284587E-6</v>
      </c>
      <c r="G884" s="5">
        <f>(D884-D883)/(C884-C883)</f>
        <v>-0.54150451354054929</v>
      </c>
      <c r="H884" s="5">
        <f>$D$9+$D$10*EXP(-$D$11*C884)</f>
        <v>5.2182816765564874</v>
      </c>
      <c r="I884" s="5">
        <f>D884-H884</f>
        <v>4.3628323443512862E-2</v>
      </c>
      <c r="J884" s="5">
        <f t="shared" si="20"/>
        <v>1.9034306064917739E-3</v>
      </c>
      <c r="K884" s="5">
        <f>$D$17+$D$16*C884</f>
        <v>5.4164767659770501</v>
      </c>
      <c r="L884" s="5">
        <f>(D884-K884)^2</f>
        <v>2.3890885144604069E-2</v>
      </c>
      <c r="M884" s="5">
        <f>$D$40+$D$41*EXP(-$D$42*C884)</f>
        <v>0</v>
      </c>
      <c r="N884" s="5">
        <f>(D884-M884)^2</f>
        <v>27.687696848100003</v>
      </c>
      <c r="O884" s="5">
        <f>(C884+C883)/2</f>
        <v>4.2886750000000271</v>
      </c>
      <c r="P884" s="5" t="str">
        <f>IF(AND(D883&gt;6,D884&lt;=6),C883+(6-D883)*(C884-C883)/(D884-D883),"")</f>
        <v/>
      </c>
      <c r="Q884" s="5" t="str">
        <f>IF(AND(D883&gt;5,D884&lt;=5),C883+(5-D883)*(C884-C883)/(D884-D883),"")</f>
        <v/>
      </c>
      <c r="R884" s="5" t="str">
        <f>IF(AND(D883&gt;4,D884&lt;=4),C883+(4-D883)*(C884-C883)/(D884-D883),"")</f>
        <v/>
      </c>
      <c r="S884" s="5" t="str">
        <f>IF(AND(D883&gt;3,D884&lt;=3),C883+(3-D883)*(C884-C883)/(D884-D883),"")</f>
        <v/>
      </c>
    </row>
    <row r="885" spans="1:19" ht="20.100000000000001" customHeight="1">
      <c r="A885" t="s">
        <v>4</v>
      </c>
      <c r="B885">
        <v>540</v>
      </c>
      <c r="C885" s="5">
        <f>('Raw Data'!C540-'Raw Data'!$C$487)/60</f>
        <v>4.4138000000000224</v>
      </c>
      <c r="D885" s="5">
        <f>'Raw Data'!J540</f>
        <v>5.2261499999999996</v>
      </c>
      <c r="E885" s="5">
        <f>$D$832-D885</f>
        <v>1.9022800000000002</v>
      </c>
      <c r="F885" s="8">
        <f>10^(-D885)</f>
        <v>5.9408693281905569E-6</v>
      </c>
      <c r="G885" s="5">
        <f>(D885-D884)/(C885-C884)</f>
        <v>-0.42783649052847283</v>
      </c>
      <c r="H885" s="5">
        <f>$D$9+$D$10*EXP(-$D$11*C885)</f>
        <v>5.1922196529514117</v>
      </c>
      <c r="I885" s="5">
        <f>D885-H885</f>
        <v>3.3930347048587883E-2</v>
      </c>
      <c r="J885" s="5">
        <f t="shared" si="20"/>
        <v>1.1512684508376166E-3</v>
      </c>
      <c r="K885" s="5">
        <f>$D$17+$D$16*C885</f>
        <v>5.4046180349112545</v>
      </c>
      <c r="L885" s="5">
        <f>(D885-K885)^2</f>
        <v>3.1850839485084881E-2</v>
      </c>
      <c r="M885" s="5">
        <f>$D$40+$D$41*EXP(-$D$42*C885)</f>
        <v>0</v>
      </c>
      <c r="N885" s="5">
        <f>(D885-M885)^2</f>
        <v>27.312643822499997</v>
      </c>
      <c r="O885" s="5">
        <f>(C885+C884)/2</f>
        <v>4.3720083333333601</v>
      </c>
      <c r="P885" s="5" t="str">
        <f>IF(AND(D884&gt;6,D885&lt;=6),C884+(6-D884)*(C885-C884)/(D885-D884),"")</f>
        <v/>
      </c>
      <c r="Q885" s="5" t="str">
        <f>IF(AND(D884&gt;5,D885&lt;=5),C884+(5-D884)*(C885-C884)/(D885-D884),"")</f>
        <v/>
      </c>
      <c r="R885" s="5" t="str">
        <f>IF(AND(D884&gt;4,D885&lt;=4),C884+(4-D884)*(C885-C884)/(D885-D884),"")</f>
        <v/>
      </c>
      <c r="S885" s="5" t="str">
        <f>IF(AND(D884&gt;3,D885&lt;=3),C884+(3-D884)*(C885-C884)/(D885-D884),"")</f>
        <v/>
      </c>
    </row>
    <row r="886" spans="1:19" ht="20.100000000000001" customHeight="1">
      <c r="A886" t="s">
        <v>4</v>
      </c>
      <c r="B886">
        <v>541</v>
      </c>
      <c r="C886" s="5">
        <f>('Raw Data'!C541-'Raw Data'!$C$487)/60</f>
        <v>4.4968833333333658</v>
      </c>
      <c r="D886" s="5">
        <f>'Raw Data'!J541</f>
        <v>5.1823100000000002</v>
      </c>
      <c r="E886" s="5">
        <f>$D$832-D886</f>
        <v>1.9461199999999996</v>
      </c>
      <c r="F886" s="8">
        <f>10^(-D886)</f>
        <v>6.5718856778687578E-6</v>
      </c>
      <c r="G886" s="5">
        <f>(D886-D885)/(C886-C885)</f>
        <v>-0.52766298896683006</v>
      </c>
      <c r="H886" s="5">
        <f>$D$9+$D$10*EXP(-$D$11*C886)</f>
        <v>5.1667708274448678</v>
      </c>
      <c r="I886" s="5">
        <f>D886-H886</f>
        <v>1.5539172555132374E-2</v>
      </c>
      <c r="J886" s="5">
        <f t="shared" si="20"/>
        <v>2.414658836981792E-4</v>
      </c>
      <c r="K886" s="5">
        <f>$D$17+$D$16*C886</f>
        <v>5.3928302434131474</v>
      </c>
      <c r="L886" s="5">
        <f>(D886-K886)^2</f>
        <v>4.4318772886730765E-2</v>
      </c>
      <c r="M886" s="5">
        <f>$D$40+$D$41*EXP(-$D$42*C886)</f>
        <v>0</v>
      </c>
      <c r="N886" s="5">
        <f>(D886-M886)^2</f>
        <v>26.856336936100003</v>
      </c>
      <c r="O886" s="5">
        <f>(C886+C885)/2</f>
        <v>4.4553416666666941</v>
      </c>
      <c r="P886" s="5" t="str">
        <f>IF(AND(D885&gt;6,D886&lt;=6),C885+(6-D885)*(C886-C885)/(D886-D885),"")</f>
        <v/>
      </c>
      <c r="Q886" s="5" t="str">
        <f>IF(AND(D885&gt;5,D886&lt;=5),C885+(5-D885)*(C886-C885)/(D886-D885),"")</f>
        <v/>
      </c>
      <c r="R886" s="5" t="str">
        <f>IF(AND(D885&gt;4,D886&lt;=4),C885+(4-D885)*(C886-C885)/(D886-D885),"")</f>
        <v/>
      </c>
      <c r="S886" s="5" t="str">
        <f>IF(AND(D885&gt;3,D886&lt;=3),C885+(3-D885)*(C886-C885)/(D886-D885),"")</f>
        <v/>
      </c>
    </row>
    <row r="887" spans="1:19" ht="20.100000000000001" customHeight="1">
      <c r="A887" t="s">
        <v>4</v>
      </c>
      <c r="B887">
        <v>542</v>
      </c>
      <c r="C887" s="5">
        <f>('Raw Data'!C542-'Raw Data'!$C$487)/60</f>
        <v>4.5802166666666988</v>
      </c>
      <c r="D887" s="5">
        <f>'Raw Data'!J542</f>
        <v>5.14194</v>
      </c>
      <c r="E887" s="5">
        <f>$D$832-D887</f>
        <v>1.9864899999999999</v>
      </c>
      <c r="F887" s="8">
        <f>10^(-D887)</f>
        <v>7.2120711074496621E-6</v>
      </c>
      <c r="G887" s="5">
        <f>(D887-D886)/(C887-C886)</f>
        <v>-0.48444000000000459</v>
      </c>
      <c r="H887" s="5">
        <f>$D$9+$D$10*EXP(-$D$11*C887)</f>
        <v>5.1416953231711791</v>
      </c>
      <c r="I887" s="5">
        <f>D887-H887</f>
        <v>2.4467682882090003E-4</v>
      </c>
      <c r="J887" s="5">
        <f t="shared" si="20"/>
        <v>5.9866750561852011E-8</v>
      </c>
      <c r="K887" s="5">
        <f>$D$17+$D$16*C887</f>
        <v>5.3810069821311952</v>
      </c>
      <c r="L887" s="5">
        <f>(D887-K887)^2</f>
        <v>5.7153021945317233E-2</v>
      </c>
      <c r="M887" s="5">
        <f>$D$40+$D$41*EXP(-$D$42*C887)</f>
        <v>0</v>
      </c>
      <c r="N887" s="5">
        <f>(D887-M887)^2</f>
        <v>26.439546963599998</v>
      </c>
      <c r="O887" s="5">
        <f>(C887+C886)/2</f>
        <v>4.5385500000000327</v>
      </c>
      <c r="P887" s="5" t="str">
        <f>IF(AND(D886&gt;6,D887&lt;=6),C886+(6-D886)*(C887-C886)/(D887-D886),"")</f>
        <v/>
      </c>
      <c r="Q887" s="5" t="str">
        <f>IF(AND(D886&gt;5,D887&lt;=5),C886+(5-D886)*(C887-C886)/(D887-D886),"")</f>
        <v/>
      </c>
      <c r="R887" s="5" t="str">
        <f>IF(AND(D886&gt;4,D887&lt;=4),C886+(4-D886)*(C887-C886)/(D887-D886),"")</f>
        <v/>
      </c>
      <c r="S887" s="5" t="str">
        <f>IF(AND(D886&gt;3,D887&lt;=3),C886+(3-D886)*(C887-C886)/(D887-D886),"")</f>
        <v/>
      </c>
    </row>
    <row r="888" spans="1:19" ht="20.100000000000001" customHeight="1">
      <c r="A888" t="s">
        <v>4</v>
      </c>
      <c r="B888">
        <v>543</v>
      </c>
      <c r="C888" s="5">
        <f>('Raw Data'!C543-'Raw Data'!$C$487)/60</f>
        <v>4.6635500000000318</v>
      </c>
      <c r="D888" s="5">
        <f>'Raw Data'!J543</f>
        <v>5.1061800000000002</v>
      </c>
      <c r="E888" s="5">
        <f>$D$832-D888</f>
        <v>2.0222499999999997</v>
      </c>
      <c r="F888" s="8">
        <f>10^(-D888)</f>
        <v>7.8310500563124226E-6</v>
      </c>
      <c r="G888" s="5">
        <f>(D888-D887)/(C888-C887)</f>
        <v>-0.429119999999999</v>
      </c>
      <c r="H888" s="5">
        <f>$D$9+$D$10*EXP(-$D$11*C888)</f>
        <v>5.1170624466836774</v>
      </c>
      <c r="I888" s="5">
        <f>D888-H888</f>
        <v>-1.0882446683677216E-2</v>
      </c>
      <c r="J888" s="5">
        <f t="shared" si="20"/>
        <v>1.1842764582307724E-4</v>
      </c>
      <c r="K888" s="5">
        <f>$D$17+$D$16*C888</f>
        <v>5.3691837208492439</v>
      </c>
      <c r="L888" s="5">
        <f>(D888-K888)^2</f>
        <v>6.9170957180546916E-2</v>
      </c>
      <c r="M888" s="5">
        <f>$D$40+$D$41*EXP(-$D$42*C888)</f>
        <v>0</v>
      </c>
      <c r="N888" s="5">
        <f>(D888-M888)^2</f>
        <v>26.0730741924</v>
      </c>
      <c r="O888" s="5">
        <f>(C888+C887)/2</f>
        <v>4.6218833333333649</v>
      </c>
      <c r="P888" s="5" t="str">
        <f>IF(AND(D887&gt;6,D888&lt;=6),C887+(6-D887)*(C888-C887)/(D888-D887),"")</f>
        <v/>
      </c>
      <c r="Q888" s="5" t="str">
        <f>IF(AND(D887&gt;5,D888&lt;=5),C887+(5-D887)*(C888-C887)/(D888-D887),"")</f>
        <v/>
      </c>
      <c r="R888" s="5" t="str">
        <f>IF(AND(D887&gt;4,D888&lt;=4),C887+(4-D887)*(C888-C887)/(D888-D887),"")</f>
        <v/>
      </c>
      <c r="S888" s="5" t="str">
        <f>IF(AND(D887&gt;3,D888&lt;=3),C887+(3-D887)*(C888-C887)/(D888-D887),"")</f>
        <v/>
      </c>
    </row>
    <row r="889" spans="1:19" ht="20.100000000000001" customHeight="1">
      <c r="A889" t="s">
        <v>4</v>
      </c>
      <c r="B889">
        <v>544</v>
      </c>
      <c r="C889" s="5">
        <f>('Raw Data'!C544-'Raw Data'!$C$487)/60</f>
        <v>4.7468833333333658</v>
      </c>
      <c r="D889" s="5">
        <f>'Raw Data'!J544</f>
        <v>5.0715700000000004</v>
      </c>
      <c r="E889" s="5">
        <f>$D$832-D889</f>
        <v>2.0568599999999995</v>
      </c>
      <c r="F889" s="8">
        <f>10^(-D889)</f>
        <v>8.4806667923717803E-6</v>
      </c>
      <c r="G889" s="5">
        <f>(D889-D888)/(C889-C888)</f>
        <v>-0.41531999999999475</v>
      </c>
      <c r="H889" s="5">
        <f>$D$9+$D$10*EXP(-$D$11*C889)</f>
        <v>5.0928643848052086</v>
      </c>
      <c r="I889" s="5">
        <f>D889-H889</f>
        <v>-2.1294384805208288E-2</v>
      </c>
      <c r="J889" s="5">
        <f t="shared" si="20"/>
        <v>4.5345082423228566E-4</v>
      </c>
      <c r="K889" s="5">
        <f>$D$17+$D$16*C889</f>
        <v>5.3573604595672926</v>
      </c>
      <c r="L889" s="5">
        <f>(D889-K889)^2</f>
        <v>8.1676186779684079E-2</v>
      </c>
      <c r="M889" s="5">
        <f>$D$40+$D$41*EXP(-$D$42*C889)</f>
        <v>0</v>
      </c>
      <c r="N889" s="5">
        <f>(D889-M889)^2</f>
        <v>25.720822264900004</v>
      </c>
      <c r="O889" s="5">
        <f>(C889+C888)/2</f>
        <v>4.7052166666666988</v>
      </c>
      <c r="P889" s="5" t="str">
        <f>IF(AND(D888&gt;6,D889&lt;=6),C888+(6-D888)*(C889-C888)/(D889-D888),"")</f>
        <v/>
      </c>
      <c r="Q889" s="5" t="str">
        <f>IF(AND(D888&gt;5,D889&lt;=5),C888+(5-D888)*(C889-C888)/(D889-D888),"")</f>
        <v/>
      </c>
      <c r="R889" s="5" t="str">
        <f>IF(AND(D888&gt;4,D889&lt;=4),C888+(4-D888)*(C889-C888)/(D889-D888),"")</f>
        <v/>
      </c>
      <c r="S889" s="5" t="str">
        <f>IF(AND(D888&gt;3,D889&lt;=3),C888+(3-D888)*(C889-C888)/(D889-D888),"")</f>
        <v/>
      </c>
    </row>
    <row r="890" spans="1:19" ht="20.100000000000001" customHeight="1">
      <c r="A890" t="s">
        <v>4</v>
      </c>
      <c r="B890">
        <v>545</v>
      </c>
      <c r="C890" s="5">
        <f>('Raw Data'!C545-'Raw Data'!$C$487)/60</f>
        <v>4.829949999999978</v>
      </c>
      <c r="D890" s="5">
        <f>'Raw Data'!J545</f>
        <v>5.0358099999999997</v>
      </c>
      <c r="E890" s="5">
        <f>$D$832-D890</f>
        <v>2.0926200000000001</v>
      </c>
      <c r="F890" s="8">
        <f>10^(-D890)</f>
        <v>9.2085234841028917E-6</v>
      </c>
      <c r="G890" s="5">
        <f>(D890-D889)/(C890-C889)</f>
        <v>-0.43049759229563545</v>
      </c>
      <c r="H890" s="5">
        <f>$D$9+$D$10*EXP(-$D$11*C890)</f>
        <v>5.0691688560309238</v>
      </c>
      <c r="I890" s="5">
        <f>D890-H890</f>
        <v>-3.3358856030924144E-2</v>
      </c>
      <c r="J890" s="5">
        <f t="shared" si="20"/>
        <v>1.1128132756919242E-3</v>
      </c>
      <c r="K890" s="5">
        <f>$D$17+$D$16*C890</f>
        <v>5.3455750327214506</v>
      </c>
      <c r="L890" s="5">
        <f>(D890-K890)^2</f>
        <v>9.5954375496921582E-2</v>
      </c>
      <c r="M890" s="5">
        <f>$D$40+$D$41*EXP(-$D$42*C890)</f>
        <v>0</v>
      </c>
      <c r="N890" s="5">
        <f>(D890-M890)^2</f>
        <v>25.359382356099996</v>
      </c>
      <c r="O890" s="5">
        <f>(C890+C889)/2</f>
        <v>4.7884166666666719</v>
      </c>
      <c r="P890" s="5" t="str">
        <f>IF(AND(D889&gt;6,D890&lt;=6),C889+(6-D889)*(C890-C889)/(D890-D889),"")</f>
        <v/>
      </c>
      <c r="Q890" s="5" t="str">
        <f>IF(AND(D889&gt;5,D890&lt;=5),C889+(5-D889)*(C890-C889)/(D890-D889),"")</f>
        <v/>
      </c>
      <c r="R890" s="5" t="str">
        <f>IF(AND(D889&gt;4,D890&lt;=4),C889+(4-D889)*(C890-C889)/(D890-D889),"")</f>
        <v/>
      </c>
      <c r="S890" s="5" t="str">
        <f>IF(AND(D889&gt;3,D890&lt;=3),C889+(3-D889)*(C890-C889)/(D890-D889),"")</f>
        <v/>
      </c>
    </row>
    <row r="891" spans="1:19" ht="20.100000000000001" customHeight="1">
      <c r="A891" t="s">
        <v>4</v>
      </c>
      <c r="B891">
        <v>546</v>
      </c>
      <c r="C891" s="5">
        <f>('Raw Data'!C546-'Raw Data'!$C$487)/60</f>
        <v>4.9135500000000318</v>
      </c>
      <c r="D891" s="5">
        <f>'Raw Data'!J546</f>
        <v>4.9954299999999998</v>
      </c>
      <c r="E891" s="5">
        <f>$D$832-D891</f>
        <v>2.133</v>
      </c>
      <c r="F891" s="8">
        <f>10^(-D891)</f>
        <v>1.0105783733907085E-5</v>
      </c>
      <c r="G891" s="5">
        <f>(D891-D890)/(C891-C890)</f>
        <v>-0.48301435406667281</v>
      </c>
      <c r="H891" s="5">
        <f>$D$9+$D$10*EXP(-$D$11*C891)</f>
        <v>5.045742139315486</v>
      </c>
      <c r="I891" s="5">
        <f>D891-H891</f>
        <v>-5.0312139315486171E-2</v>
      </c>
      <c r="J891" s="5">
        <f t="shared" si="20"/>
        <v>2.5313113625008892E-3</v>
      </c>
      <c r="K891" s="5">
        <f>$D$17+$D$16*C891</f>
        <v>5.333713937003389</v>
      </c>
      <c r="L891" s="5">
        <f>(D891-K891)^2</f>
        <v>0.114436022034513</v>
      </c>
      <c r="M891" s="5">
        <f>$D$40+$D$41*EXP(-$D$42*C891)</f>
        <v>0</v>
      </c>
      <c r="N891" s="5">
        <f>(D891-M891)^2</f>
        <v>24.9543208849</v>
      </c>
      <c r="O891" s="5">
        <f>(C891+C890)/2</f>
        <v>4.8717500000000049</v>
      </c>
      <c r="P891" s="5" t="str">
        <f>IF(AND(D890&gt;6,D891&lt;=6),C890+(6-D890)*(C891-C890)/(D891-D890),"")</f>
        <v/>
      </c>
      <c r="Q891" s="5">
        <f>IF(AND(D890&gt;5,D891&lt;=5),C890+(5-D890)*(C891-C890)/(D891-D890),"")</f>
        <v>4.9040885834571819</v>
      </c>
      <c r="R891" s="5" t="str">
        <f>IF(AND(D890&gt;4,D891&lt;=4),C890+(4-D890)*(C891-C890)/(D891-D890),"")</f>
        <v/>
      </c>
      <c r="S891" s="5" t="str">
        <f>IF(AND(D890&gt;3,D891&lt;=3),C890+(3-D890)*(C891-C890)/(D891-D890),"")</f>
        <v/>
      </c>
    </row>
    <row r="892" spans="1:19" ht="20.100000000000001" customHeight="1">
      <c r="A892" t="s">
        <v>4</v>
      </c>
      <c r="B892">
        <v>547</v>
      </c>
      <c r="C892" s="5">
        <f>('Raw Data'!C547-'Raw Data'!$C$487)/60</f>
        <v>4.9966166666666441</v>
      </c>
      <c r="D892" s="5">
        <f>'Raw Data'!J547</f>
        <v>4.9619799999999996</v>
      </c>
      <c r="E892" s="5">
        <f>$D$832-D892</f>
        <v>2.1664500000000002</v>
      </c>
      <c r="F892" s="8">
        <f>10^(-D892)</f>
        <v>1.0914906002910872E-5</v>
      </c>
      <c r="G892" s="5">
        <f>(D892-D891)/(C892-C891)</f>
        <v>-0.40268860353156655</v>
      </c>
      <c r="H892" s="5">
        <f>$D$9+$D$10*EXP(-$D$11*C892)</f>
        <v>5.0228757648145033</v>
      </c>
      <c r="I892" s="5">
        <f>D892-H892</f>
        <v>-6.089576481450365E-2</v>
      </c>
      <c r="J892" s="5">
        <f t="shared" si="20"/>
        <v>3.7082941723433406E-3</v>
      </c>
      <c r="K892" s="5">
        <f>$D$17+$D$16*C892</f>
        <v>5.321928510157548</v>
      </c>
      <c r="L892" s="5">
        <f>(D892-K892)^2</f>
        <v>0.1295629299646387</v>
      </c>
      <c r="M892" s="5">
        <f>$D$40+$D$41*EXP(-$D$42*C892)</f>
        <v>0</v>
      </c>
      <c r="N892" s="5">
        <f>(D892-M892)^2</f>
        <v>24.621245520399995</v>
      </c>
      <c r="O892" s="5">
        <f>(C892+C891)/2</f>
        <v>4.9550833333333379</v>
      </c>
      <c r="P892" s="5" t="str">
        <f>IF(AND(D891&gt;6,D892&lt;=6),C891+(6-D891)*(C892-C891)/(D892-D891),"")</f>
        <v/>
      </c>
      <c r="Q892" s="5" t="str">
        <f>IF(AND(D891&gt;5,D892&lt;=5),C891+(5-D891)*(C892-C891)/(D892-D891),"")</f>
        <v/>
      </c>
      <c r="R892" s="5" t="str">
        <f>IF(AND(D891&gt;4,D892&lt;=4),C891+(4-D891)*(C892-C891)/(D892-D891),"")</f>
        <v/>
      </c>
      <c r="S892" s="5" t="str">
        <f>IF(AND(D891&gt;3,D892&lt;=3),C891+(3-D891)*(C892-C891)/(D892-D891),"")</f>
        <v/>
      </c>
    </row>
    <row r="893" spans="1:19" ht="20.100000000000001" customHeight="1">
      <c r="A893" t="s">
        <v>4</v>
      </c>
      <c r="B893">
        <v>548</v>
      </c>
      <c r="C893" s="5">
        <f>('Raw Data'!C548-'Raw Data'!$C$487)/60</f>
        <v>5.079949999999978</v>
      </c>
      <c r="D893" s="5">
        <f>'Raw Data'!J548</f>
        <v>4.9239100000000002</v>
      </c>
      <c r="E893" s="5">
        <f>$D$832-D893</f>
        <v>2.2045199999999996</v>
      </c>
      <c r="F893" s="8">
        <f>10^(-D893)</f>
        <v>1.1914888978563927E-5</v>
      </c>
      <c r="G893" s="5">
        <f>(D893-D892)/(C893-C892)</f>
        <v>-0.45683999999998937</v>
      </c>
      <c r="H893" s="5">
        <f>$D$9+$D$10*EXP(-$D$11*C893)</f>
        <v>5.0003402674064859</v>
      </c>
      <c r="I893" s="5">
        <f>D893-H893</f>
        <v>-7.6430267406485619E-2</v>
      </c>
      <c r="J893" s="5">
        <f t="shared" si="20"/>
        <v>5.8415857758268982E-3</v>
      </c>
      <c r="K893" s="5">
        <f>$D$17+$D$16*C893</f>
        <v>5.3101052488755958</v>
      </c>
      <c r="L893" s="5">
        <f>(D893-K893)^2</f>
        <v>0.14914677025408318</v>
      </c>
      <c r="M893" s="5">
        <f>$D$40+$D$41*EXP(-$D$42*C893)</f>
        <v>0</v>
      </c>
      <c r="N893" s="5">
        <f>(D893-M893)^2</f>
        <v>24.244889688100002</v>
      </c>
      <c r="O893" s="5">
        <f>(C893+C892)/2</f>
        <v>5.038283333333311</v>
      </c>
      <c r="P893" s="5" t="str">
        <f>IF(AND(D892&gt;6,D893&lt;=6),C892+(6-D892)*(C893-C892)/(D893-D892),"")</f>
        <v/>
      </c>
      <c r="Q893" s="5" t="str">
        <f>IF(AND(D892&gt;5,D893&lt;=5),C892+(5-D892)*(C893-C892)/(D893-D892),"")</f>
        <v/>
      </c>
      <c r="R893" s="5" t="str">
        <f>IF(AND(D892&gt;4,D893&lt;=4),C892+(4-D892)*(C893-C892)/(D893-D892),"")</f>
        <v/>
      </c>
      <c r="S893" s="5" t="str">
        <f>IF(AND(D892&gt;3,D893&lt;=3),C892+(3-D892)*(C893-C892)/(D893-D892),"")</f>
        <v/>
      </c>
    </row>
    <row r="894" spans="1:19" ht="20.100000000000001" customHeight="1">
      <c r="A894" t="s">
        <v>4</v>
      </c>
      <c r="B894">
        <v>549</v>
      </c>
      <c r="C894" s="5">
        <f>('Raw Data'!C549-'Raw Data'!$C$487)/60</f>
        <v>5.163283333333311</v>
      </c>
      <c r="D894" s="5">
        <f>'Raw Data'!J549</f>
        <v>4.8973699999999996</v>
      </c>
      <c r="E894" s="5">
        <f>$D$832-D894</f>
        <v>2.2310600000000003</v>
      </c>
      <c r="F894" s="8">
        <f>10^(-D894)</f>
        <v>1.2665723415499191E-5</v>
      </c>
      <c r="G894" s="5">
        <f>(D894-D893)/(C894-C893)</f>
        <v>-0.3184800000000092</v>
      </c>
      <c r="H894" s="5">
        <f>$D$9+$D$10*EXP(-$D$11*C894)</f>
        <v>4.9782025620914814</v>
      </c>
      <c r="I894" s="5">
        <f>D894-H894</f>
        <v>-8.0832562091481819E-2</v>
      </c>
      <c r="J894" s="5">
        <f t="shared" si="20"/>
        <v>6.5339030942732634E-3</v>
      </c>
      <c r="K894" s="5">
        <f>$D$17+$D$16*C894</f>
        <v>5.2982819875936444</v>
      </c>
      <c r="L894" s="5">
        <f>(D894-K894)^2</f>
        <v>0.16073042179628685</v>
      </c>
      <c r="M894" s="5">
        <f>$D$40+$D$41*EXP(-$D$42*C894)</f>
        <v>0</v>
      </c>
      <c r="N894" s="5">
        <f>(D894-M894)^2</f>
        <v>23.984232916899995</v>
      </c>
      <c r="O894" s="5">
        <f>(C894+C893)/2</f>
        <v>5.1216166666666449</v>
      </c>
      <c r="P894" s="5" t="str">
        <f>IF(AND(D893&gt;6,D894&lt;=6),C893+(6-D893)*(C894-C893)/(D894-D893),"")</f>
        <v/>
      </c>
      <c r="Q894" s="5" t="str">
        <f>IF(AND(D893&gt;5,D894&lt;=5),C893+(5-D893)*(C894-C893)/(D894-D893),"")</f>
        <v/>
      </c>
      <c r="R894" s="5" t="str">
        <f>IF(AND(D893&gt;4,D894&lt;=4),C893+(4-D893)*(C894-C893)/(D894-D893),"")</f>
        <v/>
      </c>
      <c r="S894" s="5" t="str">
        <f>IF(AND(D893&gt;3,D894&lt;=3),C893+(3-D893)*(C894-C893)/(D894-D893),"")</f>
        <v/>
      </c>
    </row>
    <row r="895" spans="1:19" ht="20.100000000000001" customHeight="1">
      <c r="A895" t="s">
        <v>4</v>
      </c>
      <c r="B895">
        <v>550</v>
      </c>
      <c r="C895" s="5">
        <f>('Raw Data'!C550-'Raw Data'!$C$487)/60</f>
        <v>5.2466166666666441</v>
      </c>
      <c r="D895" s="5">
        <f>'Raw Data'!J550</f>
        <v>4.8627700000000003</v>
      </c>
      <c r="E895" s="5">
        <f>$D$832-D895</f>
        <v>2.2656599999999996</v>
      </c>
      <c r="F895" s="8">
        <f>10^(-D895)</f>
        <v>1.3716079699860566E-5</v>
      </c>
      <c r="G895" s="5">
        <f>(D895-D894)/(C895-C894)</f>
        <v>-0.41519999999999307</v>
      </c>
      <c r="H895" s="5">
        <f>$D$9+$D$10*EXP(-$D$11*C895)</f>
        <v>4.9564556271230229</v>
      </c>
      <c r="I895" s="5">
        <f>D895-H895</f>
        <v>-9.3685627123022641E-2</v>
      </c>
      <c r="J895" s="5">
        <f t="shared" si="20"/>
        <v>8.7769967294340362E-3</v>
      </c>
      <c r="K895" s="5">
        <f>$D$17+$D$16*C895</f>
        <v>5.2864587263116931</v>
      </c>
      <c r="L895" s="5">
        <f>(D895-K895)^2</f>
        <v>0.17951213680362457</v>
      </c>
      <c r="M895" s="5">
        <f>$D$40+$D$41*EXP(-$D$42*C895)</f>
        <v>0</v>
      </c>
      <c r="N895" s="5">
        <f>(D895-M895)^2</f>
        <v>23.646532072900001</v>
      </c>
      <c r="O895" s="5">
        <f>(C895+C894)/2</f>
        <v>5.2049499999999771</v>
      </c>
      <c r="P895" s="5" t="str">
        <f>IF(AND(D894&gt;6,D895&lt;=6),C894+(6-D894)*(C895-C894)/(D895-D894),"")</f>
        <v/>
      </c>
      <c r="Q895" s="5" t="str">
        <f>IF(AND(D894&gt;5,D895&lt;=5),C894+(5-D894)*(C895-C894)/(D895-D894),"")</f>
        <v/>
      </c>
      <c r="R895" s="5" t="str">
        <f>IF(AND(D894&gt;4,D895&lt;=4),C894+(4-D894)*(C895-C894)/(D895-D894),"")</f>
        <v/>
      </c>
      <c r="S895" s="5" t="str">
        <f>IF(AND(D894&gt;3,D895&lt;=3),C894+(3-D894)*(C895-C894)/(D895-D894),"")</f>
        <v/>
      </c>
    </row>
    <row r="896" spans="1:19" ht="20.100000000000001" customHeight="1">
      <c r="A896" t="s">
        <v>4</v>
      </c>
      <c r="B896">
        <v>551</v>
      </c>
      <c r="C896" s="5">
        <f>('Raw Data'!C551-'Raw Data'!$C$487)/60</f>
        <v>5.3296833333333771</v>
      </c>
      <c r="D896" s="5">
        <f>'Raw Data'!J551</f>
        <v>4.83277</v>
      </c>
      <c r="E896" s="5">
        <f>$D$832-D896</f>
        <v>2.2956599999999998</v>
      </c>
      <c r="F896" s="8">
        <f>10^(-D896)</f>
        <v>1.4697044190578226E-5</v>
      </c>
      <c r="G896" s="5">
        <f>(D896-D895)/(C896-C895)</f>
        <v>-0.36115569823406446</v>
      </c>
      <c r="H896" s="5">
        <f>$D$9+$D$10*EXP(-$D$11*C896)</f>
        <v>4.9351603214953883</v>
      </c>
      <c r="I896" s="5">
        <f>D896-H896</f>
        <v>-0.10239032149538829</v>
      </c>
      <c r="J896" s="5">
        <f t="shared" si="20"/>
        <v>1.0483777935928975E-2</v>
      </c>
      <c r="K896" s="5">
        <f>$D$17+$D$16*C896</f>
        <v>5.2746732994658343</v>
      </c>
      <c r="L896" s="5">
        <f>(D896-K896)^2</f>
        <v>0.19527852607879082</v>
      </c>
      <c r="M896" s="5">
        <f>$D$40+$D$41*EXP(-$D$42*C896)</f>
        <v>0</v>
      </c>
      <c r="N896" s="5">
        <f>(D896-M896)^2</f>
        <v>23.355665872900001</v>
      </c>
      <c r="O896" s="5">
        <f>(C896+C895)/2</f>
        <v>5.2881500000000106</v>
      </c>
      <c r="P896" s="5" t="str">
        <f>IF(AND(D895&gt;6,D896&lt;=6),C895+(6-D895)*(C896-C895)/(D896-D895),"")</f>
        <v/>
      </c>
      <c r="Q896" s="5" t="str">
        <f>IF(AND(D895&gt;5,D896&lt;=5),C895+(5-D895)*(C896-C895)/(D896-D895),"")</f>
        <v/>
      </c>
      <c r="R896" s="5" t="str">
        <f>IF(AND(D895&gt;4,D896&lt;=4),C895+(4-D895)*(C896-C895)/(D896-D895),"")</f>
        <v/>
      </c>
      <c r="S896" s="5" t="str">
        <f>IF(AND(D895&gt;3,D896&lt;=3),C895+(3-D895)*(C896-C895)/(D896-D895),"")</f>
        <v/>
      </c>
    </row>
    <row r="897" spans="1:19" ht="20.100000000000001" customHeight="1">
      <c r="A897" t="s">
        <v>4</v>
      </c>
      <c r="B897">
        <v>552</v>
      </c>
      <c r="C897" s="5">
        <f>('Raw Data'!C552-'Raw Data'!$C$487)/60</f>
        <v>5.413283333333311</v>
      </c>
      <c r="D897" s="5">
        <f>'Raw Data'!J552</f>
        <v>4.8039300000000003</v>
      </c>
      <c r="E897" s="5">
        <f>$D$832-D897</f>
        <v>2.3244999999999996</v>
      </c>
      <c r="F897" s="8">
        <f>10^(-D897)</f>
        <v>1.5706159373119785E-5</v>
      </c>
      <c r="G897" s="5">
        <f>(D897-D896)/(C897-C896)</f>
        <v>-0.34497607655529355</v>
      </c>
      <c r="H897" s="5">
        <f>$D$9+$D$10*EXP(-$D$11*C897)</f>
        <v>4.9141065987843255</v>
      </c>
      <c r="I897" s="5">
        <f>D897-H897</f>
        <v>-0.11017659878432529</v>
      </c>
      <c r="J897" s="5">
        <f t="shared" si="20"/>
        <v>1.2138882919682188E-2</v>
      </c>
      <c r="K897" s="5">
        <f>$D$17+$D$16*C897</f>
        <v>5.2628122037477896</v>
      </c>
      <c r="L897" s="5">
        <f>(D897-K897)^2</f>
        <v>0.21057287691642762</v>
      </c>
      <c r="M897" s="5">
        <f>$D$40+$D$41*EXP(-$D$42*C897)</f>
        <v>0</v>
      </c>
      <c r="N897" s="5">
        <f>(D897-M897)^2</f>
        <v>23.077743444900001</v>
      </c>
      <c r="O897" s="5">
        <f>(C897+C896)/2</f>
        <v>5.3714833333333445</v>
      </c>
      <c r="P897" s="5" t="str">
        <f>IF(AND(D896&gt;6,D897&lt;=6),C896+(6-D896)*(C897-C896)/(D897-D896),"")</f>
        <v/>
      </c>
      <c r="Q897" s="5" t="str">
        <f>IF(AND(D896&gt;5,D897&lt;=5),C896+(5-D896)*(C897-C896)/(D897-D896),"")</f>
        <v/>
      </c>
      <c r="R897" s="5" t="str">
        <f>IF(AND(D896&gt;4,D897&lt;=4),C896+(4-D896)*(C897-C896)/(D897-D896),"")</f>
        <v/>
      </c>
      <c r="S897" s="5" t="str">
        <f>IF(AND(D896&gt;3,D897&lt;=3),C896+(3-D896)*(C897-C896)/(D897-D896),"")</f>
        <v/>
      </c>
    </row>
    <row r="898" spans="1:19" ht="20.100000000000001" customHeight="1">
      <c r="A898" t="s">
        <v>4</v>
      </c>
      <c r="B898">
        <v>553</v>
      </c>
      <c r="C898" s="5">
        <f>('Raw Data'!C553-'Raw Data'!$C$487)/60</f>
        <v>5.496350000000044</v>
      </c>
      <c r="D898" s="5">
        <f>'Raw Data'!J553</f>
        <v>4.7774000000000001</v>
      </c>
      <c r="E898" s="5">
        <f>$D$832-D898</f>
        <v>2.3510299999999997</v>
      </c>
      <c r="F898" s="8">
        <f>10^(-D898)</f>
        <v>1.6695521915543002E-5</v>
      </c>
      <c r="G898" s="5">
        <f>(D898-D897)/(C898-C897)</f>
        <v>-0.31938202247165698</v>
      </c>
      <c r="H898" s="5">
        <f>$D$9+$D$10*EXP(-$D$11*C898)</f>
        <v>4.8935564587881757</v>
      </c>
      <c r="I898" s="5">
        <f>D898-H898</f>
        <v>-0.1161564587881756</v>
      </c>
      <c r="J898" s="5">
        <f t="shared" si="20"/>
        <v>1.3492322918209136E-2</v>
      </c>
      <c r="K898" s="5">
        <f>$D$17+$D$16*C898</f>
        <v>5.2510267769019308</v>
      </c>
      <c r="L898" s="5">
        <f>(D898-K898)^2</f>
        <v>0.22432232379851122</v>
      </c>
      <c r="M898" s="5">
        <f>$D$40+$D$41*EXP(-$D$42*C898)</f>
        <v>0</v>
      </c>
      <c r="N898" s="5">
        <f>(D898-M898)^2</f>
        <v>22.82355076</v>
      </c>
      <c r="O898" s="5">
        <f>(C898+C897)/2</f>
        <v>5.4548166666666775</v>
      </c>
      <c r="P898" s="5" t="str">
        <f>IF(AND(D897&gt;6,D898&lt;=6),C897+(6-D897)*(C898-C897)/(D898-D897),"")</f>
        <v/>
      </c>
      <c r="Q898" s="5" t="str">
        <f>IF(AND(D897&gt;5,D898&lt;=5),C897+(5-D897)*(C898-C897)/(D898-D897),"")</f>
        <v/>
      </c>
      <c r="R898" s="5" t="str">
        <f>IF(AND(D897&gt;4,D898&lt;=4),C897+(4-D897)*(C898-C897)/(D898-D897),"")</f>
        <v/>
      </c>
      <c r="S898" s="5" t="str">
        <f>IF(AND(D897&gt;3,D898&lt;=3),C897+(3-D897)*(C898-C897)/(D898-D897),"")</f>
        <v/>
      </c>
    </row>
    <row r="899" spans="1:19" ht="20.100000000000001" customHeight="1">
      <c r="A899" t="s">
        <v>4</v>
      </c>
      <c r="B899">
        <v>554</v>
      </c>
      <c r="C899" s="5">
        <f>('Raw Data'!C554-'Raw Data'!$C$487)/60</f>
        <v>5.5794333333333874</v>
      </c>
      <c r="D899" s="5">
        <f>'Raw Data'!J554</f>
        <v>4.7508699999999999</v>
      </c>
      <c r="E899" s="5">
        <f>$D$832-D899</f>
        <v>2.3775599999999999</v>
      </c>
      <c r="F899" s="8">
        <f>10^(-D899)</f>
        <v>1.7747206392762383E-5</v>
      </c>
      <c r="G899" s="5">
        <f>(D899-D898)/(C899-C898)</f>
        <v>-0.3193179538615481</v>
      </c>
      <c r="H899" s="5">
        <f>$D$9+$D$10*EXP(-$D$11*C899)</f>
        <v>4.8733639004204781</v>
      </c>
      <c r="I899" s="5">
        <f>D899-H899</f>
        <v>-0.12249390042047814</v>
      </c>
      <c r="J899" s="5">
        <f t="shared" si="20"/>
        <v>1.5004755640222014E-2</v>
      </c>
      <c r="K899" s="5">
        <f>$D$17+$D$16*C899</f>
        <v>5.2392389854038237</v>
      </c>
      <c r="L899" s="5">
        <f>(D899-K899)^2</f>
        <v>0.23850426590436025</v>
      </c>
      <c r="M899" s="5">
        <f>$D$40+$D$41*EXP(-$D$42*C899)</f>
        <v>0</v>
      </c>
      <c r="N899" s="5">
        <f>(D899-M899)^2</f>
        <v>22.570765756899998</v>
      </c>
      <c r="O899" s="5">
        <f>(C899+C898)/2</f>
        <v>5.5378916666667157</v>
      </c>
      <c r="P899" s="5" t="str">
        <f>IF(AND(D898&gt;6,D899&lt;=6),C898+(6-D898)*(C899-C898)/(D899-D898),"")</f>
        <v/>
      </c>
      <c r="Q899" s="5" t="str">
        <f>IF(AND(D898&gt;5,D899&lt;=5),C898+(5-D898)*(C899-C898)/(D899-D898),"")</f>
        <v/>
      </c>
      <c r="R899" s="5" t="str">
        <f>IF(AND(D898&gt;4,D899&lt;=4),C898+(4-D898)*(C899-C898)/(D899-D898),"")</f>
        <v/>
      </c>
      <c r="S899" s="5" t="str">
        <f>IF(AND(D898&gt;3,D899&lt;=3),C898+(3-D898)*(C899-C898)/(D899-D898),"")</f>
        <v/>
      </c>
    </row>
    <row r="900" spans="1:19" ht="20.100000000000001" customHeight="1">
      <c r="A900" t="s">
        <v>4</v>
      </c>
      <c r="B900">
        <v>555</v>
      </c>
      <c r="C900" s="5">
        <f>('Raw Data'!C555-'Raw Data'!$C$487)/60</f>
        <v>5.6630166666667101</v>
      </c>
      <c r="D900" s="5">
        <f>'Raw Data'!J555</f>
        <v>4.7127999999999997</v>
      </c>
      <c r="E900" s="5">
        <f>$D$832-D900</f>
        <v>2.4156300000000002</v>
      </c>
      <c r="F900" s="8">
        <f>10^(-D900)</f>
        <v>1.9373139245819565E-5</v>
      </c>
      <c r="G900" s="5">
        <f>(D900-D899)/(C900-C899)</f>
        <v>-0.45547357926227461</v>
      </c>
      <c r="H900" s="5">
        <f>$D$9+$D$10*EXP(-$D$11*C900)</f>
        <v>4.8534083990249774</v>
      </c>
      <c r="I900" s="5">
        <f>D900-H900</f>
        <v>-0.14060839902497779</v>
      </c>
      <c r="J900" s="5">
        <f t="shared" si="20"/>
        <v>1.9770721876367376E-2</v>
      </c>
      <c r="K900" s="5">
        <f>$D$17+$D$16*C900</f>
        <v>5.2273802543380281</v>
      </c>
      <c r="L900" s="5">
        <f>(D900-K900)^2</f>
        <v>0.26479283815459004</v>
      </c>
      <c r="M900" s="5">
        <f>$D$40+$D$41*EXP(-$D$42*C900)</f>
        <v>0</v>
      </c>
      <c r="N900" s="5">
        <f>(D900-M900)^2</f>
        <v>22.210483839999998</v>
      </c>
      <c r="O900" s="5">
        <f>(C900+C899)/2</f>
        <v>5.6212250000000488</v>
      </c>
      <c r="P900" s="5" t="str">
        <f>IF(AND(D899&gt;6,D900&lt;=6),C899+(6-D899)*(C900-C899)/(D900-D899),"")</f>
        <v/>
      </c>
      <c r="Q900" s="5" t="str">
        <f>IF(AND(D899&gt;5,D900&lt;=5),C899+(5-D899)*(C900-C899)/(D900-D899),"")</f>
        <v/>
      </c>
      <c r="R900" s="5" t="str">
        <f>IF(AND(D899&gt;4,D900&lt;=4),C899+(4-D899)*(C900-C899)/(D900-D899),"")</f>
        <v/>
      </c>
      <c r="S900" s="5" t="str">
        <f>IF(AND(D899&gt;3,D900&lt;=3),C899+(3-D899)*(C900-C899)/(D900-D899),"")</f>
        <v/>
      </c>
    </row>
    <row r="901" spans="1:19" ht="20.100000000000001" customHeight="1">
      <c r="A901" t="s">
        <v>4</v>
      </c>
      <c r="B901">
        <v>556</v>
      </c>
      <c r="C901" s="5">
        <f>('Raw Data'!C556-'Raw Data'!$C$487)/60</f>
        <v>5.7461000000000544</v>
      </c>
      <c r="D901" s="5">
        <f>'Raw Data'!J556</f>
        <v>4.7012600000000004</v>
      </c>
      <c r="E901" s="5">
        <f>$D$832-D901</f>
        <v>2.4271699999999994</v>
      </c>
      <c r="F901" s="8">
        <f>10^(-D901)</f>
        <v>1.9894819350165423E-5</v>
      </c>
      <c r="G901" s="5">
        <f>(D901-D900)/(C901-C900)</f>
        <v>-0.1388966900701829</v>
      </c>
      <c r="H901" s="5">
        <f>$D$9+$D$10*EXP(-$D$11*C901)</f>
        <v>4.833922418941266</v>
      </c>
      <c r="I901" s="5">
        <f>D901-H901</f>
        <v>-0.13266241894126551</v>
      </c>
      <c r="J901" s="5">
        <f t="shared" si="20"/>
        <v>1.7599317399347843E-2</v>
      </c>
      <c r="K901" s="5">
        <f>$D$17+$D$16*C901</f>
        <v>5.2155924628399202</v>
      </c>
      <c r="L901" s="5">
        <f>(D901-K901)^2</f>
        <v>0.26453788233097741</v>
      </c>
      <c r="M901" s="5">
        <f>$D$40+$D$41*EXP(-$D$42*C901)</f>
        <v>0</v>
      </c>
      <c r="N901" s="5">
        <f>(D901-M901)^2</f>
        <v>22.101845587600003</v>
      </c>
      <c r="O901" s="5">
        <f>(C901+C900)/2</f>
        <v>5.7045583333333827</v>
      </c>
      <c r="P901" s="5" t="str">
        <f>IF(AND(D900&gt;6,D901&lt;=6),C900+(6-D900)*(C901-C900)/(D901-D900),"")</f>
        <v/>
      </c>
      <c r="Q901" s="5" t="str">
        <f>IF(AND(D900&gt;5,D901&lt;=5),C900+(5-D900)*(C901-C900)/(D901-D900),"")</f>
        <v/>
      </c>
      <c r="R901" s="5" t="str">
        <f>IF(AND(D900&gt;4,D901&lt;=4),C900+(4-D900)*(C901-C900)/(D901-D900),"")</f>
        <v/>
      </c>
      <c r="S901" s="5" t="str">
        <f>IF(AND(D900&gt;3,D901&lt;=3),C900+(3-D900)*(C901-C900)/(D901-D900),"")</f>
        <v/>
      </c>
    </row>
    <row r="902" spans="1:19" ht="20.100000000000001" customHeight="1">
      <c r="A902" t="s">
        <v>4</v>
      </c>
      <c r="B902">
        <v>557</v>
      </c>
      <c r="C902" s="5">
        <f>('Raw Data'!C557-'Raw Data'!$C$487)/60</f>
        <v>5.8294333333333874</v>
      </c>
      <c r="D902" s="5">
        <f>'Raw Data'!J557</f>
        <v>4.6701199999999998</v>
      </c>
      <c r="E902" s="5">
        <f>$D$832-D902</f>
        <v>2.45831</v>
      </c>
      <c r="F902" s="8">
        <f>10^(-D902)</f>
        <v>2.1373714303521666E-5</v>
      </c>
      <c r="G902" s="5">
        <f>(D902-D901)/(C902-C901)</f>
        <v>-0.37368000000000867</v>
      </c>
      <c r="H902" s="5">
        <f>$D$9+$D$10*EXP(-$D$11*C902)</f>
        <v>4.8147222882027982</v>
      </c>
      <c r="I902" s="5">
        <f>D902-H902</f>
        <v>-0.14460228820279841</v>
      </c>
      <c r="J902" s="5">
        <f t="shared" si="20"/>
        <v>2.0909821753485172E-2</v>
      </c>
      <c r="K902" s="5">
        <f>$D$17+$D$16*C902</f>
        <v>5.2037692015579688</v>
      </c>
      <c r="L902" s="5">
        <f>(D902-K902)^2</f>
        <v>0.28478147032345785</v>
      </c>
      <c r="M902" s="5">
        <f>$D$40+$D$41*EXP(-$D$42*C902)</f>
        <v>0</v>
      </c>
      <c r="N902" s="5">
        <f>(D902-M902)^2</f>
        <v>21.810020814399998</v>
      </c>
      <c r="O902" s="5">
        <f>(C902+C901)/2</f>
        <v>5.7877666666667213</v>
      </c>
      <c r="P902" s="5" t="str">
        <f>IF(AND(D901&gt;6,D902&lt;=6),C901+(6-D901)*(C902-C901)/(D902-D901),"")</f>
        <v/>
      </c>
      <c r="Q902" s="5" t="str">
        <f>IF(AND(D901&gt;5,D902&lt;=5),C901+(5-D901)*(C902-C901)/(D902-D901),"")</f>
        <v/>
      </c>
      <c r="R902" s="5" t="str">
        <f>IF(AND(D901&gt;4,D902&lt;=4),C901+(4-D901)*(C902-C901)/(D902-D901),"")</f>
        <v/>
      </c>
      <c r="S902" s="5" t="str">
        <f>IF(AND(D901&gt;3,D902&lt;=3),C901+(3-D901)*(C902-C901)/(D902-D901),"")</f>
        <v/>
      </c>
    </row>
    <row r="903" spans="1:19" ht="20.100000000000001" customHeight="1">
      <c r="A903" t="s">
        <v>4</v>
      </c>
      <c r="B903">
        <v>558</v>
      </c>
      <c r="C903" s="5">
        <f>('Raw Data'!C558-'Raw Data'!$C$487)/60</f>
        <v>5.9127666666667213</v>
      </c>
      <c r="D903" s="5">
        <f>'Raw Data'!J558</f>
        <v>4.6493500000000001</v>
      </c>
      <c r="E903" s="5">
        <f>$D$832-D903</f>
        <v>2.4790799999999997</v>
      </c>
      <c r="F903" s="8">
        <f>10^(-D903)</f>
        <v>2.2420742970942478E-5</v>
      </c>
      <c r="G903" s="5">
        <f>(D903-D902)/(C903-C902)</f>
        <v>-0.24923999999999502</v>
      </c>
      <c r="H903" s="5">
        <f>$D$9+$D$10*EXP(-$D$11*C903)</f>
        <v>4.7958610743319836</v>
      </c>
      <c r="I903" s="5">
        <f>D903-H903</f>
        <v>-0.14651107433198352</v>
      </c>
      <c r="J903" s="5">
        <f t="shared" si="20"/>
        <v>2.1465494901911998E-2</v>
      </c>
      <c r="K903" s="5">
        <f>$D$17+$D$16*C903</f>
        <v>5.1919459402760175</v>
      </c>
      <c r="L903" s="5">
        <f>(D903-K903)^2</f>
        <v>0.29441035440401547</v>
      </c>
      <c r="M903" s="5">
        <f>$D$40+$D$41*EXP(-$D$42*C903)</f>
        <v>0</v>
      </c>
      <c r="N903" s="5">
        <f>(D903-M903)^2</f>
        <v>21.6164554225</v>
      </c>
      <c r="O903" s="5">
        <f>(C903+C902)/2</f>
        <v>5.8711000000000544</v>
      </c>
      <c r="P903" s="5" t="str">
        <f>IF(AND(D902&gt;6,D903&lt;=6),C902+(6-D902)*(C903-C902)/(D903-D902),"")</f>
        <v/>
      </c>
      <c r="Q903" s="5" t="str">
        <f>IF(AND(D902&gt;5,D903&lt;=5),C902+(5-D902)*(C903-C902)/(D903-D902),"")</f>
        <v/>
      </c>
      <c r="R903" s="5" t="str">
        <f>IF(AND(D902&gt;4,D903&lt;=4),C902+(4-D902)*(C903-C902)/(D903-D902),"")</f>
        <v/>
      </c>
      <c r="S903" s="5" t="str">
        <f>IF(AND(D902&gt;3,D903&lt;=3),C902+(3-D902)*(C903-C902)/(D903-D902),"")</f>
        <v/>
      </c>
    </row>
    <row r="904" spans="1:19" ht="20.100000000000001" customHeight="1">
      <c r="A904" t="s">
        <v>4</v>
      </c>
      <c r="B904">
        <v>559</v>
      </c>
      <c r="C904" s="5">
        <f>('Raw Data'!C559-'Raw Data'!$C$487)/60</f>
        <v>5.9961000000000544</v>
      </c>
      <c r="D904" s="5">
        <f>'Raw Data'!J559</f>
        <v>4.6412800000000001</v>
      </c>
      <c r="E904" s="5">
        <f>$D$832-D904</f>
        <v>2.4871499999999997</v>
      </c>
      <c r="F904" s="8">
        <f>10^(-D904)</f>
        <v>2.2841256982941261E-5</v>
      </c>
      <c r="G904" s="5">
        <f>(D904-D903)/(C904-C903)</f>
        <v>-9.6840000000000606E-2</v>
      </c>
      <c r="H904" s="5">
        <f>$D$9+$D$10*EXP(-$D$11*C904)</f>
        <v>4.7773327948360604</v>
      </c>
      <c r="I904" s="5">
        <f>D904-H904</f>
        <v>-0.13605279483606036</v>
      </c>
      <c r="J904" s="5">
        <f t="shared" si="20"/>
        <v>1.8510362982703133E-2</v>
      </c>
      <c r="K904" s="5">
        <f>$D$17+$D$16*C904</f>
        <v>5.1801226789940653</v>
      </c>
      <c r="L904" s="5">
        <f>(D904-K904)^2</f>
        <v>0.29035143270550123</v>
      </c>
      <c r="M904" s="5">
        <f>$D$40+$D$41*EXP(-$D$42*C904)</f>
        <v>0</v>
      </c>
      <c r="N904" s="5">
        <f>(D904-M904)^2</f>
        <v>21.5414800384</v>
      </c>
      <c r="O904" s="5">
        <f>(C904+C903)/2</f>
        <v>5.9544333333333874</v>
      </c>
      <c r="P904" s="5" t="str">
        <f>IF(AND(D903&gt;6,D904&lt;=6),C903+(6-D903)*(C904-C903)/(D904-D903),"")</f>
        <v/>
      </c>
      <c r="Q904" s="5" t="str">
        <f>IF(AND(D903&gt;5,D904&lt;=5),C903+(5-D903)*(C904-C903)/(D904-D903),"")</f>
        <v/>
      </c>
      <c r="R904" s="5" t="str">
        <f>IF(AND(D903&gt;4,D904&lt;=4),C903+(4-D903)*(C904-C903)/(D904-D903),"")</f>
        <v/>
      </c>
      <c r="S904" s="5" t="str">
        <f>IF(AND(D903&gt;3,D904&lt;=3),C903+(3-D903)*(C904-C903)/(D904-D903),"")</f>
        <v/>
      </c>
    </row>
    <row r="905" spans="1:19" ht="20.100000000000001" customHeight="1">
      <c r="A905" t="s">
        <v>4</v>
      </c>
      <c r="B905">
        <v>560</v>
      </c>
      <c r="C905" s="5">
        <f>('Raw Data'!C560-'Raw Data'!$C$487)/60</f>
        <v>6.0791666666666675</v>
      </c>
      <c r="D905" s="5">
        <f>'Raw Data'!J560</f>
        <v>4.6158999999999999</v>
      </c>
      <c r="E905" s="5">
        <f>$D$832-D905</f>
        <v>2.5125299999999999</v>
      </c>
      <c r="F905" s="8">
        <f>10^(-D905)</f>
        <v>2.4215865734606207E-5</v>
      </c>
      <c r="G905" s="5">
        <f>(D905-D904)/(C905-C904)</f>
        <v>-0.30553772070645918</v>
      </c>
      <c r="H905" s="5">
        <f>$D$9+$D$10*EXP(-$D$11*C905)</f>
        <v>4.7591893012728699</v>
      </c>
      <c r="I905" s="5">
        <f>D905-H905</f>
        <v>-0.14328930127286998</v>
      </c>
      <c r="J905" s="5">
        <f t="shared" si="20"/>
        <v>2.0531823859267301E-2</v>
      </c>
      <c r="K905" s="5">
        <f>$D$17+$D$16*C905</f>
        <v>5.1683372521482243</v>
      </c>
      <c r="L905" s="5">
        <f>(D905-K905)^2</f>
        <v>0.30518691756108085</v>
      </c>
      <c r="M905" s="5">
        <f>$D$40+$D$41*EXP(-$D$42*C905)</f>
        <v>0</v>
      </c>
      <c r="N905" s="5">
        <f>(D905-M905)^2</f>
        <v>21.30653281</v>
      </c>
      <c r="O905" s="5">
        <f>(C905+C904)/2</f>
        <v>6.0376333333333605</v>
      </c>
      <c r="P905" s="5" t="str">
        <f>IF(AND(D904&gt;6,D905&lt;=6),C904+(6-D904)*(C905-C904)/(D905-D904),"")</f>
        <v/>
      </c>
      <c r="Q905" s="5" t="str">
        <f>IF(AND(D904&gt;5,D905&lt;=5),C904+(5-D904)*(C905-C904)/(D905-D904),"")</f>
        <v/>
      </c>
      <c r="R905" s="5" t="str">
        <f>IF(AND(D904&gt;4,D905&lt;=4),C904+(4-D904)*(C905-C904)/(D905-D904),"")</f>
        <v/>
      </c>
      <c r="S905" s="5" t="str">
        <f>IF(AND(D904&gt;3,D905&lt;=3),C904+(3-D904)*(C905-C904)/(D905-D904),"")</f>
        <v/>
      </c>
    </row>
    <row r="906" spans="1:19" ht="20.100000000000001" customHeight="1">
      <c r="A906" t="s">
        <v>4</v>
      </c>
      <c r="B906">
        <v>561</v>
      </c>
      <c r="C906" s="5">
        <f>('Raw Data'!C561-'Raw Data'!$C$487)/60</f>
        <v>6.1625000000000005</v>
      </c>
      <c r="D906" s="5">
        <f>'Raw Data'!J561</f>
        <v>4.5951300000000002</v>
      </c>
      <c r="E906" s="5">
        <f>$D$832-D906</f>
        <v>2.5332999999999997</v>
      </c>
      <c r="F906" s="8">
        <f>10^(-D906)</f>
        <v>2.5402122146126054E-5</v>
      </c>
      <c r="G906" s="5">
        <f>(D906-D905)/(C906-C905)</f>
        <v>-0.24923999999999769</v>
      </c>
      <c r="H906" s="5">
        <f>$D$9+$D$10*EXP(-$D$11*C906)</f>
        <v>4.7413083445804114</v>
      </c>
      <c r="I906" s="5">
        <f>D906-H906</f>
        <v>-0.14617834458041123</v>
      </c>
      <c r="J906" s="5">
        <f t="shared" si="20"/>
        <v>2.1368108424269443E-2</v>
      </c>
      <c r="K906" s="5">
        <f>$D$17+$D$16*C906</f>
        <v>5.156513990866272</v>
      </c>
      <c r="L906" s="5">
        <f>(D906-K906)^2</f>
        <v>0.31515198520094245</v>
      </c>
      <c r="M906" s="5">
        <f>$D$40+$D$41*EXP(-$D$42*C906)</f>
        <v>0</v>
      </c>
      <c r="N906" s="5">
        <f>(D906-M906)^2</f>
        <v>21.1152197169</v>
      </c>
      <c r="O906" s="5">
        <f>(C906+C905)/2</f>
        <v>6.1208333333333336</v>
      </c>
      <c r="P906" s="5" t="str">
        <f>IF(AND(D905&gt;6,D906&lt;=6),C905+(6-D905)*(C906-C905)/(D906-D905),"")</f>
        <v/>
      </c>
      <c r="Q906" s="5" t="str">
        <f>IF(AND(D905&gt;5,D906&lt;=5),C905+(5-D905)*(C906-C905)/(D906-D905),"")</f>
        <v/>
      </c>
      <c r="R906" s="5" t="str">
        <f>IF(AND(D905&gt;4,D906&lt;=4),C905+(4-D905)*(C906-C905)/(D906-D905),"")</f>
        <v/>
      </c>
      <c r="S906" s="5" t="str">
        <f>IF(AND(D905&gt;3,D906&lt;=3),C905+(3-D905)*(C906-C905)/(D906-D905),"")</f>
        <v/>
      </c>
    </row>
    <row r="907" spans="1:19" ht="20.100000000000001" customHeight="1">
      <c r="A907" t="s">
        <v>4</v>
      </c>
      <c r="B907">
        <v>562</v>
      </c>
      <c r="C907" s="5">
        <f>('Raw Data'!C562-'Raw Data'!$C$487)/60</f>
        <v>6.2458333333333345</v>
      </c>
      <c r="D907" s="5">
        <f>'Raw Data'!J562</f>
        <v>4.57667</v>
      </c>
      <c r="E907" s="5">
        <f>$D$832-D907</f>
        <v>2.5517599999999998</v>
      </c>
      <c r="F907" s="8">
        <f>10^(-D907)</f>
        <v>2.6505133743810573E-5</v>
      </c>
      <c r="G907" s="5">
        <f>(D907-D906)/(C907-C906)</f>
        <v>-0.22152000000000013</v>
      </c>
      <c r="H907" s="5">
        <f>$D$9+$D$10*EXP(-$D$11*C907)</f>
        <v>4.7237430189591887</v>
      </c>
      <c r="I907" s="5">
        <f>D907-H907</f>
        <v>-0.14707301895918867</v>
      </c>
      <c r="J907" s="5">
        <f t="shared" si="20"/>
        <v>2.163047290576987E-2</v>
      </c>
      <c r="K907" s="5">
        <f>$D$17+$D$16*C907</f>
        <v>5.1446907295843207</v>
      </c>
      <c r="L907" s="5">
        <f>(D907-K907)^2</f>
        <v>0.32264754923750399</v>
      </c>
      <c r="M907" s="5">
        <f>$D$40+$D$41*EXP(-$D$42*C907)</f>
        <v>0</v>
      </c>
      <c r="N907" s="5">
        <f>(D907-M907)^2</f>
        <v>20.9459082889</v>
      </c>
      <c r="O907" s="5">
        <f>(C907+C906)/2</f>
        <v>6.2041666666666675</v>
      </c>
      <c r="P907" s="5" t="str">
        <f>IF(AND(D906&gt;6,D907&lt;=6),C906+(6-D906)*(C907-C906)/(D907-D906),"")</f>
        <v/>
      </c>
      <c r="Q907" s="5" t="str">
        <f>IF(AND(D906&gt;5,D907&lt;=5),C906+(5-D906)*(C907-C906)/(D907-D906),"")</f>
        <v/>
      </c>
      <c r="R907" s="5" t="str">
        <f>IF(AND(D906&gt;4,D907&lt;=4),C906+(4-D906)*(C907-C906)/(D907-D906),"")</f>
        <v/>
      </c>
      <c r="S907" s="5" t="str">
        <f>IF(AND(D906&gt;3,D907&lt;=3),C906+(3-D906)*(C907-C906)/(D907-D906),"")</f>
        <v/>
      </c>
    </row>
    <row r="908" spans="1:19" ht="20.100000000000001" customHeight="1">
      <c r="A908" t="s">
        <v>4</v>
      </c>
      <c r="B908">
        <v>563</v>
      </c>
      <c r="C908" s="5">
        <f>('Raw Data'!C563-'Raw Data'!$C$487)/60</f>
        <v>6.3291666666666675</v>
      </c>
      <c r="D908" s="5">
        <f>'Raw Data'!J563</f>
        <v>4.5639799999999999</v>
      </c>
      <c r="E908" s="5">
        <f>$D$832-D908</f>
        <v>2.5644499999999999</v>
      </c>
      <c r="F908" s="8">
        <f>10^(-D908)</f>
        <v>2.7291034597730734E-5</v>
      </c>
      <c r="G908" s="5">
        <f>(D908-D907)/(C908-C907)</f>
        <v>-0.15228000000000161</v>
      </c>
      <c r="H908" s="5">
        <f>$D$9+$D$10*EXP(-$D$11*C908)</f>
        <v>4.7064877529526612</v>
      </c>
      <c r="I908" s="5">
        <f>D908-H908</f>
        <v>-0.14250775295266127</v>
      </c>
      <c r="J908" s="5">
        <f t="shared" si="20"/>
        <v>2.0308459651616737E-2</v>
      </c>
      <c r="K908" s="5">
        <f>$D$17+$D$16*C908</f>
        <v>5.1328674683023694</v>
      </c>
      <c r="L908" s="5">
        <f>(D908-K908)^2</f>
        <v>0.32363295159147942</v>
      </c>
      <c r="M908" s="5">
        <f>$D$40+$D$41*EXP(-$D$42*C908)</f>
        <v>0</v>
      </c>
      <c r="N908" s="5">
        <f>(D908-M908)^2</f>
        <v>20.829913440399999</v>
      </c>
      <c r="O908" s="5">
        <f>(C908+C907)/2</f>
        <v>6.2875000000000014</v>
      </c>
      <c r="P908" s="5" t="str">
        <f>IF(AND(D907&gt;6,D908&lt;=6),C907+(6-D907)*(C908-C907)/(D908-D907),"")</f>
        <v/>
      </c>
      <c r="Q908" s="5" t="str">
        <f>IF(AND(D907&gt;5,D908&lt;=5),C907+(5-D907)*(C908-C907)/(D908-D907),"")</f>
        <v/>
      </c>
      <c r="R908" s="5" t="str">
        <f>IF(AND(D907&gt;4,D908&lt;=4),C907+(4-D907)*(C908-C907)/(D908-D907),"")</f>
        <v/>
      </c>
      <c r="S908" s="5" t="str">
        <f>IF(AND(D907&gt;3,D908&lt;=3),C907+(3-D907)*(C908-C907)/(D908-D907),"")</f>
        <v/>
      </c>
    </row>
    <row r="909" spans="1:19" ht="20.100000000000001" customHeight="1">
      <c r="A909" t="s">
        <v>4</v>
      </c>
      <c r="B909">
        <v>564</v>
      </c>
      <c r="C909" s="5">
        <f>('Raw Data'!C564-'Raw Data'!$C$487)/60</f>
        <v>6.4122333333334005</v>
      </c>
      <c r="D909" s="5">
        <f>'Raw Data'!J564</f>
        <v>4.5420699999999998</v>
      </c>
      <c r="E909" s="5">
        <f>$D$832-D909</f>
        <v>2.58636</v>
      </c>
      <c r="F909" s="8">
        <f>10^(-D909)</f>
        <v>2.8703179041529838E-5</v>
      </c>
      <c r="G909" s="5">
        <f>(D909-D908)/(C909-C908)</f>
        <v>-0.26376404494361072</v>
      </c>
      <c r="H909" s="5">
        <f>$D$9+$D$10*EXP(-$D$11*C909)</f>
        <v>4.6895908355788762</v>
      </c>
      <c r="I909" s="5">
        <f>D909-H909</f>
        <v>-0.14752083557887641</v>
      </c>
      <c r="J909" s="5">
        <f t="shared" si="20"/>
        <v>2.1762396929889887E-2</v>
      </c>
      <c r="K909" s="5">
        <f>$D$17+$D$16*C909</f>
        <v>5.1210820414565106</v>
      </c>
      <c r="L909" s="5">
        <f>(D909-K909)^2</f>
        <v>0.33525494415163615</v>
      </c>
      <c r="M909" s="5">
        <f>$D$40+$D$41*EXP(-$D$42*C909)</f>
        <v>0</v>
      </c>
      <c r="N909" s="5">
        <f>(D909-M909)^2</f>
        <v>20.630399884899997</v>
      </c>
      <c r="O909" s="5">
        <f>(C909+C908)/2</f>
        <v>6.370700000000034</v>
      </c>
      <c r="P909" s="5" t="str">
        <f>IF(AND(D908&gt;6,D909&lt;=6),C908+(6-D908)*(C909-C908)/(D909-D908),"")</f>
        <v/>
      </c>
      <c r="Q909" s="5" t="str">
        <f>IF(AND(D908&gt;5,D909&lt;=5),C908+(5-D908)*(C909-C908)/(D909-D908),"")</f>
        <v/>
      </c>
      <c r="R909" s="5" t="str">
        <f>IF(AND(D908&gt;4,D909&lt;=4),C908+(4-D908)*(C909-C908)/(D909-D908),"")</f>
        <v/>
      </c>
      <c r="S909" s="5" t="str">
        <f>IF(AND(D908&gt;3,D909&lt;=3),C908+(3-D908)*(C909-C908)/(D909-D908),"")</f>
        <v/>
      </c>
    </row>
    <row r="910" spans="1:19" ht="20.100000000000001" customHeight="1">
      <c r="A910" t="s">
        <v>4</v>
      </c>
      <c r="B910">
        <v>565</v>
      </c>
      <c r="C910" s="5">
        <f>('Raw Data'!C565-'Raw Data'!$C$487)/60</f>
        <v>6.4958333333333345</v>
      </c>
      <c r="D910" s="5">
        <f>'Raw Data'!J565</f>
        <v>4.5247599999999997</v>
      </c>
      <c r="E910" s="5">
        <f>$D$832-D910</f>
        <v>2.6036700000000002</v>
      </c>
      <c r="F910" s="8">
        <f>10^(-D910)</f>
        <v>2.9870328582575886E-5</v>
      </c>
      <c r="G910" s="5">
        <f>(D910-D909)/(C910-C909)</f>
        <v>-0.20705741626810809</v>
      </c>
      <c r="H910" s="5">
        <f>$D$9+$D$10*EXP(-$D$11*C910)</f>
        <v>4.6728856039527198</v>
      </c>
      <c r="I910" s="5">
        <f>D910-H910</f>
        <v>-0.14812560395272012</v>
      </c>
      <c r="J910" s="5">
        <f t="shared" si="20"/>
        <v>2.1941194546358095E-2</v>
      </c>
      <c r="K910" s="5">
        <f>$D$17+$D$16*C910</f>
        <v>5.1092209457384659</v>
      </c>
      <c r="L910" s="5">
        <f>(D910-K910)^2</f>
        <v>0.34159459709350232</v>
      </c>
      <c r="M910" s="5">
        <f>$D$40+$D$41*EXP(-$D$42*C910)</f>
        <v>0</v>
      </c>
      <c r="N910" s="5">
        <f>(D910-M910)^2</f>
        <v>20.473453057599997</v>
      </c>
      <c r="O910" s="5">
        <f>(C910+C909)/2</f>
        <v>6.454033333333367</v>
      </c>
      <c r="P910" s="5" t="str">
        <f>IF(AND(D909&gt;6,D910&lt;=6),C909+(6-D909)*(C910-C909)/(D910-D909),"")</f>
        <v/>
      </c>
      <c r="Q910" s="5" t="str">
        <f>IF(AND(D909&gt;5,D910&lt;=5),C909+(5-D909)*(C910-C909)/(D910-D909),"")</f>
        <v/>
      </c>
      <c r="R910" s="5" t="str">
        <f>IF(AND(D909&gt;4,D910&lt;=4),C909+(4-D909)*(C910-C909)/(D910-D909),"")</f>
        <v/>
      </c>
      <c r="S910" s="5" t="str">
        <f>IF(AND(D909&gt;3,D910&lt;=3),C909+(3-D909)*(C910-C909)/(D910-D909),"")</f>
        <v/>
      </c>
    </row>
    <row r="911" spans="1:19" ht="20.100000000000001" customHeight="1">
      <c r="A911" t="s">
        <v>4</v>
      </c>
      <c r="B911">
        <v>566</v>
      </c>
      <c r="C911" s="5">
        <f>('Raw Data'!C566-'Raw Data'!$C$487)/60</f>
        <v>6.5789000000000666</v>
      </c>
      <c r="D911" s="5">
        <f>'Raw Data'!J566</f>
        <v>4.5120699999999996</v>
      </c>
      <c r="E911" s="5">
        <f>$D$832-D911</f>
        <v>2.6163600000000002</v>
      </c>
      <c r="F911" s="8">
        <f>10^(-D911)</f>
        <v>3.0756010464690673E-5</v>
      </c>
      <c r="G911" s="5">
        <f>(D911-D910)/(C911-C910)</f>
        <v>-0.15276886035301071</v>
      </c>
      <c r="H911" s="5">
        <f>$D$9+$D$10*EXP(-$D$11*C911)</f>
        <v>4.656579943747305</v>
      </c>
      <c r="I911" s="5">
        <f>D911-H911</f>
        <v>-0.14450994374730541</v>
      </c>
      <c r="J911" s="5">
        <f t="shared" si="20"/>
        <v>2.0883123841849375E-2</v>
      </c>
      <c r="K911" s="5">
        <f>$D$17+$D$16*C911</f>
        <v>5.097435518892607</v>
      </c>
      <c r="L911" s="5">
        <f>(D911-K911)^2</f>
        <v>0.34265279070841159</v>
      </c>
      <c r="M911" s="5">
        <f>$D$40+$D$41*EXP(-$D$42*C911)</f>
        <v>0</v>
      </c>
      <c r="N911" s="5">
        <f>(D911-M911)^2</f>
        <v>20.358775684899996</v>
      </c>
      <c r="O911" s="5">
        <f>(C911+C910)/2</f>
        <v>6.537366666666701</v>
      </c>
      <c r="P911" s="5" t="str">
        <f>IF(AND(D910&gt;6,D911&lt;=6),C910+(6-D910)*(C911-C910)/(D911-D910),"")</f>
        <v/>
      </c>
      <c r="Q911" s="5" t="str">
        <f>IF(AND(D910&gt;5,D911&lt;=5),C910+(5-D910)*(C911-C910)/(D911-D910),"")</f>
        <v/>
      </c>
      <c r="R911" s="5" t="str">
        <f>IF(AND(D910&gt;4,D911&lt;=4),C910+(4-D910)*(C911-C910)/(D911-D910),"")</f>
        <v/>
      </c>
      <c r="S911" s="5" t="str">
        <f>IF(AND(D910&gt;3,D911&lt;=3),C910+(3-D910)*(C911-C910)/(D911-D910),"")</f>
        <v/>
      </c>
    </row>
    <row r="912" spans="1:19" ht="20.100000000000001" customHeight="1">
      <c r="A912" t="s">
        <v>4</v>
      </c>
      <c r="B912">
        <v>567</v>
      </c>
      <c r="C912" s="5">
        <f>('Raw Data'!C567-'Raw Data'!$C$487)/60</f>
        <v>6.6622333333334005</v>
      </c>
      <c r="D912" s="5">
        <f>'Raw Data'!J567</f>
        <v>4.4982300000000004</v>
      </c>
      <c r="E912" s="5">
        <f>$D$832-D912</f>
        <v>2.6301999999999994</v>
      </c>
      <c r="F912" s="8">
        <f>10^(-D912)</f>
        <v>3.1751920608189163E-5</v>
      </c>
      <c r="G912" s="5">
        <f>(D912-D911)/(C912-C911)</f>
        <v>-0.16607999999998904</v>
      </c>
      <c r="H912" s="5">
        <f>$D$9+$D$10*EXP(-$D$11*C912)</f>
        <v>4.640510226911398</v>
      </c>
      <c r="I912" s="5">
        <f>D912-H912</f>
        <v>-0.14228022691139763</v>
      </c>
      <c r="J912" s="5">
        <f t="shared" si="20"/>
        <v>2.02436629699588E-2</v>
      </c>
      <c r="K912" s="5">
        <f>$D$17+$D$16*C912</f>
        <v>5.0856122576106557</v>
      </c>
      <c r="L912" s="5">
        <f>(D912-K912)^2</f>
        <v>0.34501791655579023</v>
      </c>
      <c r="M912" s="5">
        <f>$D$40+$D$41*EXP(-$D$42*C912)</f>
        <v>0</v>
      </c>
      <c r="N912" s="5">
        <f>(D912-M912)^2</f>
        <v>20.234073132900004</v>
      </c>
      <c r="O912" s="5">
        <f>(C912+C911)/2</f>
        <v>6.6205666666667335</v>
      </c>
      <c r="P912" s="5" t="str">
        <f>IF(AND(D911&gt;6,D912&lt;=6),C911+(6-D911)*(C912-C911)/(D912-D911),"")</f>
        <v/>
      </c>
      <c r="Q912" s="5" t="str">
        <f>IF(AND(D911&gt;5,D912&lt;=5),C911+(5-D911)*(C912-C911)/(D912-D911),"")</f>
        <v/>
      </c>
      <c r="R912" s="5" t="str">
        <f>IF(AND(D911&gt;4,D912&lt;=4),C911+(4-D911)*(C912-C911)/(D912-D911),"")</f>
        <v/>
      </c>
      <c r="S912" s="5" t="str">
        <f>IF(AND(D911&gt;3,D912&lt;=3),C911+(3-D911)*(C912-C911)/(D912-D911),"")</f>
        <v/>
      </c>
    </row>
    <row r="913" spans="1:19" ht="20.100000000000001" customHeight="1">
      <c r="A913" t="s">
        <v>4</v>
      </c>
      <c r="B913">
        <v>568</v>
      </c>
      <c r="C913" s="5">
        <f>('Raw Data'!C568-'Raw Data'!$C$487)/60</f>
        <v>6.7455666666667335</v>
      </c>
      <c r="D913" s="5">
        <f>'Raw Data'!J568</f>
        <v>4.4832299999999998</v>
      </c>
      <c r="E913" s="5">
        <f>$D$832-D913</f>
        <v>2.6452</v>
      </c>
      <c r="F913" s="8">
        <f>10^(-D913)</f>
        <v>3.2867751894591431E-5</v>
      </c>
      <c r="G913" s="5">
        <f>(D913-D912)/(C913-C912)</f>
        <v>-0.18000000000000746</v>
      </c>
      <c r="H913" s="5">
        <f>$D$9+$D$10*EXP(-$D$11*C913)</f>
        <v>4.6247241695030388</v>
      </c>
      <c r="I913" s="5">
        <f>D913-H913</f>
        <v>-0.14149416950303895</v>
      </c>
      <c r="J913" s="5">
        <f t="shared" si="20"/>
        <v>2.0020600003354715E-2</v>
      </c>
      <c r="K913" s="5">
        <f>$D$17+$D$16*C913</f>
        <v>5.0737889963287044</v>
      </c>
      <c r="L913" s="5">
        <f>(D913-K913)^2</f>
        <v>0.34875992814476692</v>
      </c>
      <c r="M913" s="5">
        <f>$D$40+$D$41*EXP(-$D$42*C913)</f>
        <v>0</v>
      </c>
      <c r="N913" s="5">
        <f>(D913-M913)^2</f>
        <v>20.099351232899998</v>
      </c>
      <c r="O913" s="5">
        <f>(C913+C912)/2</f>
        <v>6.7039000000000666</v>
      </c>
      <c r="P913" s="5" t="str">
        <f>IF(AND(D912&gt;6,D913&lt;=6),C912+(6-D912)*(C913-C912)/(D913-D912),"")</f>
        <v/>
      </c>
      <c r="Q913" s="5" t="str">
        <f>IF(AND(D912&gt;5,D913&lt;=5),C912+(5-D912)*(C913-C912)/(D913-D912),"")</f>
        <v/>
      </c>
      <c r="R913" s="5" t="str">
        <f>IF(AND(D912&gt;4,D913&lt;=4),C912+(4-D912)*(C913-C912)/(D913-D912),"")</f>
        <v/>
      </c>
      <c r="S913" s="5" t="str">
        <f>IF(AND(D912&gt;3,D913&lt;=3),C912+(3-D912)*(C913-C912)/(D913-D912),"")</f>
        <v/>
      </c>
    </row>
    <row r="914" spans="1:19" ht="20.100000000000001" customHeight="1">
      <c r="A914" t="s">
        <v>4</v>
      </c>
      <c r="B914">
        <v>569</v>
      </c>
      <c r="C914" s="5">
        <f>('Raw Data'!C569-'Raw Data'!$C$487)/60</f>
        <v>6.8289000000000666</v>
      </c>
      <c r="D914" s="5">
        <f>'Raw Data'!J569</f>
        <v>4.4670800000000002</v>
      </c>
      <c r="E914" s="5">
        <f>$D$832-D914</f>
        <v>2.6613499999999997</v>
      </c>
      <c r="F914" s="8">
        <f>10^(-D914)</f>
        <v>3.4113006735330592E-5</v>
      </c>
      <c r="G914" s="5">
        <f>(D914-D913)/(C914-C913)</f>
        <v>-0.19379999999999667</v>
      </c>
      <c r="H914" s="5">
        <f>$D$9+$D$10*EXP(-$D$11*C914)</f>
        <v>4.6092167644227455</v>
      </c>
      <c r="I914" s="5">
        <f>D914-H914</f>
        <v>-0.14213676442274537</v>
      </c>
      <c r="J914" s="5">
        <f t="shared" si="20"/>
        <v>2.0202859800567012E-2</v>
      </c>
      <c r="K914" s="5">
        <f>$D$17+$D$16*C914</f>
        <v>5.0619657350467531</v>
      </c>
      <c r="L914" s="5">
        <f>(D914-K914)^2</f>
        <v>0.3538890377621155</v>
      </c>
      <c r="M914" s="5">
        <f>$D$40+$D$41*EXP(-$D$42*C914)</f>
        <v>0</v>
      </c>
      <c r="N914" s="5">
        <f>(D914-M914)^2</f>
        <v>19.954803726400002</v>
      </c>
      <c r="O914" s="5">
        <f>(C914+C913)/2</f>
        <v>6.7872333333334005</v>
      </c>
      <c r="P914" s="5" t="str">
        <f>IF(AND(D913&gt;6,D914&lt;=6),C913+(6-D913)*(C914-C913)/(D914-D913),"")</f>
        <v/>
      </c>
      <c r="Q914" s="5" t="str">
        <f>IF(AND(D913&gt;5,D914&lt;=5),C913+(5-D913)*(C914-C913)/(D914-D913),"")</f>
        <v/>
      </c>
      <c r="R914" s="5" t="str">
        <f>IF(AND(D913&gt;4,D914&lt;=4),C913+(4-D913)*(C914-C913)/(D914-D913),"")</f>
        <v/>
      </c>
      <c r="S914" s="5" t="str">
        <f>IF(AND(D913&gt;3,D914&lt;=3),C913+(3-D913)*(C914-C913)/(D914-D913),"")</f>
        <v/>
      </c>
    </row>
    <row r="915" spans="1:19" ht="20.100000000000001" customHeight="1">
      <c r="A915" t="s">
        <v>4</v>
      </c>
      <c r="B915">
        <v>570</v>
      </c>
      <c r="C915" s="5">
        <f>('Raw Data'!C570-'Raw Data'!$C$487)/60</f>
        <v>6.9119833333334109</v>
      </c>
      <c r="D915" s="5">
        <f>'Raw Data'!J570</f>
        <v>4.4543900000000001</v>
      </c>
      <c r="E915" s="5">
        <f>$D$832-D915</f>
        <v>2.6740399999999998</v>
      </c>
      <c r="F915" s="8">
        <f>10^(-D915)</f>
        <v>3.5124487808477075E-5</v>
      </c>
      <c r="G915" s="5">
        <f>(D915-D914)/(C915-C914)</f>
        <v>-0.15273821464391277</v>
      </c>
      <c r="H915" s="5">
        <f>$D$9+$D$10*EXP(-$D$11*C915)</f>
        <v>4.5940283894327489</v>
      </c>
      <c r="I915" s="5">
        <f>D915-H915</f>
        <v>-0.13963838943274887</v>
      </c>
      <c r="J915" s="5">
        <f t="shared" si="20"/>
        <v>1.9498879803372029E-2</v>
      </c>
      <c r="K915" s="5">
        <f>$D$17+$D$16*C915</f>
        <v>5.0501779435486451</v>
      </c>
      <c r="L915" s="5">
        <f>(D915-K915)^2</f>
        <v>0.35496327367792346</v>
      </c>
      <c r="M915" s="5">
        <f>$D$40+$D$41*EXP(-$D$42*C915)</f>
        <v>0</v>
      </c>
      <c r="N915" s="5">
        <f>(D915-M915)^2</f>
        <v>19.841590272099999</v>
      </c>
      <c r="O915" s="5">
        <f>(C915+C914)/2</f>
        <v>6.8704416666667392</v>
      </c>
      <c r="P915" s="5" t="str">
        <f>IF(AND(D914&gt;6,D915&lt;=6),C914+(6-D914)*(C915-C914)/(D915-D914),"")</f>
        <v/>
      </c>
      <c r="Q915" s="5" t="str">
        <f>IF(AND(D914&gt;5,D915&lt;=5),C914+(5-D914)*(C915-C914)/(D915-D914),"")</f>
        <v/>
      </c>
      <c r="R915" s="5" t="str">
        <f>IF(AND(D914&gt;4,D915&lt;=4),C914+(4-D914)*(C915-C914)/(D915-D914),"")</f>
        <v/>
      </c>
      <c r="S915" s="5" t="str">
        <f>IF(AND(D914&gt;3,D915&lt;=3),C914+(3-D914)*(C915-C914)/(D915-D914),"")</f>
        <v/>
      </c>
    </row>
    <row r="916" spans="1:19" ht="20.100000000000001" customHeight="1">
      <c r="A916" t="s">
        <v>4</v>
      </c>
      <c r="B916">
        <v>571</v>
      </c>
      <c r="C916" s="5">
        <f>('Raw Data'!C571-'Raw Data'!$C$487)/60</f>
        <v>6.9953166666667439</v>
      </c>
      <c r="D916" s="5">
        <f>'Raw Data'!J571</f>
        <v>4.4324700000000004</v>
      </c>
      <c r="E916" s="5">
        <f>$D$832-D916</f>
        <v>2.6959599999999995</v>
      </c>
      <c r="F916" s="8">
        <f>10^(-D916)</f>
        <v>3.6942816267031052E-5</v>
      </c>
      <c r="G916" s="5">
        <f>(D916-D915)/(C916-C915)</f>
        <v>-0.26303999999999755</v>
      </c>
      <c r="H916" s="5">
        <f>$D$9+$D$10*EXP(-$D$11*C916)</f>
        <v>4.5790628201229158</v>
      </c>
      <c r="I916" s="5">
        <f>D916-H916</f>
        <v>-0.14659282012291541</v>
      </c>
      <c r="J916" s="5">
        <f t="shared" si="20"/>
        <v>2.1489454911589434E-2</v>
      </c>
      <c r="K916" s="5">
        <f>$D$17+$D$16*C916</f>
        <v>5.0383546822666938</v>
      </c>
      <c r="L916" s="5">
        <f>(D916-K916)^2</f>
        <v>0.36709624820541209</v>
      </c>
      <c r="M916" s="5">
        <f>$D$40+$D$41*EXP(-$D$42*C916)</f>
        <v>0</v>
      </c>
      <c r="N916" s="5">
        <f>(D916-M916)^2</f>
        <v>19.646790300900005</v>
      </c>
      <c r="O916" s="5">
        <f>(C916+C915)/2</f>
        <v>6.9536500000000778</v>
      </c>
      <c r="P916" s="5" t="str">
        <f>IF(AND(D915&gt;6,D916&lt;=6),C915+(6-D915)*(C916-C915)/(D916-D915),"")</f>
        <v/>
      </c>
      <c r="Q916" s="5" t="str">
        <f>IF(AND(D915&gt;5,D916&lt;=5),C915+(5-D915)*(C916-C915)/(D916-D915),"")</f>
        <v/>
      </c>
      <c r="R916" s="5" t="str">
        <f>IF(AND(D915&gt;4,D916&lt;=4),C915+(4-D915)*(C916-C915)/(D916-D915),"")</f>
        <v/>
      </c>
      <c r="S916" s="5" t="str">
        <f>IF(AND(D915&gt;3,D916&lt;=3),C915+(3-D915)*(C916-C915)/(D916-D915),"")</f>
        <v/>
      </c>
    </row>
    <row r="917" spans="1:19" ht="20.100000000000001" customHeight="1">
      <c r="A917" t="s">
        <v>4</v>
      </c>
      <c r="B917">
        <v>572</v>
      </c>
      <c r="C917" s="5">
        <f>('Raw Data'!C572-'Raw Data'!$C$487)/60</f>
        <v>7.0786500000000778</v>
      </c>
      <c r="D917" s="5">
        <f>'Raw Data'!J572</f>
        <v>4.4267099999999999</v>
      </c>
      <c r="E917" s="5">
        <f>$D$832-D917</f>
        <v>2.7017199999999999</v>
      </c>
      <c r="F917" s="8">
        <f>10^(-D917)</f>
        <v>3.7436048392110616E-5</v>
      </c>
      <c r="G917" s="5">
        <f>(D917-D916)/(C917-C916)</f>
        <v>-6.9120000000004692E-2</v>
      </c>
      <c r="H917" s="5">
        <f>$D$9+$D$10*EXP(-$D$11*C917)</f>
        <v>4.5643614200493356</v>
      </c>
      <c r="I917" s="5">
        <f>D917-H917</f>
        <v>-0.13765142004933573</v>
      </c>
      <c r="J917" s="5">
        <f t="shared" si="20"/>
        <v>1.8947913441598664E-2</v>
      </c>
      <c r="K917" s="5">
        <f>$D$17+$D$16*C917</f>
        <v>5.0265314209847425</v>
      </c>
      <c r="L917" s="5">
        <f>(D917-K917)^2</f>
        <v>0.35978573707215578</v>
      </c>
      <c r="M917" s="5">
        <f>$D$40+$D$41*EXP(-$D$42*C917)</f>
        <v>0</v>
      </c>
      <c r="N917" s="5">
        <f>(D917-M917)^2</f>
        <v>19.595761424100001</v>
      </c>
      <c r="O917" s="5">
        <f>(C917+C916)/2</f>
        <v>7.0369833333334109</v>
      </c>
      <c r="P917" s="5" t="str">
        <f>IF(AND(D916&gt;6,D917&lt;=6),C916+(6-D916)*(C917-C916)/(D917-D916),"")</f>
        <v/>
      </c>
      <c r="Q917" s="5" t="str">
        <f>IF(AND(D916&gt;5,D917&lt;=5),C916+(5-D916)*(C917-C916)/(D917-D916),"")</f>
        <v/>
      </c>
      <c r="R917" s="5" t="str">
        <f>IF(AND(D916&gt;4,D917&lt;=4),C916+(4-D916)*(C917-C916)/(D917-D916),"")</f>
        <v/>
      </c>
      <c r="S917" s="5" t="str">
        <f>IF(AND(D916&gt;3,D917&lt;=3),C916+(3-D916)*(C917-C916)/(D917-D916),"")</f>
        <v/>
      </c>
    </row>
    <row r="918" spans="1:19" ht="20.100000000000001" customHeight="1">
      <c r="A918" t="s">
        <v>4</v>
      </c>
      <c r="B918">
        <v>573</v>
      </c>
      <c r="C918" s="5">
        <f>('Raw Data'!C573-'Raw Data'!$C$487)/60</f>
        <v>7.1617166666666892</v>
      </c>
      <c r="D918" s="5">
        <f>'Raw Data'!J573</f>
        <v>4.4174800000000003</v>
      </c>
      <c r="E918" s="5">
        <f>$D$832-D918</f>
        <v>2.7109499999999995</v>
      </c>
      <c r="F918" s="8">
        <f>10^(-D918)</f>
        <v>3.8240186350923584E-5</v>
      </c>
      <c r="G918" s="5">
        <f>(D918-D917)/(C918-C917)</f>
        <v>-0.11111556982350453</v>
      </c>
      <c r="H918" s="5">
        <f>$D$9+$D$10*EXP(-$D$11*C918)</f>
        <v>4.5499653312131558</v>
      </c>
      <c r="I918" s="5">
        <f>D918-H918</f>
        <v>-0.13248533121315553</v>
      </c>
      <c r="J918" s="5">
        <f t="shared" si="20"/>
        <v>1.7552362986659523E-2</v>
      </c>
      <c r="K918" s="5">
        <f>$D$17+$D$16*C918</f>
        <v>5.0147459941389005</v>
      </c>
      <c r="L918" s="5">
        <f>(D918-K918)^2</f>
        <v>0.35672666775472883</v>
      </c>
      <c r="M918" s="5">
        <f>$D$40+$D$41*EXP(-$D$42*C918)</f>
        <v>0</v>
      </c>
      <c r="N918" s="5">
        <f>(D918-M918)^2</f>
        <v>19.514129550400003</v>
      </c>
      <c r="O918" s="5">
        <f>(C918+C917)/2</f>
        <v>7.120183333333383</v>
      </c>
      <c r="P918" s="5" t="str">
        <f>IF(AND(D917&gt;6,D918&lt;=6),C917+(6-D917)*(C918-C917)/(D918-D917),"")</f>
        <v/>
      </c>
      <c r="Q918" s="5" t="str">
        <f>IF(AND(D917&gt;5,D918&lt;=5),C917+(5-D917)*(C918-C917)/(D918-D917),"")</f>
        <v/>
      </c>
      <c r="R918" s="5" t="str">
        <f>IF(AND(D917&gt;4,D918&lt;=4),C917+(4-D917)*(C918-C917)/(D918-D917),"")</f>
        <v/>
      </c>
      <c r="S918" s="5" t="str">
        <f>IF(AND(D917&gt;3,D918&lt;=3),C917+(3-D917)*(C918-C917)/(D918-D917),"")</f>
        <v/>
      </c>
    </row>
    <row r="919" spans="1:19" ht="20.100000000000001" customHeight="1">
      <c r="A919" t="s">
        <v>4</v>
      </c>
      <c r="B919">
        <v>574</v>
      </c>
      <c r="C919" s="5">
        <f>('Raw Data'!C574-'Raw Data'!$C$487)/60</f>
        <v>7.2453166666667439</v>
      </c>
      <c r="D919" s="5">
        <f>'Raw Data'!J574</f>
        <v>4.3967099999999997</v>
      </c>
      <c r="E919" s="5">
        <f>$D$832-D919</f>
        <v>2.7317200000000001</v>
      </c>
      <c r="F919" s="8">
        <f>10^(-D919)</f>
        <v>4.0113448563955769E-5</v>
      </c>
      <c r="G919" s="5">
        <f>(D919-D918)/(C919-C918)</f>
        <v>-0.24844497607639976</v>
      </c>
      <c r="H919" s="5">
        <f>$D$9+$D$10*EXP(-$D$11*C919)</f>
        <v>4.5357325576722909</v>
      </c>
      <c r="I919" s="5">
        <f>D919-H919</f>
        <v>-0.13902255767229121</v>
      </c>
      <c r="J919" s="5">
        <f t="shared" si="20"/>
        <v>1.9327271541745537E-2</v>
      </c>
      <c r="K919" s="5">
        <f>$D$17+$D$16*C919</f>
        <v>5.0028848984208389</v>
      </c>
      <c r="L919" s="5">
        <f>(D919-K919)^2</f>
        <v>0.36744800747551482</v>
      </c>
      <c r="M919" s="5">
        <f>$D$40+$D$41*EXP(-$D$42*C919)</f>
        <v>0</v>
      </c>
      <c r="N919" s="5">
        <f>(D919-M919)^2</f>
        <v>19.331058824099998</v>
      </c>
      <c r="O919" s="5">
        <f>(C919+C918)/2</f>
        <v>7.203516666666717</v>
      </c>
      <c r="P919" s="5" t="str">
        <f>IF(AND(D918&gt;6,D919&lt;=6),C918+(6-D918)*(C919-C918)/(D919-D918),"")</f>
        <v/>
      </c>
      <c r="Q919" s="5" t="str">
        <f>IF(AND(D918&gt;5,D919&lt;=5),C918+(5-D918)*(C919-C918)/(D919-D918),"")</f>
        <v/>
      </c>
      <c r="R919" s="5" t="str">
        <f>IF(AND(D918&gt;4,D919&lt;=4),C918+(4-D918)*(C919-C918)/(D919-D918),"")</f>
        <v/>
      </c>
      <c r="S919" s="5" t="str">
        <f>IF(AND(D918&gt;3,D919&lt;=3),C918+(3-D918)*(C919-C918)/(D919-D918),"")</f>
        <v/>
      </c>
    </row>
    <row r="920" spans="1:19" ht="20.100000000000001" customHeight="1">
      <c r="A920" t="s">
        <v>4</v>
      </c>
      <c r="B920">
        <v>575</v>
      </c>
      <c r="C920" s="5">
        <f>('Raw Data'!C575-'Raw Data'!$C$487)/60</f>
        <v>7.3283833333333552</v>
      </c>
      <c r="D920" s="5">
        <f>'Raw Data'!J575</f>
        <v>4.3955599999999997</v>
      </c>
      <c r="E920" s="5">
        <f>$D$832-D920</f>
        <v>2.7328700000000001</v>
      </c>
      <c r="F920" s="8">
        <f>10^(-D920)</f>
        <v>4.0219808644106546E-5</v>
      </c>
      <c r="G920" s="5">
        <f>(D920-D919)/(C920-C919)</f>
        <v>-1.3844301765659114E-2</v>
      </c>
      <c r="H920" s="5">
        <f>$D$9+$D$10*EXP(-$D$11*C920)</f>
        <v>4.5218402169774192</v>
      </c>
      <c r="I920" s="5">
        <f>D920-H920</f>
        <v>-0.12628021697741953</v>
      </c>
      <c r="J920" s="5">
        <f t="shared" si="20"/>
        <v>1.5946693199864158E-2</v>
      </c>
      <c r="K920" s="5">
        <f>$D$17+$D$16*C920</f>
        <v>4.9910994715749979</v>
      </c>
      <c r="L920" s="5">
        <f>(D920-K920)^2</f>
        <v>0.3546672622038281</v>
      </c>
      <c r="M920" s="5">
        <f>$D$40+$D$41*EXP(-$D$42*C920)</f>
        <v>0</v>
      </c>
      <c r="N920" s="5">
        <f>(D920-M920)^2</f>
        <v>19.320947713599999</v>
      </c>
      <c r="O920" s="5">
        <f>(C920+C919)/2</f>
        <v>7.2868500000000491</v>
      </c>
      <c r="P920" s="5" t="str">
        <f>IF(AND(D919&gt;6,D920&lt;=6),C919+(6-D919)*(C920-C919)/(D920-D919),"")</f>
        <v/>
      </c>
      <c r="Q920" s="5" t="str">
        <f>IF(AND(D919&gt;5,D920&lt;=5),C919+(5-D919)*(C920-C919)/(D920-D919),"")</f>
        <v/>
      </c>
      <c r="R920" s="5" t="str">
        <f>IF(AND(D919&gt;4,D920&lt;=4),C919+(4-D919)*(C920-C919)/(D920-D919),"")</f>
        <v/>
      </c>
      <c r="S920" s="5" t="str">
        <f>IF(AND(D919&gt;3,D920&lt;=3),C919+(3-D919)*(C920-C919)/(D920-D919),"")</f>
        <v/>
      </c>
    </row>
    <row r="921" spans="1:19" ht="20.100000000000001" customHeight="1">
      <c r="A921" t="s">
        <v>4</v>
      </c>
      <c r="B921">
        <v>576</v>
      </c>
      <c r="C921" s="5">
        <f>('Raw Data'!C576-'Raw Data'!$C$487)/60</f>
        <v>7.4117166666666892</v>
      </c>
      <c r="D921" s="5">
        <f>'Raw Data'!J576</f>
        <v>4.3828699999999996</v>
      </c>
      <c r="E921" s="5">
        <f>$D$832-D921</f>
        <v>2.7455600000000002</v>
      </c>
      <c r="F921" s="8">
        <f>10^(-D921)</f>
        <v>4.1412361840156351E-5</v>
      </c>
      <c r="G921" s="5">
        <f>(D921-D920)/(C921-C920)</f>
        <v>-0.15228</v>
      </c>
      <c r="H921" s="5">
        <f>$D$9+$D$10*EXP(-$D$11*C921)</f>
        <v>4.508148898849698</v>
      </c>
      <c r="I921" s="5">
        <f>D921-H921</f>
        <v>-0.12527889884969845</v>
      </c>
      <c r="J921" s="5">
        <f t="shared" si="20"/>
        <v>1.5694802496992975E-2</v>
      </c>
      <c r="K921" s="5">
        <f>$D$17+$D$16*C921</f>
        <v>4.9792762102930457</v>
      </c>
      <c r="L921" s="5">
        <f>(D921-K921)^2</f>
        <v>0.35570036767611313</v>
      </c>
      <c r="M921" s="5">
        <f>$D$40+$D$41*EXP(-$D$42*C921)</f>
        <v>0</v>
      </c>
      <c r="N921" s="5">
        <f>(D921-M921)^2</f>
        <v>19.209549436899998</v>
      </c>
      <c r="O921" s="5">
        <f>(C921+C920)/2</f>
        <v>7.3700500000000222</v>
      </c>
      <c r="P921" s="5" t="str">
        <f>IF(AND(D920&gt;6,D921&lt;=6),C920+(6-D920)*(C921-C920)/(D921-D920),"")</f>
        <v/>
      </c>
      <c r="Q921" s="5" t="str">
        <f>IF(AND(D920&gt;5,D921&lt;=5),C920+(5-D920)*(C921-C920)/(D921-D920),"")</f>
        <v/>
      </c>
      <c r="R921" s="5" t="str">
        <f>IF(AND(D920&gt;4,D921&lt;=4),C920+(4-D920)*(C921-C920)/(D921-D920),"")</f>
        <v/>
      </c>
      <c r="S921" s="5" t="str">
        <f>IF(AND(D920&gt;3,D921&lt;=3),C920+(3-D920)*(C921-C920)/(D921-D920),"")</f>
        <v/>
      </c>
    </row>
    <row r="922" spans="1:19" ht="20.100000000000001" customHeight="1">
      <c r="A922" t="s">
        <v>4</v>
      </c>
      <c r="B922">
        <v>577</v>
      </c>
      <c r="C922" s="5">
        <f>('Raw Data'!C577-'Raw Data'!$C$487)/60</f>
        <v>7.4950500000000222</v>
      </c>
      <c r="D922" s="5">
        <f>'Raw Data'!J577</f>
        <v>4.37249</v>
      </c>
      <c r="E922" s="5">
        <f>$D$832-D922</f>
        <v>2.7559399999999998</v>
      </c>
      <c r="F922" s="8">
        <f>10^(-D922)</f>
        <v>4.2414074999973358E-5</v>
      </c>
      <c r="G922" s="5">
        <f>(D922-D921)/(C922-C921)</f>
        <v>-0.12455999999999579</v>
      </c>
      <c r="H922" s="5">
        <f>$D$9+$D$10*EXP(-$D$11*C922)</f>
        <v>4.4946992571312228</v>
      </c>
      <c r="I922" s="5">
        <f>D922-H922</f>
        <v>-0.12220925713122277</v>
      </c>
      <c r="J922" s="5">
        <f t="shared" si="20"/>
        <v>1.4935102528565324E-2</v>
      </c>
      <c r="K922" s="5">
        <f>$D$17+$D$16*C922</f>
        <v>4.9674529490110944</v>
      </c>
      <c r="L922" s="5">
        <f>(D922-K922)^2</f>
        <v>0.35398091069597809</v>
      </c>
      <c r="M922" s="5">
        <f>$D$40+$D$41*EXP(-$D$42*C922)</f>
        <v>0</v>
      </c>
      <c r="N922" s="5">
        <f>(D922-M922)^2</f>
        <v>19.1186688001</v>
      </c>
      <c r="O922" s="5">
        <f>(C922+C921)/2</f>
        <v>7.4533833333333561</v>
      </c>
      <c r="P922" s="5" t="str">
        <f>IF(AND(D921&gt;6,D922&lt;=6),C921+(6-D921)*(C922-C921)/(D922-D921),"")</f>
        <v/>
      </c>
      <c r="Q922" s="5" t="str">
        <f>IF(AND(D921&gt;5,D922&lt;=5),C921+(5-D921)*(C922-C921)/(D922-D921),"")</f>
        <v/>
      </c>
      <c r="R922" s="5" t="str">
        <f>IF(AND(D921&gt;4,D922&lt;=4),C921+(4-D921)*(C922-C921)/(D922-D921),"")</f>
        <v/>
      </c>
      <c r="S922" s="5" t="str">
        <f>IF(AND(D921&gt;3,D922&lt;=3),C921+(3-D921)*(C922-C921)/(D922-D921),"")</f>
        <v/>
      </c>
    </row>
    <row r="923" spans="1:19" ht="20.100000000000001" customHeight="1">
      <c r="A923" t="s">
        <v>4</v>
      </c>
      <c r="B923">
        <v>578</v>
      </c>
      <c r="C923" s="5">
        <f>('Raw Data'!C578-'Raw Data'!$C$487)/60</f>
        <v>7.5783833333333552</v>
      </c>
      <c r="D923" s="5">
        <f>'Raw Data'!J578</f>
        <v>4.3609499999999999</v>
      </c>
      <c r="E923" s="5">
        <f>$D$832-D923</f>
        <v>2.7674799999999999</v>
      </c>
      <c r="F923" s="8">
        <f>10^(-D923)</f>
        <v>4.3556201672938699E-5</v>
      </c>
      <c r="G923" s="5">
        <f>(D923-D922)/(C923-C922)</f>
        <v>-0.13848000000000177</v>
      </c>
      <c r="H923" s="5">
        <f>$D$9+$D$10*EXP(-$D$11*C923)</f>
        <v>4.4814870257983515</v>
      </c>
      <c r="I923" s="5">
        <f>D923-H923</f>
        <v>-0.12053702579835157</v>
      </c>
      <c r="J923" s="5">
        <f t="shared" ref="J923:J986" si="21">I923^2</f>
        <v>1.4529174588312472E-2</v>
      </c>
      <c r="K923" s="5">
        <f>$D$17+$D$16*C923</f>
        <v>4.955629687729143</v>
      </c>
      <c r="L923" s="5">
        <f>(D923-K923)^2</f>
        <v>0.3536439309976312</v>
      </c>
      <c r="M923" s="5">
        <f>$D$40+$D$41*EXP(-$D$42*C923)</f>
        <v>0</v>
      </c>
      <c r="N923" s="5">
        <f>(D923-M923)^2</f>
        <v>19.017884902500001</v>
      </c>
      <c r="O923" s="5">
        <f>(C923+C922)/2</f>
        <v>7.5367166666666883</v>
      </c>
      <c r="P923" s="5" t="str">
        <f>IF(AND(D922&gt;6,D923&lt;=6),C922+(6-D922)*(C923-C922)/(D923-D922),"")</f>
        <v/>
      </c>
      <c r="Q923" s="5" t="str">
        <f>IF(AND(D922&gt;5,D923&lt;=5),C922+(5-D922)*(C923-C922)/(D923-D922),"")</f>
        <v/>
      </c>
      <c r="R923" s="5" t="str">
        <f>IF(AND(D922&gt;4,D923&lt;=4),C922+(4-D922)*(C923-C922)/(D923-D922),"")</f>
        <v/>
      </c>
      <c r="S923" s="5" t="str">
        <f>IF(AND(D922&gt;3,D923&lt;=3),C922+(3-D922)*(C923-C922)/(D923-D922),"")</f>
        <v/>
      </c>
    </row>
    <row r="924" spans="1:19" ht="20.100000000000001" customHeight="1">
      <c r="A924" t="s">
        <v>4</v>
      </c>
      <c r="B924">
        <v>579</v>
      </c>
      <c r="C924" s="5">
        <f>('Raw Data'!C579-'Raw Data'!$C$487)/60</f>
        <v>7.6614666666666986</v>
      </c>
      <c r="D924" s="5">
        <f>'Raw Data'!J579</f>
        <v>4.3494200000000003</v>
      </c>
      <c r="E924" s="5">
        <f>$D$832-D924</f>
        <v>2.7790099999999995</v>
      </c>
      <c r="F924" s="8">
        <f>10^(-D924)</f>
        <v>4.4728053632024619E-5</v>
      </c>
      <c r="G924" s="5">
        <f>(D924-D923)/(C924-C923)</f>
        <v>-0.13877632898693923</v>
      </c>
      <c r="H924" s="5">
        <f>$D$9+$D$10*EXP(-$D$11*C924)</f>
        <v>4.4685466065019446</v>
      </c>
      <c r="I924" s="5">
        <f>D924-H924</f>
        <v>-0.11912660650194429</v>
      </c>
      <c r="J924" s="5">
        <f t="shared" si="21"/>
        <v>1.4191148376669075E-2</v>
      </c>
      <c r="K924" s="5">
        <f>$D$17+$D$16*C924</f>
        <v>4.9438418962310351</v>
      </c>
      <c r="L924" s="5">
        <f>(D924-K924)^2</f>
        <v>0.35333739071889914</v>
      </c>
      <c r="M924" s="5">
        <f>$D$40+$D$41*EXP(-$D$42*C924)</f>
        <v>0</v>
      </c>
      <c r="N924" s="5">
        <f>(D924-M924)^2</f>
        <v>18.917454336400002</v>
      </c>
      <c r="O924" s="5">
        <f>(C924+C923)/2</f>
        <v>7.6199250000000269</v>
      </c>
      <c r="P924" s="5" t="str">
        <f>IF(AND(D923&gt;6,D924&lt;=6),C923+(6-D923)*(C924-C923)/(D924-D923),"")</f>
        <v/>
      </c>
      <c r="Q924" s="5" t="str">
        <f>IF(AND(D923&gt;5,D924&lt;=5),C923+(5-D923)*(C924-C923)/(D924-D923),"")</f>
        <v/>
      </c>
      <c r="R924" s="5" t="str">
        <f>IF(AND(D923&gt;4,D924&lt;=4),C923+(4-D923)*(C924-C923)/(D924-D923),"")</f>
        <v/>
      </c>
      <c r="S924" s="5" t="str">
        <f>IF(AND(D923&gt;3,D924&lt;=3),C923+(3-D923)*(C924-C923)/(D924-D923),"")</f>
        <v/>
      </c>
    </row>
    <row r="925" spans="1:19" ht="20.100000000000001" customHeight="1">
      <c r="A925" t="s">
        <v>4</v>
      </c>
      <c r="B925">
        <v>580</v>
      </c>
      <c r="C925" s="5">
        <f>('Raw Data'!C580-'Raw Data'!$C$487)/60</f>
        <v>7.7450500000000222</v>
      </c>
      <c r="D925" s="5">
        <f>'Raw Data'!J580</f>
        <v>4.3401899999999998</v>
      </c>
      <c r="E925" s="5">
        <f>$D$832-D925</f>
        <v>2.7882400000000001</v>
      </c>
      <c r="F925" s="8">
        <f>10^(-D925)</f>
        <v>4.5688826130569614E-5</v>
      </c>
      <c r="G925" s="5">
        <f>(D925-D924)/(C925-C924)</f>
        <v>-0.11042871385844379</v>
      </c>
      <c r="H925" s="5">
        <f>$D$9+$D$10*EXP(-$D$11*C925)</f>
        <v>4.4557581053806148</v>
      </c>
      <c r="I925" s="5">
        <f>D925-H925</f>
        <v>-0.11556810538061502</v>
      </c>
      <c r="J925" s="5">
        <f t="shared" si="21"/>
        <v>1.3355986981264938E-2</v>
      </c>
      <c r="K925" s="5">
        <f>$D$17+$D$16*C925</f>
        <v>4.9319831651652395</v>
      </c>
      <c r="L925" s="5">
        <f>(D925-K925)^2</f>
        <v>0.35021915033629269</v>
      </c>
      <c r="M925" s="5">
        <f>$D$40+$D$41*EXP(-$D$42*C925)</f>
        <v>0</v>
      </c>
      <c r="N925" s="5">
        <f>(D925-M925)^2</f>
        <v>18.837249236099996</v>
      </c>
      <c r="O925" s="5">
        <f>(C925+C924)/2</f>
        <v>7.7032583333333609</v>
      </c>
      <c r="P925" s="5" t="str">
        <f>IF(AND(D924&gt;6,D925&lt;=6),C924+(6-D924)*(C925-C924)/(D925-D924),"")</f>
        <v/>
      </c>
      <c r="Q925" s="5" t="str">
        <f>IF(AND(D924&gt;5,D925&lt;=5),C924+(5-D924)*(C925-C924)/(D925-D924),"")</f>
        <v/>
      </c>
      <c r="R925" s="5" t="str">
        <f>IF(AND(D924&gt;4,D925&lt;=4),C924+(4-D924)*(C925-C924)/(D925-D924),"")</f>
        <v/>
      </c>
      <c r="S925" s="5" t="str">
        <f>IF(AND(D924&gt;3,D925&lt;=3),C924+(3-D924)*(C925-C924)/(D925-D924),"")</f>
        <v/>
      </c>
    </row>
    <row r="926" spans="1:19" ht="20.100000000000001" customHeight="1">
      <c r="A926" t="s">
        <v>4</v>
      </c>
      <c r="B926">
        <v>581</v>
      </c>
      <c r="C926" s="5">
        <f>('Raw Data'!C581-'Raw Data'!$C$487)/60</f>
        <v>7.8281333333333656</v>
      </c>
      <c r="D926" s="5">
        <f>'Raw Data'!J581</f>
        <v>4.3355699999999997</v>
      </c>
      <c r="E926" s="5">
        <f>$D$832-D926</f>
        <v>2.7928600000000001</v>
      </c>
      <c r="F926" s="8">
        <f>10^(-D926)</f>
        <v>4.6177455663190646E-5</v>
      </c>
      <c r="G926" s="5">
        <f>(D926-D925)/(C926-C925)</f>
        <v>-5.5606820461378249E-2</v>
      </c>
      <c r="H926" s="5">
        <f>$D$9+$D$10*EXP(-$D$11*C926)</f>
        <v>4.4432704974166821</v>
      </c>
      <c r="I926" s="5">
        <f>D926-H926</f>
        <v>-0.10770049741668242</v>
      </c>
      <c r="J926" s="5">
        <f t="shared" si="21"/>
        <v>1.1599397143800816E-2</v>
      </c>
      <c r="K926" s="5">
        <f>$D$17+$D$16*C926</f>
        <v>4.9201953736671324</v>
      </c>
      <c r="L926" s="5">
        <f>(D926-K926)^2</f>
        <v>0.3417868275354346</v>
      </c>
      <c r="M926" s="5">
        <f>$D$40+$D$41*EXP(-$D$42*C926)</f>
        <v>0</v>
      </c>
      <c r="N926" s="5">
        <f>(D926-M926)^2</f>
        <v>18.797167224899997</v>
      </c>
      <c r="O926" s="5">
        <f>(C926+C925)/2</f>
        <v>7.7865916666666939</v>
      </c>
      <c r="P926" s="5" t="str">
        <f>IF(AND(D925&gt;6,D926&lt;=6),C925+(6-D925)*(C926-C925)/(D926-D925),"")</f>
        <v/>
      </c>
      <c r="Q926" s="5" t="str">
        <f>IF(AND(D925&gt;5,D926&lt;=5),C925+(5-D925)*(C926-C925)/(D926-D925),"")</f>
        <v/>
      </c>
      <c r="R926" s="5" t="str">
        <f>IF(AND(D925&gt;4,D926&lt;=4),C925+(4-D925)*(C926-C925)/(D926-D925),"")</f>
        <v/>
      </c>
      <c r="S926" s="5" t="str">
        <f>IF(AND(D925&gt;3,D926&lt;=3),C925+(3-D925)*(C926-C925)/(D926-D925),"")</f>
        <v/>
      </c>
    </row>
    <row r="927" spans="1:19" ht="20.100000000000001" customHeight="1">
      <c r="A927" t="s">
        <v>4</v>
      </c>
      <c r="B927">
        <v>582</v>
      </c>
      <c r="C927" s="5">
        <f>('Raw Data'!C582-'Raw Data'!$C$487)/60</f>
        <v>7.9114666666666986</v>
      </c>
      <c r="D927" s="5">
        <f>'Raw Data'!J582</f>
        <v>4.3240400000000001</v>
      </c>
      <c r="E927" s="5">
        <f>$D$832-D927</f>
        <v>2.8043899999999997</v>
      </c>
      <c r="F927" s="8">
        <f>10^(-D927)</f>
        <v>4.7419830797065943E-5</v>
      </c>
      <c r="G927" s="5">
        <f>(D927-D926)/(C927-C926)</f>
        <v>-0.13835999999999565</v>
      </c>
      <c r="H927" s="5">
        <f>$D$9+$D$10*EXP(-$D$11*C927)</f>
        <v>4.4309660762642302</v>
      </c>
      <c r="I927" s="5">
        <f>D927-H927</f>
        <v>-0.10692607626423012</v>
      </c>
      <c r="J927" s="5">
        <f t="shared" si="21"/>
        <v>1.1433185785263955E-2</v>
      </c>
      <c r="K927" s="5">
        <f>$D$17+$D$16*C927</f>
        <v>4.9083721123851811</v>
      </c>
      <c r="L927" s="5">
        <f>(D927-K927)^2</f>
        <v>0.3414440175645278</v>
      </c>
      <c r="M927" s="5">
        <f>$D$40+$D$41*EXP(-$D$42*C927)</f>
        <v>0</v>
      </c>
      <c r="N927" s="5">
        <f>(D927-M927)^2</f>
        <v>18.6973219216</v>
      </c>
      <c r="O927" s="5">
        <f>(C927+C926)/2</f>
        <v>7.8698000000000317</v>
      </c>
      <c r="P927" s="5" t="str">
        <f>IF(AND(D926&gt;6,D927&lt;=6),C926+(6-D926)*(C927-C926)/(D927-D926),"")</f>
        <v/>
      </c>
      <c r="Q927" s="5" t="str">
        <f>IF(AND(D926&gt;5,D927&lt;=5),C926+(5-D926)*(C927-C926)/(D927-D926),"")</f>
        <v/>
      </c>
      <c r="R927" s="5" t="str">
        <f>IF(AND(D926&gt;4,D927&lt;=4),C926+(4-D926)*(C927-C926)/(D927-D926),"")</f>
        <v/>
      </c>
      <c r="S927" s="5" t="str">
        <f>IF(AND(D926&gt;3,D927&lt;=3),C926+(3-D926)*(C927-C926)/(D927-D926),"")</f>
        <v/>
      </c>
    </row>
    <row r="928" spans="1:19" ht="20.100000000000001" customHeight="1">
      <c r="A928" t="s">
        <v>4</v>
      </c>
      <c r="B928">
        <v>583</v>
      </c>
      <c r="C928" s="5">
        <f>('Raw Data'!C583-'Raw Data'!$C$487)/60</f>
        <v>7.9948000000000317</v>
      </c>
      <c r="D928" s="5">
        <f>'Raw Data'!J583</f>
        <v>4.3240400000000001</v>
      </c>
      <c r="E928" s="5">
        <f>$D$832-D928</f>
        <v>2.8043899999999997</v>
      </c>
      <c r="F928" s="8">
        <f>10^(-D928)</f>
        <v>4.7419830797065943E-5</v>
      </c>
      <c r="G928" s="5">
        <f>(D928-D927)/(C928-C927)</f>
        <v>0</v>
      </c>
      <c r="H928" s="5">
        <f>$D$9+$D$10*EXP(-$D$11*C928)</f>
        <v>4.4188788502930034</v>
      </c>
      <c r="I928" s="5">
        <f>D928-H928</f>
        <v>-9.4838850293003318E-2</v>
      </c>
      <c r="J928" s="5">
        <f t="shared" si="21"/>
        <v>8.9944075248986951E-3</v>
      </c>
      <c r="K928" s="5">
        <f>$D$17+$D$16*C928</f>
        <v>4.8965488511032298</v>
      </c>
      <c r="L928" s="5">
        <f>(D928-K928)^2</f>
        <v>0.32776638459154001</v>
      </c>
      <c r="M928" s="5">
        <f>$D$40+$D$41*EXP(-$D$42*C928)</f>
        <v>0</v>
      </c>
      <c r="N928" s="5">
        <f>(D928-M928)^2</f>
        <v>18.6973219216</v>
      </c>
      <c r="O928" s="5">
        <f>(C928+C927)/2</f>
        <v>7.9531333333333656</v>
      </c>
      <c r="P928" s="5" t="str">
        <f>IF(AND(D927&gt;6,D928&lt;=6),C927+(6-D927)*(C928-C927)/(D928-D927),"")</f>
        <v/>
      </c>
      <c r="Q928" s="5" t="str">
        <f>IF(AND(D927&gt;5,D928&lt;=5),C927+(5-D927)*(C928-C927)/(D928-D927),"")</f>
        <v/>
      </c>
      <c r="R928" s="5" t="str">
        <f>IF(AND(D927&gt;4,D928&lt;=4),C927+(4-D927)*(C928-C927)/(D928-D927),"")</f>
        <v/>
      </c>
      <c r="S928" s="5" t="str">
        <f>IF(AND(D927&gt;3,D928&lt;=3),C927+(3-D927)*(C928-C927)/(D928-D927),"")</f>
        <v/>
      </c>
    </row>
    <row r="929" spans="1:19" ht="20.100000000000001" customHeight="1">
      <c r="A929" t="s">
        <v>4</v>
      </c>
      <c r="B929">
        <v>584</v>
      </c>
      <c r="C929" s="5">
        <f>('Raw Data'!C584-'Raw Data'!$C$487)/60</f>
        <v>8.0781333333333656</v>
      </c>
      <c r="D929" s="5">
        <f>'Raw Data'!J584</f>
        <v>4.30558</v>
      </c>
      <c r="E929" s="5">
        <f>$D$832-D929</f>
        <v>2.8228499999999999</v>
      </c>
      <c r="F929" s="8">
        <f>10^(-D929)</f>
        <v>4.94788959030645E-5</v>
      </c>
      <c r="G929" s="5">
        <f>(D929-D928)/(C929-C928)</f>
        <v>-0.22152000000000013</v>
      </c>
      <c r="H929" s="5">
        <f>$D$9+$D$10*EXP(-$D$11*C929)</f>
        <v>4.4070049856171032</v>
      </c>
      <c r="I929" s="5">
        <f>D929-H929</f>
        <v>-0.10142498561710322</v>
      </c>
      <c r="J929" s="5">
        <f t="shared" si="21"/>
        <v>1.0287027707429596E-2</v>
      </c>
      <c r="K929" s="5">
        <f>$D$17+$D$16*C929</f>
        <v>4.8847255898212776</v>
      </c>
      <c r="L929" s="5">
        <f>(D929-K929)^2</f>
        <v>0.33540961420943555</v>
      </c>
      <c r="M929" s="5">
        <f>$D$40+$D$41*EXP(-$D$42*C929)</f>
        <v>0</v>
      </c>
      <c r="N929" s="5">
        <f>(D929-M929)^2</f>
        <v>18.538019136399999</v>
      </c>
      <c r="O929" s="5">
        <f>(C929+C928)/2</f>
        <v>8.0364666666666977</v>
      </c>
      <c r="P929" s="5" t="str">
        <f>IF(AND(D928&gt;6,D929&lt;=6),C928+(6-D928)*(C929-C928)/(D929-D928),"")</f>
        <v/>
      </c>
      <c r="Q929" s="5" t="str">
        <f>IF(AND(D928&gt;5,D929&lt;=5),C928+(5-D928)*(C929-C928)/(D929-D928),"")</f>
        <v/>
      </c>
      <c r="R929" s="5" t="str">
        <f>IF(AND(D928&gt;4,D929&lt;=4),C928+(4-D928)*(C929-C928)/(D929-D928),"")</f>
        <v/>
      </c>
      <c r="S929" s="5" t="str">
        <f>IF(AND(D928&gt;3,D929&lt;=3),C928+(3-D928)*(C929-C928)/(D929-D928),"")</f>
        <v/>
      </c>
    </row>
    <row r="930" spans="1:19" ht="20.100000000000001" customHeight="1">
      <c r="A930" t="s">
        <v>4</v>
      </c>
      <c r="B930">
        <v>585</v>
      </c>
      <c r="C930" s="5">
        <f>('Raw Data'!C585-'Raw Data'!$C$487)/60</f>
        <v>8.1611999999999778</v>
      </c>
      <c r="D930" s="5">
        <f>'Raw Data'!J585</f>
        <v>4.2963500000000003</v>
      </c>
      <c r="E930" s="5">
        <f>$D$832-D930</f>
        <v>2.8320799999999995</v>
      </c>
      <c r="F930" s="8">
        <f>10^(-D930)</f>
        <v>5.0541717970689421E-5</v>
      </c>
      <c r="G930" s="5">
        <f>(D930-D929)/(C930-C929)</f>
        <v>-0.11111556982350333</v>
      </c>
      <c r="H930" s="5">
        <f>$D$9+$D$10*EXP(-$D$11*C930)</f>
        <v>4.3953777113542776</v>
      </c>
      <c r="I930" s="5">
        <f>D930-H930</f>
        <v>-9.9027711354277237E-2</v>
      </c>
      <c r="J930" s="5">
        <f t="shared" si="21"/>
        <v>9.806487616066048E-3</v>
      </c>
      <c r="K930" s="5">
        <f>$D$17+$D$16*C930</f>
        <v>4.8729401629754356</v>
      </c>
      <c r="L930" s="5">
        <f>(D930-K930)^2</f>
        <v>0.33245621604003905</v>
      </c>
      <c r="M930" s="5">
        <f>$D$40+$D$41*EXP(-$D$42*C930)</f>
        <v>0</v>
      </c>
      <c r="N930" s="5">
        <f>(D930-M930)^2</f>
        <v>18.458623322500003</v>
      </c>
      <c r="O930" s="5">
        <f>(C930+C929)/2</f>
        <v>8.1196666666666708</v>
      </c>
      <c r="P930" s="5" t="str">
        <f>IF(AND(D929&gt;6,D930&lt;=6),C929+(6-D929)*(C930-C929)/(D930-D929),"")</f>
        <v/>
      </c>
      <c r="Q930" s="5" t="str">
        <f>IF(AND(D929&gt;5,D930&lt;=5),C929+(5-D929)*(C930-C929)/(D930-D929),"")</f>
        <v/>
      </c>
      <c r="R930" s="5" t="str">
        <f>IF(AND(D929&gt;4,D930&lt;=4),C929+(4-D929)*(C930-C929)/(D930-D929),"")</f>
        <v/>
      </c>
      <c r="S930" s="5" t="str">
        <f>IF(AND(D929&gt;3,D930&lt;=3),C929+(3-D929)*(C930-C929)/(D930-D929),"")</f>
        <v/>
      </c>
    </row>
    <row r="931" spans="1:19" ht="20.100000000000001" customHeight="1">
      <c r="A931" t="s">
        <v>4</v>
      </c>
      <c r="B931">
        <v>586</v>
      </c>
      <c r="C931" s="5">
        <f>('Raw Data'!C586-'Raw Data'!$C$487)/60</f>
        <v>8.2445333333333117</v>
      </c>
      <c r="D931" s="5">
        <f>'Raw Data'!J586</f>
        <v>4.2952000000000004</v>
      </c>
      <c r="E931" s="5">
        <f>$D$832-D931</f>
        <v>2.8332299999999995</v>
      </c>
      <c r="F931" s="8">
        <f>10^(-D931)</f>
        <v>5.0675728417728152E-5</v>
      </c>
      <c r="G931" s="5">
        <f>(D931-D930)/(C931-C930)</f>
        <v>-1.3799999999999714E-2</v>
      </c>
      <c r="H931" s="5">
        <f>$D$9+$D$10*EXP(-$D$11*C931)</f>
        <v>4.3839186840825546</v>
      </c>
      <c r="I931" s="5">
        <f>D931-H931</f>
        <v>-8.8718684082554233E-2</v>
      </c>
      <c r="J931" s="5">
        <f t="shared" si="21"/>
        <v>7.8710049053400625E-3</v>
      </c>
      <c r="K931" s="5">
        <f>$D$17+$D$16*C931</f>
        <v>4.8611169016934843</v>
      </c>
      <c r="L931" s="5">
        <f>(D931-K931)^2</f>
        <v>0.32026193962235239</v>
      </c>
      <c r="M931" s="5">
        <f>$D$40+$D$41*EXP(-$D$42*C931)</f>
        <v>0</v>
      </c>
      <c r="N931" s="5">
        <f>(D931-M931)^2</f>
        <v>18.448743040000004</v>
      </c>
      <c r="O931" s="5">
        <f>(C931+C930)/2</f>
        <v>8.2028666666666439</v>
      </c>
      <c r="P931" s="5" t="str">
        <f>IF(AND(D930&gt;6,D931&lt;=6),C930+(6-D930)*(C931-C930)/(D931-D930),"")</f>
        <v/>
      </c>
      <c r="Q931" s="5" t="str">
        <f>IF(AND(D930&gt;5,D931&lt;=5),C930+(5-D930)*(C931-C930)/(D931-D930),"")</f>
        <v/>
      </c>
      <c r="R931" s="5" t="str">
        <f>IF(AND(D930&gt;4,D931&lt;=4),C930+(4-D930)*(C931-C930)/(D931-D930),"")</f>
        <v/>
      </c>
      <c r="S931" s="5" t="str">
        <f>IF(AND(D930&gt;3,D931&lt;=3),C930+(3-D930)*(C931-C930)/(D931-D930),"")</f>
        <v/>
      </c>
    </row>
    <row r="932" spans="1:19" ht="20.100000000000001" customHeight="1">
      <c r="A932" t="s">
        <v>4</v>
      </c>
      <c r="B932">
        <v>587</v>
      </c>
      <c r="C932" s="5">
        <f>('Raw Data'!C587-'Raw Data'!$C$487)/60</f>
        <v>8.3278666666666439</v>
      </c>
      <c r="D932" s="5">
        <f>'Raw Data'!J587</f>
        <v>4.2721299999999998</v>
      </c>
      <c r="E932" s="5">
        <f>$D$832-D932</f>
        <v>2.8563000000000001</v>
      </c>
      <c r="F932" s="8">
        <f>10^(-D932)</f>
        <v>5.3440436895334543E-5</v>
      </c>
      <c r="G932" s="5">
        <f>(D932-D931)/(C932-C931)</f>
        <v>-0.27684000000001102</v>
      </c>
      <c r="H932" s="5">
        <f>$D$9+$D$10*EXP(-$D$11*C932)</f>
        <v>4.3726619292683573</v>
      </c>
      <c r="I932" s="5">
        <f>D932-H932</f>
        <v>-0.10053192926835752</v>
      </c>
      <c r="J932" s="5">
        <f t="shared" si="21"/>
        <v>1.0106668802418039E-2</v>
      </c>
      <c r="K932" s="5">
        <f>$D$17+$D$16*C932</f>
        <v>4.849293640411533</v>
      </c>
      <c r="L932" s="5">
        <f>(D932-K932)^2</f>
        <v>0.33311786781309366</v>
      </c>
      <c r="M932" s="5">
        <f>$D$40+$D$41*EXP(-$D$42*C932)</f>
        <v>0</v>
      </c>
      <c r="N932" s="5">
        <f>(D932-M932)^2</f>
        <v>18.251094736899997</v>
      </c>
      <c r="O932" s="5">
        <f>(C932+C931)/2</f>
        <v>8.2861999999999778</v>
      </c>
      <c r="P932" s="5" t="str">
        <f>IF(AND(D931&gt;6,D932&lt;=6),C931+(6-D931)*(C932-C931)/(D932-D931),"")</f>
        <v/>
      </c>
      <c r="Q932" s="5" t="str">
        <f>IF(AND(D931&gt;5,D932&lt;=5),C931+(5-D931)*(C932-C931)/(D932-D931),"")</f>
        <v/>
      </c>
      <c r="R932" s="5" t="str">
        <f>IF(AND(D931&gt;4,D932&lt;=4),C931+(4-D931)*(C932-C931)/(D932-D931),"")</f>
        <v/>
      </c>
      <c r="S932" s="5" t="str">
        <f>IF(AND(D931&gt;3,D932&lt;=3),C931+(3-D931)*(C932-C931)/(D932-D931),"")</f>
        <v/>
      </c>
    </row>
    <row r="933" spans="1:19" ht="20.100000000000001" customHeight="1">
      <c r="A933" t="s">
        <v>4</v>
      </c>
      <c r="B933">
        <v>588</v>
      </c>
      <c r="C933" s="5">
        <f>('Raw Data'!C588-'Raw Data'!$C$487)/60</f>
        <v>8.4111999999999778</v>
      </c>
      <c r="D933" s="5">
        <f>'Raw Data'!J588</f>
        <v>4.2732799999999997</v>
      </c>
      <c r="E933" s="5">
        <f>$D$832-D933</f>
        <v>2.8551500000000001</v>
      </c>
      <c r="F933" s="8">
        <f>10^(-D933)</f>
        <v>5.3299115259476557E-5</v>
      </c>
      <c r="G933" s="5">
        <f>(D933-D932)/(C933-C932)</f>
        <v>1.3799999999999714E-2</v>
      </c>
      <c r="H933" s="5">
        <f>$D$9+$D$10*EXP(-$D$11*C933)</f>
        <v>4.3616038764387222</v>
      </c>
      <c r="I933" s="5">
        <f>D933-H933</f>
        <v>-8.8323876438722415E-2</v>
      </c>
      <c r="J933" s="5">
        <f t="shared" si="21"/>
        <v>7.8011071491627046E-3</v>
      </c>
      <c r="K933" s="5">
        <f>$D$17+$D$16*C933</f>
        <v>4.8374703791295808</v>
      </c>
      <c r="L933" s="5">
        <f>(D933-K933)^2</f>
        <v>0.31831078390238038</v>
      </c>
      <c r="M933" s="5">
        <f>$D$40+$D$41*EXP(-$D$42*C933)</f>
        <v>0</v>
      </c>
      <c r="N933" s="5">
        <f>(D933-M933)^2</f>
        <v>18.260921958399997</v>
      </c>
      <c r="O933" s="5">
        <f>(C933+C932)/2</f>
        <v>8.3695333333333117</v>
      </c>
      <c r="P933" s="5" t="str">
        <f>IF(AND(D932&gt;6,D933&lt;=6),C932+(6-D932)*(C933-C932)/(D933-D932),"")</f>
        <v/>
      </c>
      <c r="Q933" s="5" t="str">
        <f>IF(AND(D932&gt;5,D933&lt;=5),C932+(5-D932)*(C933-C932)/(D933-D932),"")</f>
        <v/>
      </c>
      <c r="R933" s="5" t="str">
        <f>IF(AND(D932&gt;4,D933&lt;=4),C932+(4-D932)*(C933-C932)/(D933-D932),"")</f>
        <v/>
      </c>
      <c r="S933" s="5" t="str">
        <f>IF(AND(D932&gt;3,D933&lt;=3),C932+(3-D932)*(C933-C932)/(D933-D932),"")</f>
        <v/>
      </c>
    </row>
    <row r="934" spans="1:19" ht="20.100000000000001" customHeight="1">
      <c r="A934" t="s">
        <v>4</v>
      </c>
      <c r="B934">
        <v>589</v>
      </c>
      <c r="C934" s="5">
        <f>('Raw Data'!C589-'Raw Data'!$C$487)/60</f>
        <v>8.4942666666667108</v>
      </c>
      <c r="D934" s="5">
        <f>'Raw Data'!J589</f>
        <v>4.2663599999999997</v>
      </c>
      <c r="E934" s="5">
        <f>$D$832-D934</f>
        <v>2.8620700000000001</v>
      </c>
      <c r="F934" s="8">
        <f>10^(-D934)</f>
        <v>5.4155179542020627E-5</v>
      </c>
      <c r="G934" s="5">
        <f>(D934-D933)/(C934-C933)</f>
        <v>-8.3306581059323953E-2</v>
      </c>
      <c r="H934" s="5">
        <f>$D$9+$D$10*EXP(-$D$11*C934)</f>
        <v>4.3507754716545461</v>
      </c>
      <c r="I934" s="5">
        <f>D934-H934</f>
        <v>-8.4415471654546437E-2</v>
      </c>
      <c r="J934" s="5">
        <f t="shared" si="21"/>
        <v>7.1259718546595333E-3</v>
      </c>
      <c r="K934" s="5">
        <f>$D$17+$D$16*C934</f>
        <v>4.8256849522837229</v>
      </c>
      <c r="L934" s="5">
        <f>(D934-K934)^2</f>
        <v>0.31284440224718918</v>
      </c>
      <c r="M934" s="5">
        <f>$D$40+$D$41*EXP(-$D$42*C934)</f>
        <v>0</v>
      </c>
      <c r="N934" s="5">
        <f>(D934-M934)^2</f>
        <v>18.201827649599998</v>
      </c>
      <c r="O934" s="5">
        <f>(C934+C933)/2</f>
        <v>8.4527333333333452</v>
      </c>
      <c r="P934" s="5" t="str">
        <f>IF(AND(D933&gt;6,D934&lt;=6),C933+(6-D933)*(C934-C933)/(D934-D933),"")</f>
        <v/>
      </c>
      <c r="Q934" s="5" t="str">
        <f>IF(AND(D933&gt;5,D934&lt;=5),C933+(5-D933)*(C934-C933)/(D934-D933),"")</f>
        <v/>
      </c>
      <c r="R934" s="5" t="str">
        <f>IF(AND(D933&gt;4,D934&lt;=4),C933+(4-D933)*(C934-C933)/(D934-D933),"")</f>
        <v/>
      </c>
      <c r="S934" s="5" t="str">
        <f>IF(AND(D933&gt;3,D934&lt;=3),C933+(3-D933)*(C934-C933)/(D934-D933),"")</f>
        <v/>
      </c>
    </row>
    <row r="935" spans="1:19" ht="20.100000000000001" customHeight="1">
      <c r="A935" t="s">
        <v>4</v>
      </c>
      <c r="B935">
        <v>590</v>
      </c>
      <c r="C935" s="5">
        <f>('Raw Data'!C590-'Raw Data'!$C$487)/60</f>
        <v>8.5776000000000447</v>
      </c>
      <c r="D935" s="5">
        <f>'Raw Data'!J590</f>
        <v>4.24559</v>
      </c>
      <c r="E935" s="5">
        <f>$D$832-D935</f>
        <v>2.8828399999999998</v>
      </c>
      <c r="F935" s="8">
        <f>10^(-D935)</f>
        <v>5.6808065449664388E-5</v>
      </c>
      <c r="G935" s="5">
        <f>(D935-D934)/(C935-C934)</f>
        <v>-0.24923999999999502</v>
      </c>
      <c r="H935" s="5">
        <f>$D$9+$D$10*EXP(-$D$11*C935)</f>
        <v>4.340103754197286</v>
      </c>
      <c r="I935" s="5">
        <f>D935-H935</f>
        <v>-9.4513754197286026E-2</v>
      </c>
      <c r="J935" s="5">
        <f t="shared" si="21"/>
        <v>8.9328497324650015E-3</v>
      </c>
      <c r="K935" s="5">
        <f>$D$17+$D$16*C935</f>
        <v>4.8138616910017706</v>
      </c>
      <c r="L935" s="5">
        <f>(D935-K935)^2</f>
        <v>0.32293271479401192</v>
      </c>
      <c r="M935" s="5">
        <f>$D$40+$D$41*EXP(-$D$42*C935)</f>
        <v>0</v>
      </c>
      <c r="N935" s="5">
        <f>(D935-M935)^2</f>
        <v>18.025034448100001</v>
      </c>
      <c r="O935" s="5">
        <f>(C935+C934)/2</f>
        <v>8.5359333333333787</v>
      </c>
      <c r="P935" s="5" t="str">
        <f>IF(AND(D934&gt;6,D935&lt;=6),C934+(6-D934)*(C935-C934)/(D935-D934),"")</f>
        <v/>
      </c>
      <c r="Q935" s="5" t="str">
        <f>IF(AND(D934&gt;5,D935&lt;=5),C934+(5-D934)*(C935-C934)/(D935-D934),"")</f>
        <v/>
      </c>
      <c r="R935" s="5" t="str">
        <f>IF(AND(D934&gt;4,D935&lt;=4),C934+(4-D934)*(C935-C934)/(D935-D934),"")</f>
        <v/>
      </c>
      <c r="S935" s="5" t="str">
        <f>IF(AND(D934&gt;3,D935&lt;=3),C934+(3-D934)*(C935-C934)/(D935-D934),"")</f>
        <v/>
      </c>
    </row>
    <row r="936" spans="1:19" ht="20.100000000000001" customHeight="1">
      <c r="A936" t="s">
        <v>4</v>
      </c>
      <c r="B936">
        <v>591</v>
      </c>
      <c r="C936" s="5">
        <f>('Raw Data'!C591-'Raw Data'!$C$487)/60</f>
        <v>8.6609333333333787</v>
      </c>
      <c r="D936" s="5">
        <f>'Raw Data'!J591</f>
        <v>4.2490500000000004</v>
      </c>
      <c r="E936" s="5">
        <f>$D$832-D936</f>
        <v>2.8793799999999994</v>
      </c>
      <c r="F936" s="8">
        <f>10^(-D936)</f>
        <v>5.6357276837803884E-5</v>
      </c>
      <c r="G936" s="5">
        <f>(D936-D935)/(C936-C935)</f>
        <v>4.1520000000005254E-2</v>
      </c>
      <c r="H936" s="5">
        <f>$D$9+$D$10*EXP(-$D$11*C936)</f>
        <v>4.3296204117621739</v>
      </c>
      <c r="I936" s="5">
        <f>D936-H936</f>
        <v>-8.0570411762173499E-2</v>
      </c>
      <c r="J936" s="5">
        <f t="shared" si="21"/>
        <v>6.4915912515261858E-3</v>
      </c>
      <c r="K936" s="5">
        <f>$D$17+$D$16*C936</f>
        <v>4.8020384297198193</v>
      </c>
      <c r="L936" s="5">
        <f>(D936-K936)^2</f>
        <v>0.30579620340399105</v>
      </c>
      <c r="M936" s="5">
        <f>$D$40+$D$41*EXP(-$D$42*C936)</f>
        <v>0</v>
      </c>
      <c r="N936" s="5">
        <f>(D936-M936)^2</f>
        <v>18.054425902500004</v>
      </c>
      <c r="O936" s="5">
        <f>(C936+C935)/2</f>
        <v>8.6192666666667108</v>
      </c>
      <c r="P936" s="5" t="str">
        <f>IF(AND(D935&gt;6,D936&lt;=6),C935+(6-D935)*(C936-C935)/(D936-D935),"")</f>
        <v/>
      </c>
      <c r="Q936" s="5" t="str">
        <f>IF(AND(D935&gt;5,D936&lt;=5),C935+(5-D935)*(C936-C935)/(D936-D935),"")</f>
        <v/>
      </c>
      <c r="R936" s="5" t="str">
        <f>IF(AND(D935&gt;4,D936&lt;=4),C935+(4-D935)*(C936-C935)/(D936-D935),"")</f>
        <v/>
      </c>
      <c r="S936" s="5" t="str">
        <f>IF(AND(D935&gt;3,D936&lt;=3),C935+(3-D935)*(C936-C935)/(D936-D935),"")</f>
        <v/>
      </c>
    </row>
    <row r="937" spans="1:19" ht="20.100000000000001" customHeight="1">
      <c r="A937" t="s">
        <v>4</v>
      </c>
      <c r="B937">
        <v>592</v>
      </c>
      <c r="C937" s="5">
        <f>('Raw Data'!C592-'Raw Data'!$C$487)/60</f>
        <v>8.7442666666667108</v>
      </c>
      <c r="D937" s="5">
        <f>'Raw Data'!J592</f>
        <v>4.2421300000000004</v>
      </c>
      <c r="E937" s="5">
        <f>$D$832-D937</f>
        <v>2.8862999999999994</v>
      </c>
      <c r="F937" s="8">
        <f>10^(-D937)</f>
        <v>5.7262459813683001E-5</v>
      </c>
      <c r="G937" s="5">
        <f>(D937-D936)/(C937-C936)</f>
        <v>-8.3040000000001626E-2</v>
      </c>
      <c r="H937" s="5">
        <f>$D$9+$D$10*EXP(-$D$11*C937)</f>
        <v>4.3193221191909954</v>
      </c>
      <c r="I937" s="5">
        <f>D937-H937</f>
        <v>-7.7192119190995001E-2</v>
      </c>
      <c r="J937" s="5">
        <f t="shared" si="21"/>
        <v>5.9586232651967792E-3</v>
      </c>
      <c r="K937" s="5">
        <f>$D$17+$D$16*C937</f>
        <v>4.790215168437868</v>
      </c>
      <c r="L937" s="5">
        <f>(D937-K937)^2</f>
        <v>0.30039735186156569</v>
      </c>
      <c r="M937" s="5">
        <f>$D$40+$D$41*EXP(-$D$42*C937)</f>
        <v>0</v>
      </c>
      <c r="N937" s="5">
        <f>(D937-M937)^2</f>
        <v>17.995666936900005</v>
      </c>
      <c r="O937" s="5">
        <f>(C937+C936)/2</f>
        <v>8.7026000000000447</v>
      </c>
      <c r="P937" s="5" t="str">
        <f>IF(AND(D936&gt;6,D937&lt;=6),C936+(6-D936)*(C937-C936)/(D937-D936),"")</f>
        <v/>
      </c>
      <c r="Q937" s="5" t="str">
        <f>IF(AND(D936&gt;5,D937&lt;=5),C936+(5-D936)*(C937-C936)/(D937-D936),"")</f>
        <v/>
      </c>
      <c r="R937" s="5" t="str">
        <f>IF(AND(D936&gt;4,D937&lt;=4),C936+(4-D936)*(C937-C936)/(D937-D936),"")</f>
        <v/>
      </c>
      <c r="S937" s="5" t="str">
        <f>IF(AND(D936&gt;3,D937&lt;=3),C936+(3-D936)*(C937-C936)/(D937-D936),"")</f>
        <v/>
      </c>
    </row>
    <row r="938" spans="1:19" ht="20.100000000000001" customHeight="1">
      <c r="A938" t="s">
        <v>4</v>
      </c>
      <c r="B938">
        <v>593</v>
      </c>
      <c r="C938" s="5">
        <f>('Raw Data'!C593-'Raw Data'!$C$487)/60</f>
        <v>8.8276000000000447</v>
      </c>
      <c r="D938" s="5">
        <f>'Raw Data'!J593</f>
        <v>4.2352100000000004</v>
      </c>
      <c r="E938" s="5">
        <f>$D$832-D938</f>
        <v>2.8932199999999995</v>
      </c>
      <c r="F938" s="8">
        <f>10^(-D938)</f>
        <v>5.8182181395147593E-5</v>
      </c>
      <c r="G938" s="5">
        <f>(D938-D937)/(C938-C937)</f>
        <v>-8.303999999999985E-2</v>
      </c>
      <c r="H938" s="5">
        <f>$D$9+$D$10*EXP(-$D$11*C938)</f>
        <v>4.3092056100205625</v>
      </c>
      <c r="I938" s="5">
        <f>D938-H938</f>
        <v>-7.3995610020562097E-2</v>
      </c>
      <c r="J938" s="5">
        <f t="shared" si="21"/>
        <v>5.4753503023151099E-3</v>
      </c>
      <c r="K938" s="5">
        <f>$D$17+$D$16*C938</f>
        <v>4.7783919071559158</v>
      </c>
      <c r="L938" s="5">
        <f>(D938-K938)^2</f>
        <v>0.29504658426153751</v>
      </c>
      <c r="M938" s="5">
        <f>$D$40+$D$41*EXP(-$D$42*C938)</f>
        <v>0</v>
      </c>
      <c r="N938" s="5">
        <f>(D938-M938)^2</f>
        <v>17.937003744100004</v>
      </c>
      <c r="O938" s="5">
        <f>(C938+C937)/2</f>
        <v>8.7859333333333787</v>
      </c>
      <c r="P938" s="5" t="str">
        <f>IF(AND(D937&gt;6,D938&lt;=6),C937+(6-D937)*(C938-C937)/(D938-D937),"")</f>
        <v/>
      </c>
      <c r="Q938" s="5" t="str">
        <f>IF(AND(D937&gt;5,D938&lt;=5),C937+(5-D937)*(C938-C937)/(D938-D937),"")</f>
        <v/>
      </c>
      <c r="R938" s="5" t="str">
        <f>IF(AND(D937&gt;4,D938&lt;=4),C937+(4-D937)*(C938-C937)/(D938-D937),"")</f>
        <v/>
      </c>
      <c r="S938" s="5" t="str">
        <f>IF(AND(D937&gt;3,D938&lt;=3),C937+(3-D937)*(C938-C937)/(D938-D937),"")</f>
        <v/>
      </c>
    </row>
    <row r="939" spans="1:19" ht="20.100000000000001" customHeight="1">
      <c r="A939" t="s">
        <v>4</v>
      </c>
      <c r="B939">
        <v>594</v>
      </c>
      <c r="C939" s="5">
        <f>('Raw Data'!C594-'Raw Data'!$C$487)/60</f>
        <v>8.9106833333333881</v>
      </c>
      <c r="D939" s="5">
        <f>'Raw Data'!J594</f>
        <v>4.2259799999999998</v>
      </c>
      <c r="E939" s="5">
        <f>$D$832-D939</f>
        <v>2.90245</v>
      </c>
      <c r="F939" s="8">
        <f>10^(-D939)</f>
        <v>5.9431952741106319E-5</v>
      </c>
      <c r="G939" s="5">
        <f>(D939-D938)/(C939-C938)</f>
        <v>-0.11109327983951131</v>
      </c>
      <c r="H939" s="5">
        <f>$D$9+$D$10*EXP(-$D$11*C939)</f>
        <v>4.2992972253440351</v>
      </c>
      <c r="I939" s="5">
        <f>D939-H939</f>
        <v>-7.3317225344035286E-2</v>
      </c>
      <c r="J939" s="5">
        <f t="shared" si="21"/>
        <v>5.3754155321480502E-3</v>
      </c>
      <c r="K939" s="5">
        <f>$D$17+$D$16*C939</f>
        <v>4.7666041156578087</v>
      </c>
      <c r="L939" s="5">
        <f>(D939-K939)^2</f>
        <v>0.29227443443078793</v>
      </c>
      <c r="M939" s="5">
        <f>$D$40+$D$41*EXP(-$D$42*C939)</f>
        <v>0</v>
      </c>
      <c r="N939" s="5">
        <f>(D939-M939)^2</f>
        <v>17.858906960399999</v>
      </c>
      <c r="O939" s="5">
        <f>(C939+C938)/2</f>
        <v>8.8691416666667173</v>
      </c>
      <c r="P939" s="5" t="str">
        <f>IF(AND(D938&gt;6,D939&lt;=6),C938+(6-D938)*(C939-C938)/(D939-D938),"")</f>
        <v/>
      </c>
      <c r="Q939" s="5" t="str">
        <f>IF(AND(D938&gt;5,D939&lt;=5),C938+(5-D938)*(C939-C938)/(D939-D938),"")</f>
        <v/>
      </c>
      <c r="R939" s="5" t="str">
        <f>IF(AND(D938&gt;4,D939&lt;=4),C938+(4-D938)*(C939-C938)/(D939-D938),"")</f>
        <v/>
      </c>
      <c r="S939" s="5" t="str">
        <f>IF(AND(D938&gt;3,D939&lt;=3),C938+(3-D938)*(C939-C938)/(D939-D938),"")</f>
        <v/>
      </c>
    </row>
    <row r="940" spans="1:19" ht="20.100000000000001" customHeight="1">
      <c r="A940" t="s">
        <v>4</v>
      </c>
      <c r="B940">
        <v>595</v>
      </c>
      <c r="C940" s="5">
        <f>('Raw Data'!C595-'Raw Data'!$C$487)/60</f>
        <v>8.9940166666667203</v>
      </c>
      <c r="D940" s="5">
        <f>'Raw Data'!J595</f>
        <v>4.2213700000000003</v>
      </c>
      <c r="E940" s="5">
        <f>$D$832-D940</f>
        <v>2.9070599999999995</v>
      </c>
      <c r="F940" s="8">
        <f>10^(-D940)</f>
        <v>6.0066178173234898E-5</v>
      </c>
      <c r="G940" s="5">
        <f>(D940-D939)/(C940-C939)</f>
        <v>-5.5319999999995491E-2</v>
      </c>
      <c r="H940" s="5">
        <f>$D$9+$D$10*EXP(-$D$11*C940)</f>
        <v>4.2895341915946901</v>
      </c>
      <c r="I940" s="5">
        <f>D940-H940</f>
        <v>-6.8164191594689783E-2</v>
      </c>
      <c r="J940" s="5">
        <f t="shared" si="21"/>
        <v>4.6463570157575769E-3</v>
      </c>
      <c r="K940" s="5">
        <f>$D$17+$D$16*C940</f>
        <v>4.7547808543758574</v>
      </c>
      <c r="L940" s="5">
        <f>(D940-K940)^2</f>
        <v>0.28452713956598186</v>
      </c>
      <c r="M940" s="5">
        <f>$D$40+$D$41*EXP(-$D$42*C940)</f>
        <v>0</v>
      </c>
      <c r="N940" s="5">
        <f>(D940-M940)^2</f>
        <v>17.819964676900003</v>
      </c>
      <c r="O940" s="5">
        <f>(C940+C939)/2</f>
        <v>8.9523500000000542</v>
      </c>
      <c r="P940" s="5" t="str">
        <f>IF(AND(D939&gt;6,D940&lt;=6),C939+(6-D939)*(C940-C939)/(D940-D939),"")</f>
        <v/>
      </c>
      <c r="Q940" s="5" t="str">
        <f>IF(AND(D939&gt;5,D940&lt;=5),C939+(5-D939)*(C940-C939)/(D940-D939),"")</f>
        <v/>
      </c>
      <c r="R940" s="5" t="str">
        <f>IF(AND(D939&gt;4,D940&lt;=4),C939+(4-D939)*(C940-C939)/(D940-D939),"")</f>
        <v/>
      </c>
      <c r="S940" s="5" t="str">
        <f>IF(AND(D939&gt;3,D940&lt;=3),C939+(3-D939)*(C940-C939)/(D940-D939),"")</f>
        <v/>
      </c>
    </row>
    <row r="941" spans="1:19" ht="20.100000000000001" customHeight="1">
      <c r="A941" t="s">
        <v>4</v>
      </c>
      <c r="B941">
        <v>596</v>
      </c>
      <c r="C941" s="5">
        <f>('Raw Data'!C596-'Raw Data'!$C$487)/60</f>
        <v>9.0773500000000542</v>
      </c>
      <c r="D941" s="5">
        <f>'Raw Data'!J596</f>
        <v>4.2179099999999998</v>
      </c>
      <c r="E941" s="5">
        <f>$D$832-D941</f>
        <v>2.91052</v>
      </c>
      <c r="F941" s="8">
        <f>10^(-D941)</f>
        <v>6.0546633415180183E-5</v>
      </c>
      <c r="G941" s="5">
        <f>(D941-D940)/(C941-C940)</f>
        <v>-4.1520000000005254E-2</v>
      </c>
      <c r="H941" s="5">
        <f>$D$9+$D$10*EXP(-$D$11*C941)</f>
        <v>4.2799434929644216</v>
      </c>
      <c r="I941" s="5">
        <f>D941-H941</f>
        <v>-6.2033492964421733E-2</v>
      </c>
      <c r="J941" s="5">
        <f t="shared" si="21"/>
        <v>3.8481542493669606E-3</v>
      </c>
      <c r="K941" s="5">
        <f>$D$17+$D$16*C941</f>
        <v>4.7429575930939061</v>
      </c>
      <c r="L941" s="5">
        <f>(D941-K941)^2</f>
        <v>0.27567497501370414</v>
      </c>
      <c r="M941" s="5">
        <f>$D$40+$D$41*EXP(-$D$42*C941)</f>
        <v>0</v>
      </c>
      <c r="N941" s="5">
        <f>(D941-M941)^2</f>
        <v>17.790764768099997</v>
      </c>
      <c r="O941" s="5">
        <f>(C941+C940)/2</f>
        <v>9.0356833333333881</v>
      </c>
      <c r="P941" s="5" t="str">
        <f>IF(AND(D940&gt;6,D941&lt;=6),C940+(6-D940)*(C941-C940)/(D941-D940),"")</f>
        <v/>
      </c>
      <c r="Q941" s="5" t="str">
        <f>IF(AND(D940&gt;5,D941&lt;=5),C940+(5-D940)*(C941-C940)/(D941-D940),"")</f>
        <v/>
      </c>
      <c r="R941" s="5" t="str">
        <f>IF(AND(D940&gt;4,D941&lt;=4),C940+(4-D940)*(C941-C940)/(D941-D940),"")</f>
        <v/>
      </c>
      <c r="S941" s="5" t="str">
        <f>IF(AND(D940&gt;3,D941&lt;=3),C940+(3-D940)*(C941-C940)/(D941-D940),"")</f>
        <v/>
      </c>
    </row>
    <row r="942" spans="1:19" ht="20.100000000000001" customHeight="1">
      <c r="A942" t="s">
        <v>4</v>
      </c>
      <c r="B942">
        <v>597</v>
      </c>
      <c r="C942" s="5">
        <f>('Raw Data'!C597-'Raw Data'!$C$487)/60</f>
        <v>9.1606833333333881</v>
      </c>
      <c r="D942" s="5">
        <f>'Raw Data'!J597</f>
        <v>4.2109800000000002</v>
      </c>
      <c r="E942" s="5">
        <f>$D$832-D942</f>
        <v>2.9174499999999997</v>
      </c>
      <c r="F942" s="8">
        <f>10^(-D942)</f>
        <v>6.1520520330413149E-5</v>
      </c>
      <c r="G942" s="5">
        <f>(D942-D941)/(C942-C941)</f>
        <v>-8.3159999999995307E-2</v>
      </c>
      <c r="H942" s="5">
        <f>$D$9+$D$10*EXP(-$D$11*C942)</f>
        <v>4.2705220874281782</v>
      </c>
      <c r="I942" s="5">
        <f>D942-H942</f>
        <v>-5.9542087428178014E-2</v>
      </c>
      <c r="J942" s="5">
        <f t="shared" si="21"/>
        <v>3.5452601753047943E-3</v>
      </c>
      <c r="K942" s="5">
        <f>$D$17+$D$16*C942</f>
        <v>4.7311343318119539</v>
      </c>
      <c r="L942" s="5">
        <f>(D942-K942)^2</f>
        <v>0.27056052890274002</v>
      </c>
      <c r="M942" s="5">
        <f>$D$40+$D$41*EXP(-$D$42*C942)</f>
        <v>0</v>
      </c>
      <c r="N942" s="5">
        <f>(D942-M942)^2</f>
        <v>17.732352560400003</v>
      </c>
      <c r="O942" s="5">
        <f>(C942+C941)/2</f>
        <v>9.1190166666667203</v>
      </c>
      <c r="P942" s="5" t="str">
        <f>IF(AND(D941&gt;6,D942&lt;=6),C941+(6-D941)*(C942-C941)/(D942-D941),"")</f>
        <v/>
      </c>
      <c r="Q942" s="5" t="str">
        <f>IF(AND(D941&gt;5,D942&lt;=5),C941+(5-D941)*(C942-C941)/(D942-D941),"")</f>
        <v/>
      </c>
      <c r="R942" s="5" t="str">
        <f>IF(AND(D941&gt;4,D942&lt;=4),C941+(4-D941)*(C942-C941)/(D942-D941),"")</f>
        <v/>
      </c>
      <c r="S942" s="5" t="str">
        <f>IF(AND(D941&gt;3,D942&lt;=3),C941+(3-D941)*(C942-C941)/(D942-D941),"")</f>
        <v/>
      </c>
    </row>
    <row r="943" spans="1:19" ht="20.100000000000001" customHeight="1">
      <c r="A943" t="s">
        <v>4</v>
      </c>
      <c r="B943">
        <v>598</v>
      </c>
      <c r="C943" s="5">
        <f>('Raw Data'!C598-'Raw Data'!$C$487)/60</f>
        <v>9.2437500000000004</v>
      </c>
      <c r="D943" s="5">
        <f>'Raw Data'!J598</f>
        <v>4.2063699999999997</v>
      </c>
      <c r="E943" s="5">
        <f>$D$832-D943</f>
        <v>2.9220600000000001</v>
      </c>
      <c r="F943" s="8">
        <f>10^(-D943)</f>
        <v>6.2177033818389981E-5</v>
      </c>
      <c r="G943" s="5">
        <f>(D943-D942)/(C943-C942)</f>
        <v>-5.5497592295386859E-2</v>
      </c>
      <c r="H943" s="5">
        <f>$D$9+$D$10*EXP(-$D$11*C943)</f>
        <v>4.261296340874611</v>
      </c>
      <c r="I943" s="5">
        <f>D943-H943</f>
        <v>-5.4926340874611235E-2</v>
      </c>
      <c r="J943" s="5">
        <f t="shared" si="21"/>
        <v>3.0169029218739887E-3</v>
      </c>
      <c r="K943" s="5">
        <f>$D$17+$D$16*C943</f>
        <v>4.7193489049661128</v>
      </c>
      <c r="L943" s="5">
        <f>(D943-K943)^2</f>
        <v>0.2631473569402325</v>
      </c>
      <c r="M943" s="5">
        <f>$D$40+$D$41*EXP(-$D$42*C943)</f>
        <v>0</v>
      </c>
      <c r="N943" s="5">
        <f>(D943-M943)^2</f>
        <v>17.693548576899996</v>
      </c>
      <c r="O943" s="5">
        <f>(C943+C942)/2</f>
        <v>9.2022166666666934</v>
      </c>
      <c r="P943" s="5" t="str">
        <f>IF(AND(D942&gt;6,D943&lt;=6),C942+(6-D942)*(C943-C942)/(D943-D942),"")</f>
        <v/>
      </c>
      <c r="Q943" s="5" t="str">
        <f>IF(AND(D942&gt;5,D943&lt;=5),C942+(5-D942)*(C943-C942)/(D943-D942),"")</f>
        <v/>
      </c>
      <c r="R943" s="5" t="str">
        <f>IF(AND(D942&gt;4,D943&lt;=4),C942+(4-D942)*(C943-C942)/(D943-D942),"")</f>
        <v/>
      </c>
      <c r="S943" s="5" t="str">
        <f>IF(AND(D942&gt;3,D943&lt;=3),C942+(3-D942)*(C943-C942)/(D943-D942),"")</f>
        <v/>
      </c>
    </row>
    <row r="944" spans="1:19" ht="20.100000000000001" customHeight="1">
      <c r="A944" t="s">
        <v>4</v>
      </c>
      <c r="B944">
        <v>599</v>
      </c>
      <c r="C944" s="5">
        <f>('Raw Data'!C599-'Raw Data'!$C$487)/60</f>
        <v>9.3273500000000542</v>
      </c>
      <c r="D944" s="5">
        <f>'Raw Data'!J599</f>
        <v>4.1982900000000001</v>
      </c>
      <c r="E944" s="5">
        <f>$D$832-D944</f>
        <v>2.9301399999999997</v>
      </c>
      <c r="F944" s="8">
        <f>10^(-D944)</f>
        <v>6.3344658624851091E-5</v>
      </c>
      <c r="G944" s="5">
        <f>(D944-D943)/(C944-C943)</f>
        <v>-9.6650717703282749E-2</v>
      </c>
      <c r="H944" s="5">
        <f>$D$9+$D$10*EXP(-$D$11*C944)</f>
        <v>4.2521752550757839</v>
      </c>
      <c r="I944" s="5">
        <f>D944-H944</f>
        <v>-5.3885255075783789E-2</v>
      </c>
      <c r="J944" s="5">
        <f t="shared" si="21"/>
        <v>2.9036207145822827E-3</v>
      </c>
      <c r="K944" s="5">
        <f>$D$17+$D$16*C944</f>
        <v>4.7074878092480512</v>
      </c>
      <c r="L944" s="5">
        <f>(D944-K944)^2</f>
        <v>0.25928240894301469</v>
      </c>
      <c r="M944" s="5">
        <f>$D$40+$D$41*EXP(-$D$42*C944)</f>
        <v>0</v>
      </c>
      <c r="N944" s="5">
        <f>(D944-M944)^2</f>
        <v>17.625638924100002</v>
      </c>
      <c r="O944" s="5">
        <f>(C944+C943)/2</f>
        <v>9.2855500000000273</v>
      </c>
      <c r="P944" s="5" t="str">
        <f>IF(AND(D943&gt;6,D944&lt;=6),C943+(6-D943)*(C944-C943)/(D944-D943),"")</f>
        <v/>
      </c>
      <c r="Q944" s="5" t="str">
        <f>IF(AND(D943&gt;5,D944&lt;=5),C943+(5-D943)*(C944-C943)/(D944-D943),"")</f>
        <v/>
      </c>
      <c r="R944" s="5" t="str">
        <f>IF(AND(D943&gt;4,D944&lt;=4),C943+(4-D943)*(C944-C943)/(D944-D943),"")</f>
        <v/>
      </c>
      <c r="S944" s="5" t="str">
        <f>IF(AND(D943&gt;3,D944&lt;=3),C943+(3-D943)*(C944-C943)/(D944-D943),"")</f>
        <v/>
      </c>
    </row>
    <row r="945" spans="1:19" ht="20.100000000000001" customHeight="1">
      <c r="A945" t="s">
        <v>4</v>
      </c>
      <c r="B945">
        <v>600</v>
      </c>
      <c r="C945" s="5">
        <f>('Raw Data'!C600-'Raw Data'!$C$487)/60</f>
        <v>9.4104166666666664</v>
      </c>
      <c r="D945" s="5">
        <f>'Raw Data'!J600</f>
        <v>4.1902200000000001</v>
      </c>
      <c r="E945" s="5">
        <f>$D$832-D945</f>
        <v>2.9382099999999998</v>
      </c>
      <c r="F945" s="8">
        <f>10^(-D945)</f>
        <v>6.4532724362527667E-5</v>
      </c>
      <c r="G945" s="5">
        <f>(D945-D944)/(C945-C944)</f>
        <v>-9.7150882825104062E-2</v>
      </c>
      <c r="H945" s="5">
        <f>$D$9+$D$10*EXP(-$D$11*C945)</f>
        <v>4.2432723359742717</v>
      </c>
      <c r="I945" s="5">
        <f>D945-H945</f>
        <v>-5.3052335974271614E-2</v>
      </c>
      <c r="J945" s="5">
        <f t="shared" si="21"/>
        <v>2.8145503523269938E-3</v>
      </c>
      <c r="K945" s="5">
        <f>$D$17+$D$16*C945</f>
        <v>4.6957023824022093</v>
      </c>
      <c r="L945" s="5">
        <f>(D945-K945)^2</f>
        <v>0.25551243891901326</v>
      </c>
      <c r="M945" s="5">
        <f>$D$40+$D$41*EXP(-$D$42*C945)</f>
        <v>0</v>
      </c>
      <c r="N945" s="5">
        <f>(D945-M945)^2</f>
        <v>17.557943648400002</v>
      </c>
      <c r="O945" s="5">
        <f>(C945+C944)/2</f>
        <v>9.3688833333333612</v>
      </c>
      <c r="P945" s="5" t="str">
        <f>IF(AND(D944&gt;6,D945&lt;=6),C944+(6-D944)*(C945-C944)/(D945-D944),"")</f>
        <v/>
      </c>
      <c r="Q945" s="5" t="str">
        <f>IF(AND(D944&gt;5,D945&lt;=5),C944+(5-D944)*(C945-C944)/(D945-D944),"")</f>
        <v/>
      </c>
      <c r="R945" s="5" t="str">
        <f>IF(AND(D944&gt;4,D945&lt;=4),C944+(4-D944)*(C945-C944)/(D945-D944),"")</f>
        <v/>
      </c>
      <c r="S945" s="5" t="str">
        <f>IF(AND(D944&gt;3,D945&lt;=3),C944+(3-D944)*(C945-C944)/(D945-D944),"")</f>
        <v/>
      </c>
    </row>
    <row r="946" spans="1:19" ht="20.100000000000001" customHeight="1">
      <c r="A946" t="s">
        <v>4</v>
      </c>
      <c r="B946">
        <v>601</v>
      </c>
      <c r="C946" s="5">
        <f>('Raw Data'!C601-'Raw Data'!$C$487)/60</f>
        <v>9.4937500000000004</v>
      </c>
      <c r="D946" s="5">
        <f>'Raw Data'!J601</f>
        <v>4.1925299999999996</v>
      </c>
      <c r="E946" s="5">
        <f>$D$832-D946</f>
        <v>2.9359000000000002</v>
      </c>
      <c r="F946" s="8">
        <f>10^(-D946)</f>
        <v>6.4190387882743591E-5</v>
      </c>
      <c r="G946" s="5">
        <f>(D946-D945)/(C946-C945)</f>
        <v>2.7719999999994884E-2</v>
      </c>
      <c r="H946" s="5">
        <f>$D$9+$D$10*EXP(-$D$11*C946)</f>
        <v>4.2344982423667652</v>
      </c>
      <c r="I946" s="5">
        <f>D946-H946</f>
        <v>-4.1968242366765551E-2</v>
      </c>
      <c r="J946" s="5">
        <f t="shared" si="21"/>
        <v>1.7613333673555749E-3</v>
      </c>
      <c r="K946" s="5">
        <f>$D$17+$D$16*C946</f>
        <v>4.6838791211202579</v>
      </c>
      <c r="L946" s="5">
        <f>(D946-K946)^2</f>
        <v>0.24142395882565026</v>
      </c>
      <c r="M946" s="5">
        <f>$D$40+$D$41*EXP(-$D$42*C946)</f>
        <v>0</v>
      </c>
      <c r="N946" s="5">
        <f>(D946-M946)^2</f>
        <v>17.577307800899998</v>
      </c>
      <c r="O946" s="5">
        <f>(C946+C945)/2</f>
        <v>9.4520833333333343</v>
      </c>
      <c r="P946" s="5" t="str">
        <f>IF(AND(D945&gt;6,D946&lt;=6),C945+(6-D945)*(C946-C945)/(D946-D945),"")</f>
        <v/>
      </c>
      <c r="Q946" s="5" t="str">
        <f>IF(AND(D945&gt;5,D946&lt;=5),C945+(5-D945)*(C946-C945)/(D946-D945),"")</f>
        <v/>
      </c>
      <c r="R946" s="5" t="str">
        <f>IF(AND(D945&gt;4,D946&lt;=4),C945+(4-D945)*(C946-C945)/(D946-D945),"")</f>
        <v/>
      </c>
      <c r="S946" s="5" t="str">
        <f>IF(AND(D945&gt;3,D946&lt;=3),C945+(3-D945)*(C946-C945)/(D946-D945),"")</f>
        <v/>
      </c>
    </row>
    <row r="947" spans="1:19" ht="20.100000000000001" customHeight="1">
      <c r="A947" t="s">
        <v>4</v>
      </c>
      <c r="B947">
        <v>602</v>
      </c>
      <c r="C947" s="5">
        <f>('Raw Data'!C602-'Raw Data'!$C$487)/60</f>
        <v>9.5770833333333325</v>
      </c>
      <c r="D947" s="5">
        <f>'Raw Data'!J602</f>
        <v>4.18445</v>
      </c>
      <c r="E947" s="5">
        <f>$D$832-D947</f>
        <v>2.9439799999999998</v>
      </c>
      <c r="F947" s="8">
        <f>10^(-D947)</f>
        <v>6.539582153927928E-5</v>
      </c>
      <c r="G947" s="5">
        <f>(D947-D946)/(C947-C946)</f>
        <v>-9.695999999999709E-2</v>
      </c>
      <c r="H947" s="5">
        <f>$D$9+$D$10*EXP(-$D$11*C947)</f>
        <v>4.2258790273047486</v>
      </c>
      <c r="I947" s="5">
        <f>D947-H947</f>
        <v>-4.1429027304748622E-2</v>
      </c>
      <c r="J947" s="5">
        <f t="shared" si="21"/>
        <v>1.716364303417607E-3</v>
      </c>
      <c r="K947" s="5">
        <f>$D$17+$D$16*C947</f>
        <v>4.6720558598383066</v>
      </c>
      <c r="L947" s="5">
        <f>(D947-K947)^2</f>
        <v>0.23775947454865431</v>
      </c>
      <c r="M947" s="5">
        <f>$D$40+$D$41*EXP(-$D$42*C947)</f>
        <v>0</v>
      </c>
      <c r="N947" s="5">
        <f>(D947-M947)^2</f>
        <v>17.5096218025</v>
      </c>
      <c r="O947" s="5">
        <f>(C947+C946)/2</f>
        <v>9.5354166666666664</v>
      </c>
      <c r="P947" s="5" t="str">
        <f>IF(AND(D946&gt;6,D947&lt;=6),C946+(6-D946)*(C947-C946)/(D947-D946),"")</f>
        <v/>
      </c>
      <c r="Q947" s="5" t="str">
        <f>IF(AND(D946&gt;5,D947&lt;=5),C946+(5-D946)*(C947-C946)/(D947-D946),"")</f>
        <v/>
      </c>
      <c r="R947" s="5" t="str">
        <f>IF(AND(D946&gt;4,D947&lt;=4),C946+(4-D946)*(C947-C946)/(D947-D946),"")</f>
        <v/>
      </c>
      <c r="S947" s="5" t="str">
        <f>IF(AND(D946&gt;3,D947&lt;=3),C946+(3-D946)*(C947-C946)/(D947-D946),"")</f>
        <v/>
      </c>
    </row>
    <row r="948" spans="1:19" ht="20.100000000000001" customHeight="1">
      <c r="A948" t="s">
        <v>4</v>
      </c>
      <c r="B948">
        <v>603</v>
      </c>
      <c r="C948" s="5">
        <f>('Raw Data'!C603-'Raw Data'!$C$487)/60</f>
        <v>9.6604166666666664</v>
      </c>
      <c r="D948" s="5">
        <f>'Raw Data'!J603</f>
        <v>4.1706099999999999</v>
      </c>
      <c r="E948" s="5">
        <f>$D$832-D948</f>
        <v>2.9578199999999999</v>
      </c>
      <c r="F948" s="8">
        <f>10^(-D948)</f>
        <v>6.7513403144610023E-5</v>
      </c>
      <c r="G948" s="5">
        <f>(D948-D947)/(C948-C947)</f>
        <v>-0.1660799999999997</v>
      </c>
      <c r="H948" s="5">
        <f>$D$9+$D$10*EXP(-$D$11*C948)</f>
        <v>4.2174119569031108</v>
      </c>
      <c r="I948" s="5">
        <f>D948-H948</f>
        <v>-4.6801956903110842E-2</v>
      </c>
      <c r="J948" s="5">
        <f t="shared" si="21"/>
        <v>2.1904231699606445E-3</v>
      </c>
      <c r="K948" s="5">
        <f>$D$17+$D$16*C948</f>
        <v>4.6602325985563544</v>
      </c>
      <c r="L948" s="5">
        <f>(D948-K948)^2</f>
        <v>0.23973028901707705</v>
      </c>
      <c r="M948" s="5">
        <f>$D$40+$D$41*EXP(-$D$42*C948)</f>
        <v>0</v>
      </c>
      <c r="N948" s="5">
        <f>(D948-M948)^2</f>
        <v>17.393987772100001</v>
      </c>
      <c r="O948" s="5">
        <f>(C948+C947)/2</f>
        <v>9.6187499999999986</v>
      </c>
      <c r="P948" s="5" t="str">
        <f>IF(AND(D947&gt;6,D948&lt;=6),C947+(6-D947)*(C948-C947)/(D948-D947),"")</f>
        <v/>
      </c>
      <c r="Q948" s="5" t="str">
        <f>IF(AND(D947&gt;5,D948&lt;=5),C947+(5-D947)*(C948-C947)/(D948-D947),"")</f>
        <v/>
      </c>
      <c r="R948" s="5" t="str">
        <f>IF(AND(D947&gt;4,D948&lt;=4),C947+(4-D947)*(C948-C947)/(D948-D947),"")</f>
        <v/>
      </c>
      <c r="S948" s="5" t="str">
        <f>IF(AND(D947&gt;3,D948&lt;=3),C947+(3-D947)*(C948-C947)/(D948-D947),"")</f>
        <v/>
      </c>
    </row>
    <row r="949" spans="1:19" ht="20.100000000000001" customHeight="1">
      <c r="A949" t="s">
        <v>4</v>
      </c>
      <c r="B949">
        <v>604</v>
      </c>
      <c r="C949" s="5">
        <f>('Raw Data'!C604-'Raw Data'!$C$487)/60</f>
        <v>9.7434833333333994</v>
      </c>
      <c r="D949" s="5">
        <f>'Raw Data'!J604</f>
        <v>4.1740700000000004</v>
      </c>
      <c r="E949" s="5">
        <f>$D$832-D949</f>
        <v>2.9543599999999994</v>
      </c>
      <c r="F949" s="8">
        <f>10^(-D949)</f>
        <v>6.6977664547552816E-5</v>
      </c>
      <c r="G949" s="5">
        <f>(D949-D948)/(C949-C948)</f>
        <v>4.1653290529667326E-2</v>
      </c>
      <c r="H949" s="5">
        <f>$D$9+$D$10*EXP(-$D$11*C949)</f>
        <v>4.2091207263349828</v>
      </c>
      <c r="I949" s="5">
        <f>D949-H949</f>
        <v>-3.5050726334982407E-2</v>
      </c>
      <c r="J949" s="5">
        <f t="shared" si="21"/>
        <v>1.2285534166098292E-3</v>
      </c>
      <c r="K949" s="5">
        <f>$D$17+$D$16*C949</f>
        <v>4.6484471717104956</v>
      </c>
      <c r="L949" s="5">
        <f>(D949-K949)^2</f>
        <v>0.22503370104004866</v>
      </c>
      <c r="M949" s="5">
        <f>$D$40+$D$41*EXP(-$D$42*C949)</f>
        <v>0</v>
      </c>
      <c r="N949" s="5">
        <f>(D949-M949)^2</f>
        <v>17.422860364900004</v>
      </c>
      <c r="O949" s="5">
        <f>(C949+C948)/2</f>
        <v>9.701950000000032</v>
      </c>
      <c r="P949" s="5" t="str">
        <f>IF(AND(D948&gt;6,D949&lt;=6),C948+(6-D948)*(C949-C948)/(D949-D948),"")</f>
        <v/>
      </c>
      <c r="Q949" s="5" t="str">
        <f>IF(AND(D948&gt;5,D949&lt;=5),C948+(5-D948)*(C949-C948)/(D949-D948),"")</f>
        <v/>
      </c>
      <c r="R949" s="5" t="str">
        <f>IF(AND(D948&gt;4,D949&lt;=4),C948+(4-D948)*(C949-C948)/(D949-D948),"")</f>
        <v/>
      </c>
      <c r="S949" s="5" t="str">
        <f>IF(AND(D948&gt;3,D949&lt;=3),C948+(3-D948)*(C949-C948)/(D949-D948),"")</f>
        <v/>
      </c>
    </row>
    <row r="950" spans="1:19" ht="20.100000000000001" customHeight="1">
      <c r="A950" t="s">
        <v>4</v>
      </c>
      <c r="B950">
        <v>605</v>
      </c>
      <c r="C950" s="5">
        <f>('Raw Data'!C605-'Raw Data'!$C$487)/60</f>
        <v>9.8270833333333325</v>
      </c>
      <c r="D950" s="5">
        <f>'Raw Data'!J605</f>
        <v>4.1671500000000004</v>
      </c>
      <c r="E950" s="5">
        <f>$D$832-D950</f>
        <v>2.9612799999999995</v>
      </c>
      <c r="F950" s="8">
        <f>10^(-D950)</f>
        <v>6.8053426988791147E-5</v>
      </c>
      <c r="G950" s="5">
        <f>(D950-D949)/(C950-C949)</f>
        <v>-8.2775119617291601E-2</v>
      </c>
      <c r="H950" s="5">
        <f>$D$9+$D$10*EXP(-$D$11*C950)</f>
        <v>4.200923554978667</v>
      </c>
      <c r="I950" s="5">
        <f>D950-H950</f>
        <v>-3.3773554978666631E-2</v>
      </c>
      <c r="J950" s="5">
        <f t="shared" si="21"/>
        <v>1.1406530158970176E-3</v>
      </c>
      <c r="K950" s="5">
        <f>$D$17+$D$16*C950</f>
        <v>4.6365860759924518</v>
      </c>
      <c r="L950" s="5">
        <f>(D950-K950)^2</f>
        <v>0.22037022944319062</v>
      </c>
      <c r="M950" s="5">
        <f>$D$40+$D$41*EXP(-$D$42*C950)</f>
        <v>0</v>
      </c>
      <c r="N950" s="5">
        <f>(D950-M950)^2</f>
        <v>17.365139122500004</v>
      </c>
      <c r="O950" s="5">
        <f>(C950+C949)/2</f>
        <v>9.785283333333366</v>
      </c>
      <c r="P950" s="5" t="str">
        <f>IF(AND(D949&gt;6,D950&lt;=6),C949+(6-D949)*(C950-C949)/(D950-D949),"")</f>
        <v/>
      </c>
      <c r="Q950" s="5" t="str">
        <f>IF(AND(D949&gt;5,D950&lt;=5),C949+(5-D949)*(C950-C949)/(D950-D949),"")</f>
        <v/>
      </c>
      <c r="R950" s="5" t="str">
        <f>IF(AND(D949&gt;4,D950&lt;=4),C949+(4-D949)*(C950-C949)/(D950-D949),"")</f>
        <v/>
      </c>
      <c r="S950" s="5" t="str">
        <f>IF(AND(D949&gt;3,D950&lt;=3),C949+(3-D949)*(C950-C949)/(D950-D949),"")</f>
        <v/>
      </c>
    </row>
    <row r="951" spans="1:19" ht="20.100000000000001" customHeight="1">
      <c r="A951" t="s">
        <v>4</v>
      </c>
      <c r="B951">
        <v>606</v>
      </c>
      <c r="C951" s="5">
        <f>('Raw Data'!C606-'Raw Data'!$C$487)/60</f>
        <v>9.9101500000000673</v>
      </c>
      <c r="D951" s="5">
        <f>'Raw Data'!J606</f>
        <v>4.1521499999999998</v>
      </c>
      <c r="E951" s="5">
        <f>$D$832-D951</f>
        <v>2.97628</v>
      </c>
      <c r="F951" s="8">
        <f>10^(-D951)</f>
        <v>7.0444971863131928E-5</v>
      </c>
      <c r="G951" s="5">
        <f>(D951-D950)/(C951-C950)</f>
        <v>-0.1805778491170337</v>
      </c>
      <c r="H951" s="5">
        <f>$D$9+$D$10*EXP(-$D$11*C951)</f>
        <v>4.1929224512661998</v>
      </c>
      <c r="I951" s="5">
        <f>D951-H951</f>
        <v>-4.0772451266199994E-2</v>
      </c>
      <c r="J951" s="5">
        <f t="shared" si="21"/>
        <v>1.6623927822546536E-3</v>
      </c>
      <c r="K951" s="5">
        <f>$D$17+$D$16*C951</f>
        <v>4.6248006491465929</v>
      </c>
      <c r="L951" s="5">
        <f>(D951-K951)^2</f>
        <v>0.2233986361386959</v>
      </c>
      <c r="M951" s="5">
        <f>$D$40+$D$41*EXP(-$D$42*C951)</f>
        <v>0</v>
      </c>
      <c r="N951" s="5">
        <f>(D951-M951)^2</f>
        <v>17.240349622499998</v>
      </c>
      <c r="O951" s="5">
        <f>(C951+C950)/2</f>
        <v>9.8686166666666999</v>
      </c>
      <c r="P951" s="5" t="str">
        <f>IF(AND(D950&gt;6,D951&lt;=6),C950+(6-D950)*(C951-C950)/(D951-D950),"")</f>
        <v/>
      </c>
      <c r="Q951" s="5" t="str">
        <f>IF(AND(D950&gt;5,D951&lt;=5),C950+(5-D950)*(C951-C950)/(D951-D950),"")</f>
        <v/>
      </c>
      <c r="R951" s="5" t="str">
        <f>IF(AND(D950&gt;4,D951&lt;=4),C950+(4-D950)*(C951-C950)/(D951-D950),"")</f>
        <v/>
      </c>
      <c r="S951" s="5" t="str">
        <f>IF(AND(D950&gt;3,D951&lt;=3),C950+(3-D950)*(C951-C950)/(D951-D950),"")</f>
        <v/>
      </c>
    </row>
    <row r="952" spans="1:19" ht="20.100000000000001" customHeight="1">
      <c r="A952" t="s">
        <v>4</v>
      </c>
      <c r="B952">
        <v>607</v>
      </c>
      <c r="C952" s="5">
        <f>('Raw Data'!C607-'Raw Data'!$C$487)/60</f>
        <v>9.9934833333333994</v>
      </c>
      <c r="D952" s="5">
        <f>'Raw Data'!J607</f>
        <v>4.1556100000000002</v>
      </c>
      <c r="E952" s="5">
        <f>$D$832-D952</f>
        <v>2.9728199999999996</v>
      </c>
      <c r="F952" s="8">
        <f>10^(-D952)</f>
        <v>6.9885970411007639E-5</v>
      </c>
      <c r="G952" s="5">
        <f>(D952-D951)/(C952-C951)</f>
        <v>4.1520000000006142E-2</v>
      </c>
      <c r="H952" s="5">
        <f>$D$9+$D$10*EXP(-$D$11*C952)</f>
        <v>4.1850371237532809</v>
      </c>
      <c r="I952" s="5">
        <f>D952-H952</f>
        <v>-2.9427123753280604E-2</v>
      </c>
      <c r="J952" s="5">
        <f t="shared" si="21"/>
        <v>8.6595561239089154E-4</v>
      </c>
      <c r="K952" s="5">
        <f>$D$17+$D$16*C952</f>
        <v>4.6129773878646407</v>
      </c>
      <c r="L952" s="5">
        <f>(D952-K952)^2</f>
        <v>0.2091849274821245</v>
      </c>
      <c r="M952" s="5">
        <f>$D$40+$D$41*EXP(-$D$42*C952)</f>
        <v>0</v>
      </c>
      <c r="N952" s="5">
        <f>(D952-M952)^2</f>
        <v>17.269094472100001</v>
      </c>
      <c r="O952" s="5">
        <f>(C952+C951)/2</f>
        <v>9.9518166666667334</v>
      </c>
      <c r="P952" s="5" t="str">
        <f>IF(AND(D951&gt;6,D952&lt;=6),C951+(6-D951)*(C952-C951)/(D952-D951),"")</f>
        <v/>
      </c>
      <c r="Q952" s="5" t="str">
        <f>IF(AND(D951&gt;5,D952&lt;=5),C951+(5-D951)*(C952-C951)/(D952-D951),"")</f>
        <v/>
      </c>
      <c r="R952" s="5" t="str">
        <f>IF(AND(D951&gt;4,D952&lt;=4),C951+(4-D951)*(C952-C951)/(D952-D951),"")</f>
        <v/>
      </c>
      <c r="S952" s="5" t="str">
        <f>IF(AND(D951&gt;3,D952&lt;=3),C951+(3-D951)*(C952-C951)/(D952-D951),"")</f>
        <v/>
      </c>
    </row>
    <row r="953" spans="1:19" ht="20.100000000000001" customHeight="1">
      <c r="A953" t="s">
        <v>4</v>
      </c>
      <c r="B953">
        <v>608</v>
      </c>
      <c r="C953" s="5">
        <f>('Raw Data'!C608-'Raw Data'!$C$487)/60</f>
        <v>10.076816666666733</v>
      </c>
      <c r="D953" s="5">
        <f>'Raw Data'!J608</f>
        <v>4.1486900000000002</v>
      </c>
      <c r="E953" s="5">
        <f>$D$832-D953</f>
        <v>2.9797399999999996</v>
      </c>
      <c r="F953" s="8">
        <f>10^(-D953)</f>
        <v>7.1008444636490355E-5</v>
      </c>
      <c r="G953" s="5">
        <f>(D953-D952)/(C953-C952)</f>
        <v>-8.303999999999985E-2</v>
      </c>
      <c r="H953" s="5">
        <f>$D$9+$D$10*EXP(-$D$11*C953)</f>
        <v>4.1772909864645067</v>
      </c>
      <c r="I953" s="5">
        <f>D953-H953</f>
        <v>-2.8600986464506484E-2</v>
      </c>
      <c r="J953" s="5">
        <f t="shared" si="21"/>
        <v>8.1801642674288308E-4</v>
      </c>
      <c r="K953" s="5">
        <f>$D$17+$D$16*C953</f>
        <v>4.6011541265826894</v>
      </c>
      <c r="L953" s="5">
        <f>(D953-K953)^2</f>
        <v>0.20472378584423578</v>
      </c>
      <c r="M953" s="5">
        <f>$D$40+$D$41*EXP(-$D$42*C953)</f>
        <v>0</v>
      </c>
      <c r="N953" s="5">
        <f>(D953-M953)^2</f>
        <v>17.211628716100002</v>
      </c>
      <c r="O953" s="5">
        <f>(C953+C952)/2</f>
        <v>10.035150000000066</v>
      </c>
      <c r="P953" s="5" t="str">
        <f>IF(AND(D952&gt;6,D953&lt;=6),C952+(6-D952)*(C953-C952)/(D953-D952),"")</f>
        <v/>
      </c>
      <c r="Q953" s="5" t="str">
        <f>IF(AND(D952&gt;5,D953&lt;=5),C952+(5-D952)*(C953-C952)/(D953-D952),"")</f>
        <v/>
      </c>
      <c r="R953" s="5" t="str">
        <f>IF(AND(D952&gt;4,D953&lt;=4),C952+(4-D952)*(C953-C952)/(D953-D952),"")</f>
        <v/>
      </c>
      <c r="S953" s="5" t="str">
        <f>IF(AND(D952&gt;3,D953&lt;=3),C952+(3-D952)*(C953-C952)/(D953-D952),"")</f>
        <v/>
      </c>
    </row>
    <row r="954" spans="1:19" ht="20.100000000000001" customHeight="1">
      <c r="A954" t="s">
        <v>4</v>
      </c>
      <c r="B954">
        <v>609</v>
      </c>
      <c r="C954" s="5">
        <f>('Raw Data'!C609-'Raw Data'!$C$487)/60</f>
        <v>10.160150000000067</v>
      </c>
      <c r="D954" s="5">
        <f>'Raw Data'!J609</f>
        <v>4.1498400000000002</v>
      </c>
      <c r="E954" s="5">
        <f>$D$832-D954</f>
        <v>2.9785899999999996</v>
      </c>
      <c r="F954" s="8">
        <f>10^(-D954)</f>
        <v>7.0820664929984313E-5</v>
      </c>
      <c r="G954" s="5">
        <f>(D954-D953)/(C954-C953)</f>
        <v>1.3799999999999714E-2</v>
      </c>
      <c r="H954" s="5">
        <f>$D$9+$D$10*EXP(-$D$11*C954)</f>
        <v>4.1696815824418811</v>
      </c>
      <c r="I954" s="5">
        <f>D954-H954</f>
        <v>-1.9841582441880945E-2</v>
      </c>
      <c r="J954" s="5">
        <f t="shared" si="21"/>
        <v>3.9368839379795822E-4</v>
      </c>
      <c r="K954" s="5">
        <f>$D$17+$D$16*C954</f>
        <v>4.5893308653007381</v>
      </c>
      <c r="L954" s="5">
        <f>(D954-K954)^2</f>
        <v>0.19315222068279134</v>
      </c>
      <c r="M954" s="5">
        <f>$D$40+$D$41*EXP(-$D$42*C954)</f>
        <v>0</v>
      </c>
      <c r="N954" s="5">
        <f>(D954-M954)^2</f>
        <v>17.221172025600001</v>
      </c>
      <c r="O954" s="5">
        <f>(C954+C953)/2</f>
        <v>10.118483333333401</v>
      </c>
      <c r="P954" s="5" t="str">
        <f>IF(AND(D953&gt;6,D954&lt;=6),C953+(6-D953)*(C954-C953)/(D954-D953),"")</f>
        <v/>
      </c>
      <c r="Q954" s="5" t="str">
        <f>IF(AND(D953&gt;5,D954&lt;=5),C953+(5-D953)*(C954-C953)/(D954-D953),"")</f>
        <v/>
      </c>
      <c r="R954" s="5" t="str">
        <f>IF(AND(D953&gt;4,D954&lt;=4),C953+(4-D953)*(C954-C953)/(D954-D953),"")</f>
        <v/>
      </c>
      <c r="S954" s="5" t="str">
        <f>IF(AND(D953&gt;3,D954&lt;=3),C953+(3-D953)*(C954-C953)/(D954-D953),"")</f>
        <v/>
      </c>
    </row>
    <row r="955" spans="1:19" ht="20.100000000000001" customHeight="1">
      <c r="A955" t="s">
        <v>4</v>
      </c>
      <c r="B955">
        <v>610</v>
      </c>
      <c r="C955" s="5">
        <f>('Raw Data'!C610-'Raw Data'!$C$487)/60</f>
        <v>10.243233333333411</v>
      </c>
      <c r="D955" s="5">
        <f>'Raw Data'!J610</f>
        <v>4.1417700000000002</v>
      </c>
      <c r="E955" s="5">
        <f>$D$832-D955</f>
        <v>2.9866599999999996</v>
      </c>
      <c r="F955" s="8">
        <f>10^(-D955)</f>
        <v>7.2148947493177071E-5</v>
      </c>
      <c r="G955" s="5">
        <f>(D955-D954)/(C955-C954)</f>
        <v>-9.7131394182536149E-2</v>
      </c>
      <c r="H955" s="5">
        <f>$D$9+$D$10*EXP(-$D$11*C955)</f>
        <v>4.1622287248459378</v>
      </c>
      <c r="I955" s="5">
        <f>D955-H955</f>
        <v>-2.0458724845937581E-2</v>
      </c>
      <c r="J955" s="5">
        <f t="shared" si="21"/>
        <v>4.1855942232178371E-4</v>
      </c>
      <c r="K955" s="5">
        <f>$D$17+$D$16*C955</f>
        <v>4.5775430738026301</v>
      </c>
      <c r="L955" s="5">
        <f>(D955-K955)^2</f>
        <v>0.18989817185139238</v>
      </c>
      <c r="M955" s="5">
        <f>$D$40+$D$41*EXP(-$D$42*C955)</f>
        <v>0</v>
      </c>
      <c r="N955" s="5">
        <f>(D955-M955)^2</f>
        <v>17.154258732900001</v>
      </c>
      <c r="O955" s="5">
        <f>(C955+C954)/2</f>
        <v>10.20169166666674</v>
      </c>
      <c r="P955" s="5" t="str">
        <f>IF(AND(D954&gt;6,D955&lt;=6),C954+(6-D954)*(C955-C954)/(D955-D954),"")</f>
        <v/>
      </c>
      <c r="Q955" s="5" t="str">
        <f>IF(AND(D954&gt;5,D955&lt;=5),C954+(5-D954)*(C955-C954)/(D955-D954),"")</f>
        <v/>
      </c>
      <c r="R955" s="5" t="str">
        <f>IF(AND(D954&gt;4,D955&lt;=4),C954+(4-D954)*(C955-C954)/(D955-D954),"")</f>
        <v/>
      </c>
      <c r="S955" s="5" t="str">
        <f>IF(AND(D954&gt;3,D955&lt;=3),C954+(3-D954)*(C955-C954)/(D955-D954),"")</f>
        <v/>
      </c>
    </row>
    <row r="956" spans="1:19" ht="20.100000000000001" customHeight="1">
      <c r="A956" t="s">
        <v>4</v>
      </c>
      <c r="B956">
        <v>611</v>
      </c>
      <c r="C956" s="5">
        <f>('Raw Data'!C611-'Raw Data'!$C$487)/60</f>
        <v>10.326566666666743</v>
      </c>
      <c r="D956" s="5">
        <f>'Raw Data'!J611</f>
        <v>4.1325399999999997</v>
      </c>
      <c r="E956" s="5">
        <f>$D$832-D956</f>
        <v>2.9958900000000002</v>
      </c>
      <c r="F956" s="8">
        <f>10^(-D956)</f>
        <v>7.3698729317369394E-5</v>
      </c>
      <c r="G956" s="5">
        <f>(D956-D955)/(C956-C955)</f>
        <v>-0.11076000000000776</v>
      </c>
      <c r="H956" s="5">
        <f>$D$9+$D$10*EXP(-$D$11*C956)</f>
        <v>4.1548851968528595</v>
      </c>
      <c r="I956" s="5">
        <f>D956-H956</f>
        <v>-2.234519685285985E-2</v>
      </c>
      <c r="J956" s="5">
        <f t="shared" si="21"/>
        <v>4.9930782239305778E-4</v>
      </c>
      <c r="K956" s="5">
        <f>$D$17+$D$16*C956</f>
        <v>4.5657198125206797</v>
      </c>
      <c r="L956" s="5">
        <f>(D956-K956)^2</f>
        <v>0.18764474997545152</v>
      </c>
      <c r="M956" s="5">
        <f>$D$40+$D$41*EXP(-$D$42*C956)</f>
        <v>0</v>
      </c>
      <c r="N956" s="5">
        <f>(D956-M956)^2</f>
        <v>17.077886851599999</v>
      </c>
      <c r="O956" s="5">
        <f>(C956+C955)/2</f>
        <v>10.284900000000077</v>
      </c>
      <c r="P956" s="5" t="str">
        <f>IF(AND(D955&gt;6,D956&lt;=6),C955+(6-D955)*(C956-C955)/(D956-D955),"")</f>
        <v/>
      </c>
      <c r="Q956" s="5" t="str">
        <f>IF(AND(D955&gt;5,D956&lt;=5),C955+(5-D955)*(C956-C955)/(D956-D955),"")</f>
        <v/>
      </c>
      <c r="R956" s="5" t="str">
        <f>IF(AND(D955&gt;4,D956&lt;=4),C955+(4-D955)*(C956-C955)/(D956-D955),"")</f>
        <v/>
      </c>
      <c r="S956" s="5" t="str">
        <f>IF(AND(D955&gt;3,D956&lt;=3),C955+(3-D955)*(C956-C955)/(D956-D955),"")</f>
        <v/>
      </c>
    </row>
    <row r="957" spans="1:19" ht="20.100000000000001" customHeight="1">
      <c r="A957" t="s">
        <v>4</v>
      </c>
      <c r="B957">
        <v>612</v>
      </c>
      <c r="C957" s="5">
        <f>('Raw Data'!C612-'Raw Data'!$C$487)/60</f>
        <v>10.409900000000077</v>
      </c>
      <c r="D957" s="5">
        <f>'Raw Data'!J612</f>
        <v>4.1371500000000001</v>
      </c>
      <c r="E957" s="5">
        <f>$D$832-D957</f>
        <v>2.9912799999999997</v>
      </c>
      <c r="F957" s="8">
        <f>10^(-D957)</f>
        <v>7.2920560806067654E-5</v>
      </c>
      <c r="G957" s="5">
        <f>(D957-D956)/(C957-C956)</f>
        <v>5.5320000000004969E-2</v>
      </c>
      <c r="H957" s="5">
        <f>$D$9+$D$10*EXP(-$D$11*C957)</f>
        <v>4.1476712953471653</v>
      </c>
      <c r="I957" s="5">
        <f>D957-H957</f>
        <v>-1.0521295347165172E-2</v>
      </c>
      <c r="J957" s="5">
        <f t="shared" si="21"/>
        <v>1.1069765578227949E-4</v>
      </c>
      <c r="K957" s="5">
        <f>$D$17+$D$16*C957</f>
        <v>4.5538965512387275</v>
      </c>
      <c r="L957" s="5">
        <f>(D957-K957)^2</f>
        <v>0.17367768796937325</v>
      </c>
      <c r="M957" s="5">
        <f>$D$40+$D$41*EXP(-$D$42*C957)</f>
        <v>0</v>
      </c>
      <c r="N957" s="5">
        <f>(D957-M957)^2</f>
        <v>17.116010122500001</v>
      </c>
      <c r="O957" s="5">
        <f>(C957+C956)/2</f>
        <v>10.368233333333411</v>
      </c>
      <c r="P957" s="5" t="str">
        <f>IF(AND(D956&gt;6,D957&lt;=6),C956+(6-D956)*(C957-C956)/(D957-D956),"")</f>
        <v/>
      </c>
      <c r="Q957" s="5" t="str">
        <f>IF(AND(D956&gt;5,D957&lt;=5),C956+(5-D956)*(C957-C956)/(D957-D956),"")</f>
        <v/>
      </c>
      <c r="R957" s="5" t="str">
        <f>IF(AND(D956&gt;4,D957&lt;=4),C956+(4-D956)*(C957-C956)/(D957-D956),"")</f>
        <v/>
      </c>
      <c r="S957" s="5" t="str">
        <f>IF(AND(D956&gt;3,D957&lt;=3),C956+(3-D956)*(C957-C956)/(D957-D956),"")</f>
        <v/>
      </c>
    </row>
    <row r="958" spans="1:19" ht="20.100000000000001" customHeight="1">
      <c r="A958" t="s">
        <v>4</v>
      </c>
      <c r="B958">
        <v>613</v>
      </c>
      <c r="C958" s="5">
        <f>('Raw Data'!C613-'Raw Data'!$C$487)/60</f>
        <v>10.492966666666689</v>
      </c>
      <c r="D958" s="5">
        <f>'Raw Data'!J613</f>
        <v>4.12331</v>
      </c>
      <c r="E958" s="5">
        <f>$D$832-D958</f>
        <v>3.0051199999999998</v>
      </c>
      <c r="F958" s="8">
        <f>10^(-D958)</f>
        <v>7.5281800936992279E-5</v>
      </c>
      <c r="G958" s="5">
        <f>(D958-D957)/(C958-C957)</f>
        <v>-0.16661316211889018</v>
      </c>
      <c r="H958" s="5">
        <f>$D$9+$D$10*EXP(-$D$11*C958)</f>
        <v>4.1406072084975012</v>
      </c>
      <c r="I958" s="5">
        <f>D958-H958</f>
        <v>-1.729720849750116E-2</v>
      </c>
      <c r="J958" s="5">
        <f t="shared" si="21"/>
        <v>2.9919342180602631E-4</v>
      </c>
      <c r="K958" s="5">
        <f>$D$17+$D$16*C958</f>
        <v>4.5421111243928856</v>
      </c>
      <c r="L958" s="5">
        <f>(D958-K958)^2</f>
        <v>0.17539438179274516</v>
      </c>
      <c r="M958" s="5">
        <f>$D$40+$D$41*EXP(-$D$42*C958)</f>
        <v>0</v>
      </c>
      <c r="N958" s="5">
        <f>(D958-M958)^2</f>
        <v>17.001685356100001</v>
      </c>
      <c r="O958" s="5">
        <f>(C958+C957)/2</f>
        <v>10.451433333333384</v>
      </c>
      <c r="P958" s="5" t="str">
        <f>IF(AND(D957&gt;6,D958&lt;=6),C957+(6-D957)*(C958-C957)/(D958-D957),"")</f>
        <v/>
      </c>
      <c r="Q958" s="5" t="str">
        <f>IF(AND(D957&gt;5,D958&lt;=5),C957+(5-D957)*(C958-C957)/(D958-D957),"")</f>
        <v/>
      </c>
      <c r="R958" s="5" t="str">
        <f>IF(AND(D957&gt;4,D958&lt;=4),C957+(4-D957)*(C958-C957)/(D958-D957),"")</f>
        <v/>
      </c>
      <c r="S958" s="5" t="str">
        <f>IF(AND(D957&gt;3,D958&lt;=3),C957+(3-D957)*(C958-C957)/(D958-D957),"")</f>
        <v/>
      </c>
    </row>
    <row r="959" spans="1:19" ht="20.100000000000001" customHeight="1">
      <c r="A959" t="s">
        <v>4</v>
      </c>
      <c r="B959">
        <v>614</v>
      </c>
      <c r="C959" s="5">
        <f>('Raw Data'!C614-'Raw Data'!$C$487)/60</f>
        <v>10.576566666666743</v>
      </c>
      <c r="D959" s="5">
        <f>'Raw Data'!J614</f>
        <v>4.12446</v>
      </c>
      <c r="E959" s="5">
        <f>$D$832-D959</f>
        <v>3.0039699999999998</v>
      </c>
      <c r="F959" s="8">
        <f>10^(-D959)</f>
        <v>7.508272046765427E-5</v>
      </c>
      <c r="G959" s="5">
        <f>(D959-D958)/(C959-C958)</f>
        <v>1.3755980861234971E-2</v>
      </c>
      <c r="H959" s="5">
        <f>$D$9+$D$10*EXP(-$D$11*C959)</f>
        <v>4.1336232596244162</v>
      </c>
      <c r="I959" s="5">
        <f>D959-H959</f>
        <v>-9.1632596244162201E-3</v>
      </c>
      <c r="J959" s="5">
        <f t="shared" si="21"/>
        <v>8.3965326944456493E-5</v>
      </c>
      <c r="K959" s="5">
        <f>$D$17+$D$16*C959</f>
        <v>4.5302500286748248</v>
      </c>
      <c r="L959" s="5">
        <f>(D959-K959)^2</f>
        <v>0.16466554737191516</v>
      </c>
      <c r="M959" s="5">
        <f>$D$40+$D$41*EXP(-$D$42*C959)</f>
        <v>0</v>
      </c>
      <c r="N959" s="5">
        <f>(D959-M959)^2</f>
        <v>17.011170291599999</v>
      </c>
      <c r="O959" s="5">
        <f>(C959+C958)/2</f>
        <v>10.534766666666716</v>
      </c>
      <c r="P959" s="5" t="str">
        <f>IF(AND(D958&gt;6,D959&lt;=6),C958+(6-D958)*(C959-C958)/(D959-D958),"")</f>
        <v/>
      </c>
      <c r="Q959" s="5" t="str">
        <f>IF(AND(D958&gt;5,D959&lt;=5),C958+(5-D958)*(C959-C958)/(D959-D958),"")</f>
        <v/>
      </c>
      <c r="R959" s="5" t="str">
        <f>IF(AND(D958&gt;4,D959&lt;=4),C958+(4-D958)*(C959-C958)/(D959-D958),"")</f>
        <v/>
      </c>
      <c r="S959" s="5" t="str">
        <f>IF(AND(D958&gt;3,D959&lt;=3),C958+(3-D958)*(C959-C958)/(D959-D958),"")</f>
        <v/>
      </c>
    </row>
    <row r="960" spans="1:19" ht="20.100000000000001" customHeight="1">
      <c r="A960" t="s">
        <v>4</v>
      </c>
      <c r="B960">
        <v>615</v>
      </c>
      <c r="C960" s="5">
        <f>('Raw Data'!C615-'Raw Data'!$C$487)/60</f>
        <v>10.659633333333355</v>
      </c>
      <c r="D960" s="5">
        <f>'Raw Data'!J615</f>
        <v>4.11639</v>
      </c>
      <c r="E960" s="5">
        <f>$D$832-D960</f>
        <v>3.0120399999999998</v>
      </c>
      <c r="F960" s="8">
        <f>10^(-D960)</f>
        <v>7.6490940349419826E-5</v>
      </c>
      <c r="G960" s="5">
        <f>(D960-D959)/(C960-C959)</f>
        <v>-9.7150882825104062E-2</v>
      </c>
      <c r="H960" s="5">
        <f>$D$9+$D$10*EXP(-$D$11*C960)</f>
        <v>4.1268063594003035</v>
      </c>
      <c r="I960" s="5">
        <f>D960-H960</f>
        <v>-1.0416359400303499E-2</v>
      </c>
      <c r="J960" s="5">
        <f t="shared" si="21"/>
        <v>1.0850054315629106E-4</v>
      </c>
      <c r="K960" s="5">
        <f>$D$17+$D$16*C960</f>
        <v>4.5184646018289829</v>
      </c>
      <c r="L960" s="5">
        <f>(D960-K960)^2</f>
        <v>0.16166398543593516</v>
      </c>
      <c r="M960" s="5">
        <f>$D$40+$D$41*EXP(-$D$42*C960)</f>
        <v>0</v>
      </c>
      <c r="N960" s="5">
        <f>(D960-M960)^2</f>
        <v>16.944666632099999</v>
      </c>
      <c r="O960" s="5">
        <f>(C960+C959)/2</f>
        <v>10.618100000000048</v>
      </c>
      <c r="P960" s="5" t="str">
        <f>IF(AND(D959&gt;6,D960&lt;=6),C959+(6-D959)*(C960-C959)/(D960-D959),"")</f>
        <v/>
      </c>
      <c r="Q960" s="5" t="str">
        <f>IF(AND(D959&gt;5,D960&lt;=5),C959+(5-D959)*(C960-C959)/(D960-D959),"")</f>
        <v/>
      </c>
      <c r="R960" s="5" t="str">
        <f>IF(AND(D959&gt;4,D960&lt;=4),C959+(4-D959)*(C960-C959)/(D960-D959),"")</f>
        <v/>
      </c>
      <c r="S960" s="5" t="str">
        <f>IF(AND(D959&gt;3,D960&lt;=3),C959+(3-D959)*(C960-C959)/(D960-D959),"")</f>
        <v/>
      </c>
    </row>
    <row r="961" spans="1:19" ht="20.100000000000001" customHeight="1">
      <c r="A961" t="s">
        <v>4</v>
      </c>
      <c r="B961">
        <v>616</v>
      </c>
      <c r="C961" s="5">
        <f>('Raw Data'!C616-'Raw Data'!$C$487)/60</f>
        <v>10.742966666666689</v>
      </c>
      <c r="D961" s="5">
        <f>'Raw Data'!J616</f>
        <v>4.10947</v>
      </c>
      <c r="E961" s="5">
        <f>$D$832-D961</f>
        <v>3.0189599999999999</v>
      </c>
      <c r="F961" s="8">
        <f>10^(-D961)</f>
        <v>7.7719500366834222E-5</v>
      </c>
      <c r="G961" s="5">
        <f>(D961-D960)/(C961-C960)</f>
        <v>-8.303999999999985E-2</v>
      </c>
      <c r="H961" s="5">
        <f>$D$9+$D$10*EXP(-$D$11*C961)</f>
        <v>4.1200880999173854</v>
      </c>
      <c r="I961" s="5">
        <f>D961-H961</f>
        <v>-1.0618099917385493E-2</v>
      </c>
      <c r="J961" s="5">
        <f t="shared" si="21"/>
        <v>1.1274404585558181E-4</v>
      </c>
      <c r="K961" s="5">
        <f>$D$17+$D$16*C961</f>
        <v>4.5066413405470307</v>
      </c>
      <c r="L961" s="5">
        <f>(D961-K961)^2</f>
        <v>0.15774507375192545</v>
      </c>
      <c r="M961" s="5">
        <f>$D$40+$D$41*EXP(-$D$42*C961)</f>
        <v>0</v>
      </c>
      <c r="N961" s="5">
        <f>(D961-M961)^2</f>
        <v>16.887743680899998</v>
      </c>
      <c r="O961" s="5">
        <f>(C961+C960)/2</f>
        <v>10.701300000000021</v>
      </c>
      <c r="P961" s="5" t="str">
        <f>IF(AND(D960&gt;6,D961&lt;=6),C960+(6-D960)*(C961-C960)/(D961-D960),"")</f>
        <v/>
      </c>
      <c r="Q961" s="5" t="str">
        <f>IF(AND(D960&gt;5,D961&lt;=5),C960+(5-D960)*(C961-C960)/(D961-D960),"")</f>
        <v/>
      </c>
      <c r="R961" s="5" t="str">
        <f>IF(AND(D960&gt;4,D961&lt;=4),C960+(4-D960)*(C961-C960)/(D961-D960),"")</f>
        <v/>
      </c>
      <c r="S961" s="5" t="str">
        <f>IF(AND(D960&gt;3,D961&lt;=3),C960+(3-D960)*(C961-C960)/(D961-D960),"")</f>
        <v/>
      </c>
    </row>
    <row r="962" spans="1:19" ht="20.100000000000001" customHeight="1">
      <c r="A962" t="s">
        <v>4</v>
      </c>
      <c r="B962">
        <v>617</v>
      </c>
      <c r="C962" s="5">
        <f>('Raw Data'!C617-'Raw Data'!$C$487)/60</f>
        <v>10.826300000000023</v>
      </c>
      <c r="D962" s="5">
        <f>'Raw Data'!J617</f>
        <v>4.1048499999999999</v>
      </c>
      <c r="E962" s="5">
        <f>$D$832-D962</f>
        <v>3.0235799999999999</v>
      </c>
      <c r="F962" s="8">
        <f>10^(-D962)</f>
        <v>7.8550689223191755E-5</v>
      </c>
      <c r="G962" s="5">
        <f>(D962-D961)/(C962-C961)</f>
        <v>-5.5440000000000426E-2</v>
      </c>
      <c r="H962" s="5">
        <f>$D$9+$D$10*EXP(-$D$11*C962)</f>
        <v>4.113488429807167</v>
      </c>
      <c r="I962" s="5">
        <f>D962-H962</f>
        <v>-8.6384298071671139E-3</v>
      </c>
      <c r="J962" s="5">
        <f t="shared" si="21"/>
        <v>7.4622469533353256E-5</v>
      </c>
      <c r="K962" s="5">
        <f>$D$17+$D$16*C962</f>
        <v>4.4948180792650794</v>
      </c>
      <c r="L962" s="5">
        <f>(D962-K962)^2</f>
        <v>0.15207510284569531</v>
      </c>
      <c r="M962" s="5">
        <f>$D$40+$D$41*EXP(-$D$42*C962)</f>
        <v>0</v>
      </c>
      <c r="N962" s="5">
        <f>(D962-M962)^2</f>
        <v>16.849793522500001</v>
      </c>
      <c r="O962" s="5">
        <f>(C962+C961)/2</f>
        <v>10.784633333333357</v>
      </c>
      <c r="P962" s="5" t="str">
        <f>IF(AND(D961&gt;6,D962&lt;=6),C961+(6-D961)*(C962-C961)/(D962-D961),"")</f>
        <v/>
      </c>
      <c r="Q962" s="5" t="str">
        <f>IF(AND(D961&gt;5,D962&lt;=5),C961+(5-D961)*(C962-C961)/(D962-D961),"")</f>
        <v/>
      </c>
      <c r="R962" s="5" t="str">
        <f>IF(AND(D961&gt;4,D962&lt;=4),C961+(4-D961)*(C962-C961)/(D962-D961),"")</f>
        <v/>
      </c>
      <c r="S962" s="5" t="str">
        <f>IF(AND(D961&gt;3,D962&lt;=3),C961+(3-D961)*(C962-C961)/(D962-D961),"")</f>
        <v/>
      </c>
    </row>
    <row r="963" spans="1:19" ht="20.100000000000001" customHeight="1">
      <c r="A963" t="s">
        <v>4</v>
      </c>
      <c r="B963">
        <v>618</v>
      </c>
      <c r="C963" s="5">
        <f>('Raw Data'!C618-'Raw Data'!$C$487)/60</f>
        <v>10.909633333333355</v>
      </c>
      <c r="D963" s="5">
        <f>'Raw Data'!J618</f>
        <v>4.1048499999999999</v>
      </c>
      <c r="E963" s="5">
        <f>$D$832-D963</f>
        <v>3.0235799999999999</v>
      </c>
      <c r="F963" s="8">
        <f>10^(-D963)</f>
        <v>7.8550689223191755E-5</v>
      </c>
      <c r="G963" s="5">
        <f>(D963-D962)/(C963-C962)</f>
        <v>0</v>
      </c>
      <c r="H963" s="5">
        <f>$D$9+$D$10*EXP(-$D$11*C963)</f>
        <v>4.1070052557537613</v>
      </c>
      <c r="I963" s="5">
        <f>D963-H963</f>
        <v>-2.1552557537614092E-3</v>
      </c>
      <c r="J963" s="5">
        <f t="shared" si="21"/>
        <v>4.6451273641216606E-6</v>
      </c>
      <c r="K963" s="5">
        <f>$D$17+$D$16*C963</f>
        <v>4.482994817983128</v>
      </c>
      <c r="L963" s="5">
        <f>(D963-K963)^2</f>
        <v>0.14299350336749311</v>
      </c>
      <c r="M963" s="5">
        <f>$D$40+$D$41*EXP(-$D$42*C963)</f>
        <v>0</v>
      </c>
      <c r="N963" s="5">
        <f>(D963-M963)^2</f>
        <v>16.849793522500001</v>
      </c>
      <c r="O963" s="5">
        <f>(C963+C962)/2</f>
        <v>10.867966666666689</v>
      </c>
      <c r="P963" s="5" t="str">
        <f>IF(AND(D962&gt;6,D963&lt;=6),C962+(6-D962)*(C963-C962)/(D963-D962),"")</f>
        <v/>
      </c>
      <c r="Q963" s="5" t="str">
        <f>IF(AND(D962&gt;5,D963&lt;=5),C962+(5-D962)*(C963-C962)/(D963-D962),"")</f>
        <v/>
      </c>
      <c r="R963" s="5" t="str">
        <f>IF(AND(D962&gt;4,D963&lt;=4),C962+(4-D962)*(C963-C962)/(D963-D962),"")</f>
        <v/>
      </c>
      <c r="S963" s="5" t="str">
        <f>IF(AND(D962&gt;3,D963&lt;=3),C962+(3-D962)*(C963-C962)/(D963-D962),"")</f>
        <v/>
      </c>
    </row>
    <row r="964" spans="1:19" ht="20.100000000000001" customHeight="1">
      <c r="A964" t="s">
        <v>4</v>
      </c>
      <c r="B964">
        <v>619</v>
      </c>
      <c r="C964" s="5">
        <f>('Raw Data'!C619-'Raw Data'!$C$487)/60</f>
        <v>10.992716666666698</v>
      </c>
      <c r="D964" s="5">
        <f>'Raw Data'!J619</f>
        <v>4.0875500000000002</v>
      </c>
      <c r="E964" s="5">
        <f>$D$832-D964</f>
        <v>3.0408799999999996</v>
      </c>
      <c r="F964" s="8">
        <f>10^(-D964)</f>
        <v>8.1742892254345364E-5</v>
      </c>
      <c r="G964" s="5">
        <f>(D964-D963)/(C964-C963)</f>
        <v>-0.20822467402203676</v>
      </c>
      <c r="H964" s="5">
        <f>$D$9+$D$10*EXP(-$D$11*C964)</f>
        <v>4.1006554584705475</v>
      </c>
      <c r="I964" s="5">
        <f>D964-H964</f>
        <v>-1.3105458470547227E-2</v>
      </c>
      <c r="J964" s="5">
        <f t="shared" si="21"/>
        <v>1.7175304172323806E-4</v>
      </c>
      <c r="K964" s="5">
        <f>$D$17+$D$16*C964</f>
        <v>4.471207026485021</v>
      </c>
      <c r="L964" s="5">
        <f>(D964-K964)^2</f>
        <v>0.14719271397132791</v>
      </c>
      <c r="M964" s="5">
        <f>$D$40+$D$41*EXP(-$D$42*C964)</f>
        <v>0</v>
      </c>
      <c r="N964" s="5">
        <f>(D964-M964)^2</f>
        <v>16.708065002500003</v>
      </c>
      <c r="O964" s="5">
        <f>(C964+C963)/2</f>
        <v>10.951175000000028</v>
      </c>
      <c r="P964" s="5" t="str">
        <f>IF(AND(D963&gt;6,D964&lt;=6),C963+(6-D963)*(C964-C963)/(D964-D963),"")</f>
        <v/>
      </c>
      <c r="Q964" s="5" t="str">
        <f>IF(AND(D963&gt;5,D964&lt;=5),C963+(5-D963)*(C964-C963)/(D964-D963),"")</f>
        <v/>
      </c>
      <c r="R964" s="5" t="str">
        <f>IF(AND(D963&gt;4,D964&lt;=4),C963+(4-D963)*(C964-C963)/(D964-D963),"")</f>
        <v/>
      </c>
      <c r="S964" s="5" t="str">
        <f>IF(AND(D963&gt;3,D964&lt;=3),C963+(3-D963)*(C964-C963)/(D964-D963),"")</f>
        <v/>
      </c>
    </row>
    <row r="965" spans="1:19" ht="20.100000000000001" customHeight="1">
      <c r="A965" t="s">
        <v>4</v>
      </c>
      <c r="B965">
        <v>620</v>
      </c>
      <c r="C965" s="5">
        <f>('Raw Data'!C620-'Raw Data'!$C$487)/60</f>
        <v>11.076050000000032</v>
      </c>
      <c r="D965" s="5">
        <f>'Raw Data'!J620</f>
        <v>4.0921599999999998</v>
      </c>
      <c r="E965" s="5">
        <f>$D$832-D965</f>
        <v>3.03627</v>
      </c>
      <c r="F965" s="8">
        <f>10^(-D965)</f>
        <v>8.0879787213536351E-5</v>
      </c>
      <c r="G965" s="5">
        <f>(D965-D964)/(C965-C964)</f>
        <v>5.5319999999994311E-2</v>
      </c>
      <c r="H965" s="5">
        <f>$D$9+$D$10*EXP(-$D$11*C965)</f>
        <v>4.0943988094605031</v>
      </c>
      <c r="I965" s="5">
        <f>D965-H965</f>
        <v>-2.2388094605032549E-3</v>
      </c>
      <c r="J965" s="5">
        <f t="shared" si="21"/>
        <v>5.0122678004388752E-6</v>
      </c>
      <c r="K965" s="5">
        <f>$D$17+$D$16*C965</f>
        <v>4.4593837652030697</v>
      </c>
      <c r="L965" s="5">
        <f>(D965-K965)^2</f>
        <v>0.13485329372991939</v>
      </c>
      <c r="M965" s="5">
        <f>$D$40+$D$41*EXP(-$D$42*C965)</f>
        <v>0</v>
      </c>
      <c r="N965" s="5">
        <f>(D965-M965)^2</f>
        <v>16.745773465599999</v>
      </c>
      <c r="O965" s="5">
        <f>(C965+C964)/2</f>
        <v>11.034383333333366</v>
      </c>
      <c r="P965" s="5" t="str">
        <f>IF(AND(D964&gt;6,D965&lt;=6),C964+(6-D964)*(C965-C964)/(D965-D964),"")</f>
        <v/>
      </c>
      <c r="Q965" s="5" t="str">
        <f>IF(AND(D964&gt;5,D965&lt;=5),C964+(5-D964)*(C965-C964)/(D965-D964),"")</f>
        <v/>
      </c>
      <c r="R965" s="5" t="str">
        <f>IF(AND(D964&gt;4,D965&lt;=4),C964+(4-D964)*(C965-C964)/(D965-D964),"")</f>
        <v/>
      </c>
      <c r="S965" s="5" t="str">
        <f>IF(AND(D964&gt;3,D965&lt;=3),C964+(3-D964)*(C965-C964)/(D965-D964),"")</f>
        <v/>
      </c>
    </row>
    <row r="966" spans="1:19" ht="20.100000000000001" customHeight="1">
      <c r="A966" t="s">
        <v>4</v>
      </c>
      <c r="B966">
        <v>621</v>
      </c>
      <c r="C966" s="5">
        <f>('Raw Data'!C621-'Raw Data'!$C$487)/60</f>
        <v>11.159383333333365</v>
      </c>
      <c r="D966" s="5">
        <f>'Raw Data'!J621</f>
        <v>4.0933200000000003</v>
      </c>
      <c r="E966" s="5">
        <f>$D$832-D966</f>
        <v>3.0351099999999995</v>
      </c>
      <c r="F966" s="8">
        <f>10^(-D966)</f>
        <v>8.0664045657367154E-5</v>
      </c>
      <c r="G966" s="5">
        <f>(D966-D965)/(C966-C965)</f>
        <v>1.3920000000006125E-2</v>
      </c>
      <c r="H966" s="5">
        <f>$D$9+$D$10*EXP(-$D$11*C966)</f>
        <v>4.0882526015674179</v>
      </c>
      <c r="I966" s="5">
        <f>D966-H966</f>
        <v>5.0673984325824151E-3</v>
      </c>
      <c r="J966" s="5">
        <f t="shared" si="21"/>
        <v>2.5678526874538719E-5</v>
      </c>
      <c r="K966" s="5">
        <f>$D$17+$D$16*C966</f>
        <v>4.4475605039211175</v>
      </c>
      <c r="L966" s="5">
        <f>(D966-K966)^2</f>
        <v>0.12548633461828704</v>
      </c>
      <c r="M966" s="5">
        <f>$D$40+$D$41*EXP(-$D$42*C966)</f>
        <v>0</v>
      </c>
      <c r="N966" s="5">
        <f>(D966-M966)^2</f>
        <v>16.755268622400003</v>
      </c>
      <c r="O966" s="5">
        <f>(C966+C965)/2</f>
        <v>11.117716666666698</v>
      </c>
      <c r="P966" s="5" t="str">
        <f>IF(AND(D965&gt;6,D966&lt;=6),C965+(6-D965)*(C966-C965)/(D966-D965),"")</f>
        <v/>
      </c>
      <c r="Q966" s="5" t="str">
        <f>IF(AND(D965&gt;5,D966&lt;=5),C965+(5-D965)*(C966-C965)/(D966-D965),"")</f>
        <v/>
      </c>
      <c r="R966" s="5" t="str">
        <f>IF(AND(D965&gt;4,D966&lt;=4),C965+(4-D965)*(C966-C965)/(D966-D965),"")</f>
        <v/>
      </c>
      <c r="S966" s="5" t="str">
        <f>IF(AND(D965&gt;3,D966&lt;=3),C965+(3-D965)*(C966-C965)/(D966-D965),"")</f>
        <v/>
      </c>
    </row>
    <row r="967" spans="1:19" ht="20.100000000000001" customHeight="1">
      <c r="A967" t="s">
        <v>4</v>
      </c>
      <c r="B967">
        <v>622</v>
      </c>
      <c r="C967" s="5">
        <f>('Raw Data'!C622-'Raw Data'!$C$487)/60</f>
        <v>11.242716666666698</v>
      </c>
      <c r="D967" s="5">
        <f>'Raw Data'!J622</f>
        <v>4.0760100000000001</v>
      </c>
      <c r="E967" s="5">
        <f>$D$832-D967</f>
        <v>3.0524199999999997</v>
      </c>
      <c r="F967" s="8">
        <f>10^(-D967)</f>
        <v>8.3944065746141964E-5</v>
      </c>
      <c r="G967" s="5">
        <f>(D967-D966)/(C967-C966)</f>
        <v>-0.20772000000000043</v>
      </c>
      <c r="H967" s="5">
        <f>$D$9+$D$10*EXP(-$D$11*C967)</f>
        <v>4.0822148853067821</v>
      </c>
      <c r="I967" s="5">
        <f>D967-H967</f>
        <v>-6.204885306781982E-3</v>
      </c>
      <c r="J967" s="5">
        <f t="shared" si="21"/>
        <v>3.8500601670318928E-5</v>
      </c>
      <c r="K967" s="5">
        <f>$D$17+$D$16*C967</f>
        <v>4.4357372426391661</v>
      </c>
      <c r="L967" s="5">
        <f>(D967-K967)^2</f>
        <v>0.12940368909677741</v>
      </c>
      <c r="M967" s="5">
        <f>$D$40+$D$41*EXP(-$D$42*C967)</f>
        <v>0</v>
      </c>
      <c r="N967" s="5">
        <f>(D967-M967)^2</f>
        <v>16.613857520100002</v>
      </c>
      <c r="O967" s="5">
        <f>(C967+C966)/2</f>
        <v>11.201050000000031</v>
      </c>
      <c r="P967" s="5" t="str">
        <f>IF(AND(D966&gt;6,D967&lt;=6),C966+(6-D966)*(C967-C966)/(D967-D966),"")</f>
        <v/>
      </c>
      <c r="Q967" s="5" t="str">
        <f>IF(AND(D966&gt;5,D967&lt;=5),C966+(5-D966)*(C967-C966)/(D967-D966),"")</f>
        <v/>
      </c>
      <c r="R967" s="5" t="str">
        <f>IF(AND(D966&gt;4,D967&lt;=4),C966+(4-D966)*(C967-C966)/(D967-D966),"")</f>
        <v/>
      </c>
      <c r="S967" s="5" t="str">
        <f>IF(AND(D966&gt;3,D967&lt;=3),C966+(3-D966)*(C967-C966)/(D967-D966),"")</f>
        <v/>
      </c>
    </row>
    <row r="968" spans="1:19" ht="20.100000000000001" customHeight="1">
      <c r="A968" t="s">
        <v>4</v>
      </c>
      <c r="B968">
        <v>623</v>
      </c>
      <c r="C968" s="5">
        <f>('Raw Data'!C623-'Raw Data'!$C$487)/60</f>
        <v>11.325783333333311</v>
      </c>
      <c r="D968" s="5">
        <f>'Raw Data'!J623</f>
        <v>4.0817800000000002</v>
      </c>
      <c r="E968" s="5">
        <f>$D$832-D968</f>
        <v>3.0466499999999996</v>
      </c>
      <c r="F968" s="8">
        <f>10^(-D968)</f>
        <v>8.2836167956265125E-5</v>
      </c>
      <c r="G968" s="5">
        <f>(D968-D967)/(C968-C967)</f>
        <v>6.9462279293786136E-2</v>
      </c>
      <c r="H968" s="5">
        <f>$D$9+$D$10*EXP(-$D$11*C968)</f>
        <v>4.0763025572821903</v>
      </c>
      <c r="I968" s="5">
        <f>D968-H968</f>
        <v>5.4774427178099216E-3</v>
      </c>
      <c r="J968" s="5">
        <f t="shared" si="21"/>
        <v>3.0002378726888939E-5</v>
      </c>
      <c r="K968" s="5">
        <f>$D$17+$D$16*C968</f>
        <v>4.4239518157933251</v>
      </c>
      <c r="L968" s="5">
        <f>(D968-K968)^2</f>
        <v>0.11708155152330106</v>
      </c>
      <c r="M968" s="5">
        <f>$D$40+$D$41*EXP(-$D$42*C968)</f>
        <v>0</v>
      </c>
      <c r="N968" s="5">
        <f>(D968-M968)^2</f>
        <v>16.660927968400003</v>
      </c>
      <c r="O968" s="5">
        <f>(C968+C967)/2</f>
        <v>11.284250000000004</v>
      </c>
      <c r="P968" s="5" t="str">
        <f>IF(AND(D967&gt;6,D968&lt;=6),C967+(6-D967)*(C968-C967)/(D968-D967),"")</f>
        <v/>
      </c>
      <c r="Q968" s="5" t="str">
        <f>IF(AND(D967&gt;5,D968&lt;=5),C967+(5-D967)*(C968-C967)/(D968-D967),"")</f>
        <v/>
      </c>
      <c r="R968" s="5" t="str">
        <f>IF(AND(D967&gt;4,D968&lt;=4),C967+(4-D967)*(C968-C967)/(D968-D967),"")</f>
        <v/>
      </c>
      <c r="S968" s="5" t="str">
        <f>IF(AND(D967&gt;3,D968&lt;=3),C967+(3-D967)*(C968-C967)/(D968-D967),"")</f>
        <v/>
      </c>
    </row>
    <row r="969" spans="1:19" ht="20.100000000000001" customHeight="1">
      <c r="A969" t="s">
        <v>4</v>
      </c>
      <c r="B969">
        <v>624</v>
      </c>
      <c r="C969" s="5">
        <f>('Raw Data'!C624-'Raw Data'!$C$487)/60</f>
        <v>11.409383333333365</v>
      </c>
      <c r="D969" s="5">
        <f>'Raw Data'!J624</f>
        <v>4.0713999999999997</v>
      </c>
      <c r="E969" s="5">
        <f>$D$832-D969</f>
        <v>3.0570300000000001</v>
      </c>
      <c r="F969" s="8">
        <f>10^(-D969)</f>
        <v>8.4839871098599644E-5</v>
      </c>
      <c r="G969" s="5">
        <f>(D969-D968)/(C969-C968)</f>
        <v>-0.12416267942576331</v>
      </c>
      <c r="H969" s="5">
        <f>$D$9+$D$10*EXP(-$D$11*C969)</f>
        <v>4.070457301196952</v>
      </c>
      <c r="I969" s="5">
        <f>D969-H969</f>
        <v>9.4269880304764797E-4</v>
      </c>
      <c r="J969" s="5">
        <f t="shared" si="21"/>
        <v>8.8868103326746821E-7</v>
      </c>
      <c r="K969" s="5">
        <f>$D$17+$D$16*C969</f>
        <v>4.4120907200752626</v>
      </c>
      <c r="L969" s="5">
        <f>(D969-K969)^2</f>
        <v>0.11607016674540115</v>
      </c>
      <c r="M969" s="5">
        <f>$D$40+$D$41*EXP(-$D$42*C969)</f>
        <v>0</v>
      </c>
      <c r="N969" s="5">
        <f>(D969-M969)^2</f>
        <v>16.576297959999998</v>
      </c>
      <c r="O969" s="5">
        <f>(C969+C968)/2</f>
        <v>11.367583333333338</v>
      </c>
      <c r="P969" s="5" t="str">
        <f>IF(AND(D968&gt;6,D969&lt;=6),C968+(6-D968)*(C969-C968)/(D969-D968),"")</f>
        <v/>
      </c>
      <c r="Q969" s="5" t="str">
        <f>IF(AND(D968&gt;5,D969&lt;=5),C968+(5-D968)*(C969-C968)/(D969-D968),"")</f>
        <v/>
      </c>
      <c r="R969" s="5" t="str">
        <f>IF(AND(D968&gt;4,D969&lt;=4),C968+(4-D968)*(C969-C968)/(D969-D968),"")</f>
        <v/>
      </c>
      <c r="S969" s="5" t="str">
        <f>IF(AND(D968&gt;3,D969&lt;=3),C968+(3-D968)*(C969-C968)/(D969-D968),"")</f>
        <v/>
      </c>
    </row>
    <row r="970" spans="1:19" ht="20.100000000000001" customHeight="1">
      <c r="A970" t="s">
        <v>4</v>
      </c>
      <c r="B970">
        <v>625</v>
      </c>
      <c r="C970" s="5">
        <f>('Raw Data'!C625-'Raw Data'!$C$487)/60</f>
        <v>11.492449999999979</v>
      </c>
      <c r="D970" s="5">
        <f>'Raw Data'!J625</f>
        <v>4.0748600000000001</v>
      </c>
      <c r="E970" s="5">
        <f>$D$832-D970</f>
        <v>3.0535699999999997</v>
      </c>
      <c r="F970" s="8">
        <f>10^(-D970)</f>
        <v>8.4166641911507218E-5</v>
      </c>
      <c r="G970" s="5">
        <f>(D970-D969)/(C970-C969)</f>
        <v>4.1653290529727008E-2</v>
      </c>
      <c r="H970" s="5">
        <f>$D$9+$D$10*EXP(-$D$11*C970)</f>
        <v>4.0647518574370434</v>
      </c>
      <c r="I970" s="5">
        <f>D970-H970</f>
        <v>1.0108142562956779E-2</v>
      </c>
      <c r="J970" s="5">
        <f t="shared" si="21"/>
        <v>1.0217454607305844E-4</v>
      </c>
      <c r="K970" s="5">
        <f>$D$17+$D$16*C970</f>
        <v>4.4003052932294215</v>
      </c>
      <c r="L970" s="5">
        <f>(D970-K970)^2</f>
        <v>0.10591463888518407</v>
      </c>
      <c r="M970" s="5">
        <f>$D$40+$D$41*EXP(-$D$42*C970)</f>
        <v>0</v>
      </c>
      <c r="N970" s="5">
        <f>(D970-M970)^2</f>
        <v>16.604484019600001</v>
      </c>
      <c r="O970" s="5">
        <f>(C970+C969)/2</f>
        <v>11.450916666666672</v>
      </c>
      <c r="P970" s="5" t="str">
        <f>IF(AND(D969&gt;6,D970&lt;=6),C969+(6-D969)*(C970-C969)/(D970-D969),"")</f>
        <v/>
      </c>
      <c r="Q970" s="5" t="str">
        <f>IF(AND(D969&gt;5,D970&lt;=5),C969+(5-D969)*(C970-C969)/(D970-D969),"")</f>
        <v/>
      </c>
      <c r="R970" s="5" t="str">
        <f>IF(AND(D969&gt;4,D970&lt;=4),C969+(4-D969)*(C970-C969)/(D970-D969),"")</f>
        <v/>
      </c>
      <c r="S970" s="5" t="str">
        <f>IF(AND(D969&gt;3,D970&lt;=3),C969+(3-D969)*(C970-C969)/(D970-D969),"")</f>
        <v/>
      </c>
    </row>
    <row r="971" spans="1:19" ht="20.100000000000001" customHeight="1">
      <c r="A971" t="s">
        <v>4</v>
      </c>
      <c r="B971">
        <v>626</v>
      </c>
      <c r="C971" s="5">
        <f>('Raw Data'!C626-'Raw Data'!$C$487)/60</f>
        <v>11.575783333333311</v>
      </c>
      <c r="D971" s="5">
        <f>'Raw Data'!J626</f>
        <v>4.0679400000000001</v>
      </c>
      <c r="E971" s="5">
        <f>$D$832-D971</f>
        <v>3.0604899999999997</v>
      </c>
      <c r="F971" s="8">
        <f>10^(-D971)</f>
        <v>8.5518485287731282E-5</v>
      </c>
      <c r="G971" s="5">
        <f>(D971-D970)/(C971-C970)</f>
        <v>-8.3040000000001626E-2</v>
      </c>
      <c r="H971" s="5">
        <f>$D$9+$D$10*EXP(-$D$11*C971)</f>
        <v>4.0591289716115071</v>
      </c>
      <c r="I971" s="5">
        <f>D971-H971</f>
        <v>8.8110283884930141E-3</v>
      </c>
      <c r="J971" s="5">
        <f t="shared" si="21"/>
        <v>7.7634221262829804E-5</v>
      </c>
      <c r="K971" s="5">
        <f>$D$17+$D$16*C971</f>
        <v>4.3884820319474702</v>
      </c>
      <c r="L971" s="5">
        <f>(D971-K971)^2</f>
        <v>0.10274719424501294</v>
      </c>
      <c r="M971" s="5">
        <f>$D$40+$D$41*EXP(-$D$42*C971)</f>
        <v>0</v>
      </c>
      <c r="N971" s="5">
        <f>(D971-M971)^2</f>
        <v>16.548135843600001</v>
      </c>
      <c r="O971" s="5">
        <f>(C971+C970)/2</f>
        <v>11.534116666666645</v>
      </c>
      <c r="P971" s="5" t="str">
        <f>IF(AND(D970&gt;6,D971&lt;=6),C970+(6-D970)*(C971-C970)/(D971-D970),"")</f>
        <v/>
      </c>
      <c r="Q971" s="5" t="str">
        <f>IF(AND(D970&gt;5,D971&lt;=5),C970+(5-D970)*(C971-C970)/(D971-D970),"")</f>
        <v/>
      </c>
      <c r="R971" s="5" t="str">
        <f>IF(AND(D970&gt;4,D971&lt;=4),C970+(4-D970)*(C971-C970)/(D971-D970),"")</f>
        <v/>
      </c>
      <c r="S971" s="5" t="str">
        <f>IF(AND(D970&gt;3,D971&lt;=3),C970+(3-D970)*(C971-C970)/(D971-D970),"")</f>
        <v/>
      </c>
    </row>
    <row r="972" spans="1:19" ht="20.100000000000001" customHeight="1">
      <c r="A972" t="s">
        <v>4</v>
      </c>
      <c r="B972">
        <v>627</v>
      </c>
      <c r="C972" s="5">
        <f>('Raw Data'!C627-'Raw Data'!$C$487)/60</f>
        <v>11.659116666666645</v>
      </c>
      <c r="D972" s="5">
        <f>'Raw Data'!J627</f>
        <v>4.0656299999999996</v>
      </c>
      <c r="E972" s="5">
        <f>$D$832-D972</f>
        <v>3.0628000000000002</v>
      </c>
      <c r="F972" s="8">
        <f>10^(-D972)</f>
        <v>8.5974567548261575E-5</v>
      </c>
      <c r="G972" s="5">
        <f>(D972-D971)/(C972-C971)</f>
        <v>-2.7720000000005542E-2</v>
      </c>
      <c r="H972" s="5">
        <f>$D$9+$D$10*EXP(-$D$11*C972)</f>
        <v>4.053605339841952</v>
      </c>
      <c r="I972" s="5">
        <f>D972-H972</f>
        <v>1.2024660158047595E-2</v>
      </c>
      <c r="J972" s="5">
        <f t="shared" si="21"/>
        <v>1.4459245191653723E-4</v>
      </c>
      <c r="K972" s="5">
        <f>$D$17+$D$16*C972</f>
        <v>4.376658770665518</v>
      </c>
      <c r="L972" s="5">
        <f>(D972-K972)^2</f>
        <v>9.6738896181703615E-2</v>
      </c>
      <c r="M972" s="5">
        <f>$D$40+$D$41*EXP(-$D$42*C972)</f>
        <v>0</v>
      </c>
      <c r="N972" s="5">
        <f>(D972-M972)^2</f>
        <v>16.529347296899996</v>
      </c>
      <c r="O972" s="5">
        <f>(C972+C971)/2</f>
        <v>11.617449999999977</v>
      </c>
      <c r="P972" s="5" t="str">
        <f>IF(AND(D971&gt;6,D972&lt;=6),C971+(6-D971)*(C972-C971)/(D972-D971),"")</f>
        <v/>
      </c>
      <c r="Q972" s="5" t="str">
        <f>IF(AND(D971&gt;5,D972&lt;=5),C971+(5-D971)*(C972-C971)/(D972-D971),"")</f>
        <v/>
      </c>
      <c r="R972" s="5" t="str">
        <f>IF(AND(D971&gt;4,D972&lt;=4),C971+(4-D971)*(C972-C971)/(D972-D971),"")</f>
        <v/>
      </c>
      <c r="S972" s="5" t="str">
        <f>IF(AND(D971&gt;3,D972&lt;=3),C971+(3-D971)*(C972-C971)/(D972-D971),"")</f>
        <v/>
      </c>
    </row>
    <row r="973" spans="1:19" ht="20.100000000000001" customHeight="1">
      <c r="A973" t="s">
        <v>4</v>
      </c>
      <c r="B973">
        <v>628</v>
      </c>
      <c r="C973" s="5">
        <f>('Raw Data'!C628-'Raw Data'!$C$487)/60</f>
        <v>11.742449999999979</v>
      </c>
      <c r="D973" s="5">
        <f>'Raw Data'!J628</f>
        <v>4.0598599999999996</v>
      </c>
      <c r="E973" s="5">
        <f>$D$832-D973</f>
        <v>3.0685700000000002</v>
      </c>
      <c r="F973" s="8">
        <f>10^(-D973)</f>
        <v>8.7124440070402199E-5</v>
      </c>
      <c r="G973" s="5">
        <f>(D973-D972)/(C973-C972)</f>
        <v>-6.9240000000000149E-2</v>
      </c>
      <c r="H973" s="5">
        <f>$D$9+$D$10*EXP(-$D$11*C973)</f>
        <v>4.0481792101156335</v>
      </c>
      <c r="I973" s="5">
        <f>D973-H973</f>
        <v>1.168078988436605E-2</v>
      </c>
      <c r="J973" s="5">
        <f t="shared" si="21"/>
        <v>1.3644085232270822E-4</v>
      </c>
      <c r="K973" s="5">
        <f>$D$17+$D$16*C973</f>
        <v>4.3648355093835667</v>
      </c>
      <c r="L973" s="5">
        <f>(D973-K973)^2</f>
        <v>9.3010061323766227E-2</v>
      </c>
      <c r="M973" s="5">
        <f>$D$40+$D$41*EXP(-$D$42*C973)</f>
        <v>0</v>
      </c>
      <c r="N973" s="5">
        <f>(D973-M973)^2</f>
        <v>16.482463219599996</v>
      </c>
      <c r="O973" s="5">
        <f>(C973+C972)/2</f>
        <v>11.700783333333312</v>
      </c>
      <c r="P973" s="5" t="str">
        <f>IF(AND(D972&gt;6,D973&lt;=6),C972+(6-D972)*(C973-C972)/(D973-D972),"")</f>
        <v/>
      </c>
      <c r="Q973" s="5" t="str">
        <f>IF(AND(D972&gt;5,D973&lt;=5),C972+(5-D972)*(C973-C972)/(D973-D972),"")</f>
        <v/>
      </c>
      <c r="R973" s="5" t="str">
        <f>IF(AND(D972&gt;4,D973&lt;=4),C972+(4-D972)*(C973-C972)/(D973-D972),"")</f>
        <v/>
      </c>
      <c r="S973" s="5" t="str">
        <f>IF(AND(D972&gt;3,D973&lt;=3),C972+(3-D972)*(C973-C972)/(D973-D972),"")</f>
        <v/>
      </c>
    </row>
    <row r="974" spans="1:19" ht="20.100000000000001" customHeight="1">
      <c r="A974" t="s">
        <v>4</v>
      </c>
      <c r="B974">
        <v>629</v>
      </c>
      <c r="C974" s="5">
        <f>('Raw Data'!C629-'Raw Data'!$C$487)/60</f>
        <v>11.825516666666712</v>
      </c>
      <c r="D974" s="5">
        <f>'Raw Data'!J629</f>
        <v>4.0587099999999996</v>
      </c>
      <c r="E974" s="5">
        <f>$D$832-D974</f>
        <v>3.0697200000000002</v>
      </c>
      <c r="F974" s="8">
        <f>10^(-D974)</f>
        <v>8.7355448940512308E-5</v>
      </c>
      <c r="G974" s="5">
        <f>(D974-D973)/(C974-C973)</f>
        <v>-1.3844301765638835E-2</v>
      </c>
      <c r="H974" s="5">
        <f>$D$9+$D$10*EXP(-$D$11*C974)</f>
        <v>4.0428657675056865</v>
      </c>
      <c r="I974" s="5">
        <f>D974-H974</f>
        <v>1.5844232494313104E-2</v>
      </c>
      <c r="J974" s="5">
        <f t="shared" si="21"/>
        <v>2.5103970333384726E-4</v>
      </c>
      <c r="K974" s="5">
        <f>$D$17+$D$16*C974</f>
        <v>4.3530500825377079</v>
      </c>
      <c r="L974" s="5">
        <f>(D974-K974)^2</f>
        <v>8.6636084188304915E-2</v>
      </c>
      <c r="M974" s="5">
        <f>$D$40+$D$41*EXP(-$D$42*C974)</f>
        <v>0</v>
      </c>
      <c r="N974" s="5">
        <f>(D974-M974)^2</f>
        <v>16.473126864099996</v>
      </c>
      <c r="O974" s="5">
        <f>(C974+C973)/2</f>
        <v>11.783983333333346</v>
      </c>
      <c r="P974" s="5" t="str">
        <f>IF(AND(D973&gt;6,D974&lt;=6),C973+(6-D973)*(C974-C973)/(D974-D973),"")</f>
        <v/>
      </c>
      <c r="Q974" s="5" t="str">
        <f>IF(AND(D973&gt;5,D974&lt;=5),C973+(5-D973)*(C974-C973)/(D974-D973),"")</f>
        <v/>
      </c>
      <c r="R974" s="5" t="str">
        <f>IF(AND(D973&gt;4,D974&lt;=4),C973+(4-D973)*(C974-C973)/(D974-D973),"")</f>
        <v/>
      </c>
      <c r="S974" s="5" t="str">
        <f>IF(AND(D973&gt;3,D974&lt;=3),C973+(3-D973)*(C974-C973)/(D974-D973),"")</f>
        <v/>
      </c>
    </row>
    <row r="975" spans="1:19" ht="20.100000000000001" customHeight="1">
      <c r="A975" t="s">
        <v>4</v>
      </c>
      <c r="B975">
        <v>630</v>
      </c>
      <c r="C975" s="5">
        <f>('Raw Data'!C630-'Raw Data'!$C$487)/60</f>
        <v>11.909116666666645</v>
      </c>
      <c r="D975" s="5">
        <f>'Raw Data'!J630</f>
        <v>4.0564</v>
      </c>
      <c r="E975" s="5">
        <f>$D$832-D975</f>
        <v>3.0720299999999998</v>
      </c>
      <c r="F975" s="8">
        <f>10^(-D975)</f>
        <v>8.7821327989800492E-5</v>
      </c>
      <c r="G975" s="5">
        <f>(D975-D974)/(C975-C974)</f>
        <v>-2.7631578947385643E-2</v>
      </c>
      <c r="H975" s="5">
        <f>$D$9+$D$10*EXP(-$D$11*C975)</f>
        <v>4.0376126028267167</v>
      </c>
      <c r="I975" s="5">
        <f>D975-H975</f>
        <v>1.878739717328326E-2</v>
      </c>
      <c r="J975" s="5">
        <f t="shared" si="21"/>
        <v>3.5296629254669181E-4</v>
      </c>
      <c r="K975" s="5">
        <f>$D$17+$D$16*C975</f>
        <v>4.3411889868196631</v>
      </c>
      <c r="L975" s="5">
        <f>(D975-K975)^2</f>
        <v>8.1104767013770257E-2</v>
      </c>
      <c r="M975" s="5">
        <f>$D$40+$D$41*EXP(-$D$42*C975)</f>
        <v>0</v>
      </c>
      <c r="N975" s="5">
        <f>(D975-M975)^2</f>
        <v>16.454380960000002</v>
      </c>
      <c r="O975" s="5">
        <f>(C975+C974)/2</f>
        <v>11.867316666666678</v>
      </c>
      <c r="P975" s="5" t="str">
        <f>IF(AND(D974&gt;6,D975&lt;=6),C974+(6-D974)*(C975-C974)/(D975-D974),"")</f>
        <v/>
      </c>
      <c r="Q975" s="5" t="str">
        <f>IF(AND(D974&gt;5,D975&lt;=5),C974+(5-D974)*(C975-C974)/(D975-D974),"")</f>
        <v/>
      </c>
      <c r="R975" s="5" t="str">
        <f>IF(AND(D974&gt;4,D975&lt;=4),C974+(4-D974)*(C975-C974)/(D975-D974),"")</f>
        <v/>
      </c>
      <c r="S975" s="5" t="str">
        <f>IF(AND(D974&gt;3,D975&lt;=3),C974+(3-D974)*(C975-C974)/(D975-D974),"")</f>
        <v/>
      </c>
    </row>
    <row r="976" spans="1:19" ht="20.100000000000001" customHeight="1">
      <c r="A976" t="s">
        <v>4</v>
      </c>
      <c r="B976">
        <v>631</v>
      </c>
      <c r="C976" s="5">
        <f>('Raw Data'!C631-'Raw Data'!$C$487)/60</f>
        <v>11.992183333333378</v>
      </c>
      <c r="D976" s="5">
        <f>'Raw Data'!J631</f>
        <v>4.0541</v>
      </c>
      <c r="E976" s="5">
        <f>$D$832-D976</f>
        <v>3.0743299999999998</v>
      </c>
      <c r="F976" s="8">
        <f>10^(-D976)</f>
        <v>8.8287658716530043E-5</v>
      </c>
      <c r="G976" s="5">
        <f>(D976-D975)/(C976-C975)</f>
        <v>-2.768860353127767E-2</v>
      </c>
      <c r="H976" s="5">
        <f>$D$9+$D$10*EXP(-$D$11*C976)</f>
        <v>4.0324850882746732</v>
      </c>
      <c r="I976" s="5">
        <f>D976-H976</f>
        <v>2.1614911725326813E-2</v>
      </c>
      <c r="J976" s="5">
        <f t="shared" si="21"/>
        <v>4.6720440889367053E-4</v>
      </c>
      <c r="K976" s="5">
        <f>$D$17+$D$16*C976</f>
        <v>4.3294035599738043</v>
      </c>
      <c r="L976" s="5">
        <f>(D976-K976)^2</f>
        <v>7.5792050134250055E-2</v>
      </c>
      <c r="M976" s="5">
        <f>$D$40+$D$41*EXP(-$D$42*C976)</f>
        <v>0</v>
      </c>
      <c r="N976" s="5">
        <f>(D976-M976)^2</f>
        <v>16.435726810000002</v>
      </c>
      <c r="O976" s="5">
        <f>(C976+C975)/2</f>
        <v>11.95065000000001</v>
      </c>
      <c r="P976" s="5" t="str">
        <f>IF(AND(D975&gt;6,D976&lt;=6),C975+(6-D975)*(C976-C975)/(D976-D975),"")</f>
        <v/>
      </c>
      <c r="Q976" s="5" t="str">
        <f>IF(AND(D975&gt;5,D976&lt;=5),C975+(5-D975)*(C976-C975)/(D976-D975),"")</f>
        <v/>
      </c>
      <c r="R976" s="5" t="str">
        <f>IF(AND(D975&gt;4,D976&lt;=4),C975+(4-D975)*(C976-C975)/(D976-D975),"")</f>
        <v/>
      </c>
      <c r="S976" s="5" t="str">
        <f>IF(AND(D975&gt;3,D976&lt;=3),C975+(3-D975)*(C976-C975)/(D976-D975),"")</f>
        <v/>
      </c>
    </row>
    <row r="977" spans="1:19" ht="20.100000000000001" customHeight="1">
      <c r="A977" t="s">
        <v>4</v>
      </c>
      <c r="B977">
        <v>632</v>
      </c>
      <c r="C977" s="5">
        <f>('Raw Data'!C632-'Raw Data'!$C$487)/60</f>
        <v>12.075516666666712</v>
      </c>
      <c r="D977" s="5">
        <f>'Raw Data'!J632</f>
        <v>4.0448700000000004</v>
      </c>
      <c r="E977" s="5">
        <f>$D$832-D977</f>
        <v>3.0835599999999994</v>
      </c>
      <c r="F977" s="8">
        <f>10^(-D977)</f>
        <v>9.0184105075533428E-5</v>
      </c>
      <c r="G977" s="5">
        <f>(D977-D976)/(C977-C976)</f>
        <v>-0.11075999999999474</v>
      </c>
      <c r="H977" s="5">
        <f>$D$9+$D$10*EXP(-$D$11*C977)</f>
        <v>4.0274317690048429</v>
      </c>
      <c r="I977" s="5">
        <f>D977-H977</f>
        <v>1.7438230995157511E-2</v>
      </c>
      <c r="J977" s="5">
        <f t="shared" si="21"/>
        <v>3.0409190024047211E-4</v>
      </c>
      <c r="K977" s="5">
        <f>$D$17+$D$16*C977</f>
        <v>4.317580298691853</v>
      </c>
      <c r="L977" s="5">
        <f>(D977-K977)^2</f>
        <v>7.4370907012599463E-2</v>
      </c>
      <c r="M977" s="5">
        <f>$D$40+$D$41*EXP(-$D$42*C977)</f>
        <v>0</v>
      </c>
      <c r="N977" s="5">
        <f>(D977-M977)^2</f>
        <v>16.360973316900004</v>
      </c>
      <c r="O977" s="5">
        <f>(C977+C976)/2</f>
        <v>12.033850000000044</v>
      </c>
      <c r="P977" s="5" t="str">
        <f>IF(AND(D976&gt;6,D977&lt;=6),C976+(6-D976)*(C977-C976)/(D977-D976),"")</f>
        <v/>
      </c>
      <c r="Q977" s="5" t="str">
        <f>IF(AND(D976&gt;5,D977&lt;=5),C976+(5-D976)*(C977-C976)/(D977-D976),"")</f>
        <v/>
      </c>
      <c r="R977" s="5" t="str">
        <f>IF(AND(D976&gt;4,D977&lt;=4),C976+(4-D976)*(C977-C976)/(D977-D976),"")</f>
        <v/>
      </c>
      <c r="S977" s="5" t="str">
        <f>IF(AND(D976&gt;3,D977&lt;=3),C976+(3-D976)*(C977-C976)/(D977-D976),"")</f>
        <v/>
      </c>
    </row>
    <row r="978" spans="1:19" ht="20.100000000000001" customHeight="1">
      <c r="A978" t="s">
        <v>4</v>
      </c>
      <c r="B978">
        <v>633</v>
      </c>
      <c r="C978" s="5">
        <f>('Raw Data'!C633-'Raw Data'!$C$487)/60</f>
        <v>12.158850000000045</v>
      </c>
      <c r="D978" s="5">
        <f>'Raw Data'!J633</f>
        <v>4.0402500000000003</v>
      </c>
      <c r="E978" s="5">
        <f>$D$832-D978</f>
        <v>3.0881799999999995</v>
      </c>
      <c r="F978" s="8">
        <f>10^(-D978)</f>
        <v>9.1148599479197256E-5</v>
      </c>
      <c r="G978" s="5">
        <f>(D978-D977)/(C978-C977)</f>
        <v>-5.5440000000000426E-2</v>
      </c>
      <c r="H978" s="5">
        <f>$D$9+$D$10*EXP(-$D$11*C978)</f>
        <v>4.0224676499160692</v>
      </c>
      <c r="I978" s="5">
        <f>D978-H978</f>
        <v>1.7782350083931142E-2</v>
      </c>
      <c r="J978" s="5">
        <f t="shared" si="21"/>
        <v>3.1621197450748588E-4</v>
      </c>
      <c r="K978" s="5">
        <f>$D$17+$D$16*C978</f>
        <v>4.3057570374099008</v>
      </c>
      <c r="L978" s="5">
        <f>(D978-K978)^2</f>
        <v>7.049398691418228E-2</v>
      </c>
      <c r="M978" s="5">
        <f>$D$40+$D$41*EXP(-$D$42*C978)</f>
        <v>0</v>
      </c>
      <c r="N978" s="5">
        <f>(D978-M978)^2</f>
        <v>16.323620062500002</v>
      </c>
      <c r="O978" s="5">
        <f>(C978+C977)/2</f>
        <v>12.117183333333379</v>
      </c>
      <c r="P978" s="5" t="str">
        <f>IF(AND(D977&gt;6,D978&lt;=6),C977+(6-D977)*(C978-C977)/(D978-D977),"")</f>
        <v/>
      </c>
      <c r="Q978" s="5" t="str">
        <f>IF(AND(D977&gt;5,D978&lt;=5),C977+(5-D977)*(C978-C977)/(D978-D977),"")</f>
        <v/>
      </c>
      <c r="R978" s="5" t="str">
        <f>IF(AND(D977&gt;4,D978&lt;=4),C977+(4-D977)*(C978-C977)/(D978-D977),"")</f>
        <v/>
      </c>
      <c r="S978" s="5" t="str">
        <f>IF(AND(D977&gt;3,D978&lt;=3),C977+(3-D977)*(C978-C977)/(D978-D977),"")</f>
        <v/>
      </c>
    </row>
    <row r="979" spans="1:19" ht="20.100000000000001" customHeight="1">
      <c r="A979" t="s">
        <v>4</v>
      </c>
      <c r="B979">
        <v>634</v>
      </c>
      <c r="C979" s="5">
        <f>('Raw Data'!C634-'Raw Data'!$C$487)/60</f>
        <v>12.241933333333387</v>
      </c>
      <c r="D979" s="5">
        <f>'Raw Data'!J634</f>
        <v>4.0367899999999999</v>
      </c>
      <c r="E979" s="5">
        <f>$D$832-D979</f>
        <v>3.0916399999999999</v>
      </c>
      <c r="F979" s="8">
        <f>10^(-D979)</f>
        <v>9.1877675703914603E-5</v>
      </c>
      <c r="G979" s="5">
        <f>(D979-D978)/(C979-C978)</f>
        <v>-4.1644934804414661E-2</v>
      </c>
      <c r="H979" s="5">
        <f>$D$9+$D$10*EXP(-$D$11*C979)</f>
        <v>4.0176056564474711</v>
      </c>
      <c r="I979" s="5">
        <f>D979-H979</f>
        <v>1.9184343552528738E-2</v>
      </c>
      <c r="J979" s="5">
        <f t="shared" si="21"/>
        <v>3.6803903754145092E-4</v>
      </c>
      <c r="K979" s="5">
        <f>$D$17+$D$16*C979</f>
        <v>4.2939692459117946</v>
      </c>
      <c r="L979" s="5">
        <f>(D979-K979)^2</f>
        <v>6.6141164527759394E-2</v>
      </c>
      <c r="M979" s="5">
        <f>$D$40+$D$41*EXP(-$D$42*C979)</f>
        <v>0</v>
      </c>
      <c r="N979" s="5">
        <f>(D979-M979)^2</f>
        <v>16.295673504099998</v>
      </c>
      <c r="O979" s="5">
        <f>(C979+C978)/2</f>
        <v>12.200391666666716</v>
      </c>
      <c r="P979" s="5" t="str">
        <f>IF(AND(D978&gt;6,D979&lt;=6),C978+(6-D978)*(C979-C978)/(D979-D978),"")</f>
        <v/>
      </c>
      <c r="Q979" s="5" t="str">
        <f>IF(AND(D978&gt;5,D979&lt;=5),C978+(5-D978)*(C979-C978)/(D979-D978),"")</f>
        <v/>
      </c>
      <c r="R979" s="5" t="str">
        <f>IF(AND(D978&gt;4,D979&lt;=4),C978+(4-D978)*(C979-C978)/(D979-D978),"")</f>
        <v/>
      </c>
      <c r="S979" s="5" t="str">
        <f>IF(AND(D978&gt;3,D979&lt;=3),C978+(3-D978)*(C979-C978)/(D979-D978),"")</f>
        <v/>
      </c>
    </row>
    <row r="980" spans="1:19" ht="20.100000000000001" customHeight="1">
      <c r="A980" t="s">
        <v>4</v>
      </c>
      <c r="B980">
        <v>635</v>
      </c>
      <c r="C980" s="5">
        <f>('Raw Data'!C635-'Raw Data'!$C$487)/60</f>
        <v>12.325266666666721</v>
      </c>
      <c r="D980" s="5">
        <f>'Raw Data'!J635</f>
        <v>4.0252499999999998</v>
      </c>
      <c r="E980" s="5">
        <f>$D$832-D980</f>
        <v>3.10318</v>
      </c>
      <c r="F980" s="8">
        <f>10^(-D980)</f>
        <v>9.4351758754684115E-5</v>
      </c>
      <c r="G980" s="5">
        <f>(D980-D979)/(C980-C979)</f>
        <v>-0.1384800000000003</v>
      </c>
      <c r="H980" s="5">
        <f>$D$9+$D$10*EXP(-$D$11*C980)</f>
        <v>4.0128149859322786</v>
      </c>
      <c r="I980" s="5">
        <f>D980-H980</f>
        <v>1.2435014067721184E-2</v>
      </c>
      <c r="J980" s="5">
        <f t="shared" si="21"/>
        <v>1.5462957486442374E-4</v>
      </c>
      <c r="K980" s="5">
        <f>$D$17+$D$16*C980</f>
        <v>4.2821459846298424</v>
      </c>
      <c r="L980" s="5">
        <f>(D980-K980)^2</f>
        <v>6.5995546918936346E-2</v>
      </c>
      <c r="M980" s="5">
        <f>$D$40+$D$41*EXP(-$D$42*C980)</f>
        <v>0</v>
      </c>
      <c r="N980" s="5">
        <f>(D980-M980)^2</f>
        <v>16.202637562499998</v>
      </c>
      <c r="O980" s="5">
        <f>(C980+C979)/2</f>
        <v>12.283600000000053</v>
      </c>
      <c r="P980" s="5" t="str">
        <f>IF(AND(D979&gt;6,D980&lt;=6),C979+(6-D979)*(C980-C979)/(D980-D979),"")</f>
        <v/>
      </c>
      <c r="Q980" s="5" t="str">
        <f>IF(AND(D979&gt;5,D980&lt;=5),C979+(5-D979)*(C980-C979)/(D980-D979),"")</f>
        <v/>
      </c>
      <c r="R980" s="5" t="str">
        <f>IF(AND(D979&gt;4,D980&lt;=4),C979+(4-D979)*(C980-C979)/(D980-D979),"")</f>
        <v/>
      </c>
      <c r="S980" s="5" t="str">
        <f>IF(AND(D979&gt;3,D980&lt;=3),C979+(3-D979)*(C980-C979)/(D980-D979),"")</f>
        <v/>
      </c>
    </row>
    <row r="981" spans="1:19" ht="20.100000000000001" customHeight="1">
      <c r="A981" t="s">
        <v>4</v>
      </c>
      <c r="B981">
        <v>636</v>
      </c>
      <c r="C981" s="5">
        <f>('Raw Data'!C636-'Raw Data'!$C$487)/60</f>
        <v>12.408600000000055</v>
      </c>
      <c r="D981" s="5">
        <f>'Raw Data'!J636</f>
        <v>4.0321800000000003</v>
      </c>
      <c r="E981" s="5">
        <f>$D$832-D981</f>
        <v>3.0962499999999995</v>
      </c>
      <c r="F981" s="8">
        <f>10^(-D981)</f>
        <v>9.285814422107948E-5</v>
      </c>
      <c r="G981" s="5">
        <f>(D981-D980)/(C981-C980)</f>
        <v>8.3160000000005965E-2</v>
      </c>
      <c r="H981" s="5">
        <f>$D$9+$D$10*EXP(-$D$11*C981)</f>
        <v>4.0081088793748574</v>
      </c>
      <c r="I981" s="5">
        <f>D981-H981</f>
        <v>2.4071120625142939E-2</v>
      </c>
      <c r="J981" s="5">
        <f t="shared" si="21"/>
        <v>5.7941884815018176E-4</v>
      </c>
      <c r="K981" s="5">
        <f>$D$17+$D$16*C981</f>
        <v>4.2703227233478911</v>
      </c>
      <c r="L981" s="5">
        <f>(D981-K981)^2</f>
        <v>5.6711956683550044E-2</v>
      </c>
      <c r="M981" s="5">
        <f>$D$40+$D$41*EXP(-$D$42*C981)</f>
        <v>0</v>
      </c>
      <c r="N981" s="5">
        <f>(D981-M981)^2</f>
        <v>16.258475552400004</v>
      </c>
      <c r="O981" s="5">
        <f>(C981+C980)/2</f>
        <v>12.366933333333389</v>
      </c>
      <c r="P981" s="5" t="str">
        <f>IF(AND(D980&gt;6,D981&lt;=6),C980+(6-D980)*(C981-C980)/(D981-D980),"")</f>
        <v/>
      </c>
      <c r="Q981" s="5" t="str">
        <f>IF(AND(D980&gt;5,D981&lt;=5),C980+(5-D980)*(C981-C980)/(D981-D980),"")</f>
        <v/>
      </c>
      <c r="R981" s="5" t="str">
        <f>IF(AND(D980&gt;4,D981&lt;=4),C980+(4-D980)*(C981-C980)/(D981-D980),"")</f>
        <v/>
      </c>
      <c r="S981" s="5" t="str">
        <f>IF(AND(D980&gt;3,D981&lt;=3),C980+(3-D980)*(C981-C980)/(D981-D980),"")</f>
        <v/>
      </c>
    </row>
    <row r="982" spans="1:19" ht="20.100000000000001" customHeight="1">
      <c r="A982" t="s">
        <v>4</v>
      </c>
      <c r="B982">
        <v>637</v>
      </c>
      <c r="C982" s="5">
        <f>('Raw Data'!C637-'Raw Data'!$C$487)/60</f>
        <v>12.491933333333387</v>
      </c>
      <c r="D982" s="5">
        <f>'Raw Data'!J637</f>
        <v>4.0275600000000003</v>
      </c>
      <c r="E982" s="5">
        <f>$D$832-D982</f>
        <v>3.1008699999999996</v>
      </c>
      <c r="F982" s="8">
        <f>10^(-D982)</f>
        <v>9.3851236743989613E-5</v>
      </c>
      <c r="G982" s="5">
        <f>(D982-D981)/(C982-C981)</f>
        <v>-5.5440000000001613E-2</v>
      </c>
      <c r="H982" s="5">
        <f>$D$9+$D$10*EXP(-$D$11*C982)</f>
        <v>4.0034858440691377</v>
      </c>
      <c r="I982" s="5">
        <f>D982-H982</f>
        <v>2.4074155930862595E-2</v>
      </c>
      <c r="J982" s="5">
        <f t="shared" si="21"/>
        <v>5.7956498378348672E-4</v>
      </c>
      <c r="K982" s="5">
        <f>$D$17+$D$16*C982</f>
        <v>4.2584994620659398</v>
      </c>
      <c r="L982" s="5">
        <f>(D982-K982)^2</f>
        <v>5.3333035139305519E-2</v>
      </c>
      <c r="M982" s="5">
        <f>$D$40+$D$41*EXP(-$D$42*C982)</f>
        <v>0</v>
      </c>
      <c r="N982" s="5">
        <f>(D982-M982)^2</f>
        <v>16.2212395536</v>
      </c>
      <c r="O982" s="5">
        <f>(C982+C981)/2</f>
        <v>12.450266666666721</v>
      </c>
      <c r="P982" s="5" t="str">
        <f>IF(AND(D981&gt;6,D982&lt;=6),C981+(6-D981)*(C982-C981)/(D982-D981),"")</f>
        <v/>
      </c>
      <c r="Q982" s="5" t="str">
        <f>IF(AND(D981&gt;5,D982&lt;=5),C981+(5-D981)*(C982-C981)/(D982-D981),"")</f>
        <v/>
      </c>
      <c r="R982" s="5" t="str">
        <f>IF(AND(D981&gt;4,D982&lt;=4),C981+(4-D981)*(C982-C981)/(D982-D981),"")</f>
        <v/>
      </c>
      <c r="S982" s="5" t="str">
        <f>IF(AND(D981&gt;3,D982&lt;=3),C981+(3-D981)*(C982-C981)/(D982-D981),"")</f>
        <v/>
      </c>
    </row>
    <row r="983" spans="1:19" ht="20.100000000000001" customHeight="1">
      <c r="A983" t="s">
        <v>4</v>
      </c>
      <c r="B983">
        <v>638</v>
      </c>
      <c r="C983" s="5">
        <f>('Raw Data'!C638-'Raw Data'!$C$487)/60</f>
        <v>12.574999999999999</v>
      </c>
      <c r="D983" s="5">
        <f>'Raw Data'!J638</f>
        <v>4.0125700000000002</v>
      </c>
      <c r="E983" s="5">
        <f>$D$832-D983</f>
        <v>3.1158599999999996</v>
      </c>
      <c r="F983" s="8">
        <f>10^(-D983)</f>
        <v>9.7147135627492727E-5</v>
      </c>
      <c r="G983" s="5">
        <f>(D983-D982)/(C983-C982)</f>
        <v>-0.18045746388454917</v>
      </c>
      <c r="H983" s="5">
        <f>$D$9+$D$10*EXP(-$D$11*C983)</f>
        <v>3.99895881762126</v>
      </c>
      <c r="I983" s="5">
        <f>D983-H983</f>
        <v>1.361118237874015E-2</v>
      </c>
      <c r="J983" s="5">
        <f t="shared" si="21"/>
        <v>1.8526428574732636E-4</v>
      </c>
      <c r="K983" s="5">
        <f>$D$17+$D$16*C983</f>
        <v>4.2467140352200978</v>
      </c>
      <c r="L983" s="5">
        <f>(D983-K983)^2</f>
        <v>5.4823429229150324E-2</v>
      </c>
      <c r="M983" s="5">
        <f>$D$40+$D$41*EXP(-$D$42*C983)</f>
        <v>0</v>
      </c>
      <c r="N983" s="5">
        <f>(D983-M983)^2</f>
        <v>16.100718004900003</v>
      </c>
      <c r="O983" s="5">
        <f>(C983+C982)/2</f>
        <v>12.533466666666694</v>
      </c>
      <c r="P983" s="5" t="str">
        <f>IF(AND(D982&gt;6,D983&lt;=6),C982+(6-D982)*(C983-C982)/(D983-D982),"")</f>
        <v/>
      </c>
      <c r="Q983" s="5" t="str">
        <f>IF(AND(D982&gt;5,D983&lt;=5),C982+(5-D982)*(C983-C982)/(D983-D982),"")</f>
        <v/>
      </c>
      <c r="R983" s="5" t="str">
        <f>IF(AND(D982&gt;4,D983&lt;=4),C982+(4-D982)*(C983-C982)/(D983-D982),"")</f>
        <v/>
      </c>
      <c r="S983" s="5" t="str">
        <f>IF(AND(D982&gt;3,D983&lt;=3),C982+(3-D982)*(C983-C982)/(D983-D982),"")</f>
        <v/>
      </c>
    </row>
    <row r="984" spans="1:19" ht="20.100000000000001" customHeight="1">
      <c r="A984" t="s">
        <v>4</v>
      </c>
      <c r="B984">
        <v>639</v>
      </c>
      <c r="C984" s="5">
        <f>('Raw Data'!C639-'Raw Data'!$C$487)/60</f>
        <v>12.658600000000055</v>
      </c>
      <c r="D984" s="5">
        <f>'Raw Data'!J639</f>
        <v>4.0206400000000002</v>
      </c>
      <c r="E984" s="5">
        <f>$D$832-D984</f>
        <v>3.1077899999999996</v>
      </c>
      <c r="F984" s="8">
        <f>10^(-D984)</f>
        <v>9.5358629338744398E-5</v>
      </c>
      <c r="G984" s="5">
        <f>(D984-D983)/(C984-C983)</f>
        <v>9.6531100478404921E-2</v>
      </c>
      <c r="H984" s="5">
        <f>$D$9+$D$10*EXP(-$D$11*C984)</f>
        <v>3.9944831476681668</v>
      </c>
      <c r="I984" s="5">
        <f>D984-H984</f>
        <v>2.6156852331833402E-2</v>
      </c>
      <c r="J984" s="5">
        <f t="shared" si="21"/>
        <v>6.8418092390933852E-4</v>
      </c>
      <c r="K984" s="5">
        <f>$D$17+$D$16*C984</f>
        <v>4.2348529395020362</v>
      </c>
      <c r="L984" s="5">
        <f>(D984-K984)^2</f>
        <v>4.5887183450102939E-2</v>
      </c>
      <c r="M984" s="5">
        <f>$D$40+$D$41*EXP(-$D$42*C984)</f>
        <v>0</v>
      </c>
      <c r="N984" s="5">
        <f>(D984-M984)^2</f>
        <v>16.165546009600003</v>
      </c>
      <c r="O984" s="5">
        <f>(C984+C983)/2</f>
        <v>12.616800000000026</v>
      </c>
      <c r="P984" s="5" t="str">
        <f>IF(AND(D983&gt;6,D984&lt;=6),C983+(6-D983)*(C984-C983)/(D984-D983),"")</f>
        <v/>
      </c>
      <c r="Q984" s="5" t="str">
        <f>IF(AND(D983&gt;5,D984&lt;=5),C983+(5-D983)*(C984-C983)/(D984-D983),"")</f>
        <v/>
      </c>
      <c r="R984" s="5" t="str">
        <f>IF(AND(D983&gt;4,D984&lt;=4),C983+(4-D983)*(C984-C983)/(D984-D983),"")</f>
        <v/>
      </c>
      <c r="S984" s="5" t="str">
        <f>IF(AND(D983&gt;3,D984&lt;=3),C983+(3-D983)*(C984-C983)/(D984-D983),"")</f>
        <v/>
      </c>
    </row>
    <row r="985" spans="1:19" ht="20.100000000000001" customHeight="1">
      <c r="A985" t="s">
        <v>4</v>
      </c>
      <c r="B985">
        <v>640</v>
      </c>
      <c r="C985" s="5">
        <f>('Raw Data'!C640-'Raw Data'!$C$487)/60</f>
        <v>12.741666666666667</v>
      </c>
      <c r="D985" s="5">
        <f>'Raw Data'!J640</f>
        <v>4.0206400000000002</v>
      </c>
      <c r="E985" s="5">
        <f>$D$832-D985</f>
        <v>3.1077899999999996</v>
      </c>
      <c r="F985" s="8">
        <f>10^(-D985)</f>
        <v>9.5358629338744398E-5</v>
      </c>
      <c r="G985" s="5">
        <f>(D985-D984)/(C985-C984)</f>
        <v>0</v>
      </c>
      <c r="H985" s="5">
        <f>$D$9+$D$10*EXP(-$D$11*C985)</f>
        <v>3.9901145309928818</v>
      </c>
      <c r="I985" s="5">
        <f>D985-H985</f>
        <v>3.0525469007118389E-2</v>
      </c>
      <c r="J985" s="5">
        <f t="shared" si="21"/>
        <v>9.3180425810454528E-4</v>
      </c>
      <c r="K985" s="5">
        <f>$D$17+$D$16*C985</f>
        <v>4.2230675126561952</v>
      </c>
      <c r="L985" s="5">
        <f>(D985-K985)^2</f>
        <v>4.0976897880173974E-2</v>
      </c>
      <c r="M985" s="5">
        <f>$D$40+$D$41*EXP(-$D$42*C985)</f>
        <v>0</v>
      </c>
      <c r="N985" s="5">
        <f>(D985-M985)^2</f>
        <v>16.165546009600003</v>
      </c>
      <c r="O985" s="5">
        <f>(C985+C984)/2</f>
        <v>12.700133333333362</v>
      </c>
      <c r="P985" s="5" t="str">
        <f>IF(AND(D984&gt;6,D985&lt;=6),C984+(6-D984)*(C985-C984)/(D985-D984),"")</f>
        <v/>
      </c>
      <c r="Q985" s="5" t="str">
        <f>IF(AND(D984&gt;5,D985&lt;=5),C984+(5-D984)*(C985-C984)/(D985-D984),"")</f>
        <v/>
      </c>
      <c r="R985" s="5" t="str">
        <f>IF(AND(D984&gt;4,D985&lt;=4),C984+(4-D984)*(C985-C984)/(D985-D984),"")</f>
        <v/>
      </c>
      <c r="S985" s="5" t="str">
        <f>IF(AND(D984&gt;3,D985&lt;=3),C984+(3-D984)*(C985-C984)/(D985-D984),"")</f>
        <v/>
      </c>
    </row>
    <row r="986" spans="1:19" ht="20.100000000000001" customHeight="1">
      <c r="A986" t="s">
        <v>4</v>
      </c>
      <c r="B986">
        <v>641</v>
      </c>
      <c r="C986" s="5">
        <f>('Raw Data'!C641-'Raw Data'!$C$487)/60</f>
        <v>12.824999999999999</v>
      </c>
      <c r="D986" s="5">
        <f>'Raw Data'!J641</f>
        <v>4.0148700000000002</v>
      </c>
      <c r="E986" s="5">
        <f>$D$832-D986</f>
        <v>3.1135599999999997</v>
      </c>
      <c r="F986" s="8">
        <f>10^(-D986)</f>
        <v>9.6634009614010851E-5</v>
      </c>
      <c r="G986" s="5">
        <f>(D986-D985)/(C986-C985)</f>
        <v>-6.924000000000162E-2</v>
      </c>
      <c r="H986" s="5">
        <f>$D$9+$D$10*EXP(-$D$11*C986)</f>
        <v>3.9858091283258235</v>
      </c>
      <c r="I986" s="5">
        <f>D986-H986</f>
        <v>2.9060871674176703E-2</v>
      </c>
      <c r="J986" s="5">
        <f t="shared" si="21"/>
        <v>8.4453426246296583E-4</v>
      </c>
      <c r="K986" s="5">
        <f>$D$17+$D$16*C986</f>
        <v>4.211244251374243</v>
      </c>
      <c r="L986" s="5">
        <f>(D986-K986)^2</f>
        <v>3.8562846602794298E-2</v>
      </c>
      <c r="M986" s="5">
        <f>$D$40+$D$41*EXP(-$D$42*C986)</f>
        <v>0</v>
      </c>
      <c r="N986" s="5">
        <f>(D986-M986)^2</f>
        <v>16.119181116900002</v>
      </c>
      <c r="O986" s="5">
        <f>(C986+C985)/2</f>
        <v>12.783333333333333</v>
      </c>
      <c r="P986" s="5" t="str">
        <f>IF(AND(D985&gt;6,D986&lt;=6),C985+(6-D985)*(C986-C985)/(D986-D985),"")</f>
        <v/>
      </c>
      <c r="Q986" s="5" t="str">
        <f>IF(AND(D985&gt;5,D986&lt;=5),C985+(5-D985)*(C986-C985)/(D986-D985),"")</f>
        <v/>
      </c>
      <c r="R986" s="5" t="str">
        <f>IF(AND(D985&gt;4,D986&lt;=4),C985+(4-D985)*(C986-C985)/(D986-D985),"")</f>
        <v/>
      </c>
      <c r="S986" s="5" t="str">
        <f>IF(AND(D985&gt;3,D986&lt;=3),C985+(3-D985)*(C986-C985)/(D986-D985),"")</f>
        <v/>
      </c>
    </row>
    <row r="987" spans="1:19" ht="20.100000000000001" customHeight="1">
      <c r="A987" t="s">
        <v>4</v>
      </c>
      <c r="B987">
        <v>642</v>
      </c>
      <c r="C987" s="5">
        <f>('Raw Data'!C642-'Raw Data'!$C$487)/60</f>
        <v>12.908066666666734</v>
      </c>
      <c r="D987" s="5">
        <f>'Raw Data'!J642</f>
        <v>4.0056399999999996</v>
      </c>
      <c r="E987" s="5">
        <f>$D$832-D987</f>
        <v>3.1227900000000002</v>
      </c>
      <c r="F987" s="8">
        <f>10^(-D987)</f>
        <v>9.8709738185280487E-5</v>
      </c>
      <c r="G987" s="5">
        <f>(D987-D986)/(C987-C986)</f>
        <v>-0.11111556982335007</v>
      </c>
      <c r="H987" s="5">
        <f>$D$9+$D$10*EXP(-$D$11*C987)</f>
        <v>3.9815931380826917</v>
      </c>
      <c r="I987" s="5">
        <f>D987-H987</f>
        <v>2.4046861917307982E-2</v>
      </c>
      <c r="J987" s="5">
        <f t="shared" ref="J987:J1050" si="22">I987^2</f>
        <v>5.7825156807007688E-4</v>
      </c>
      <c r="K987" s="5">
        <f>$D$17+$D$16*C987</f>
        <v>4.1994588245283841</v>
      </c>
      <c r="L987" s="5">
        <f>(D987-K987)^2</f>
        <v>3.7565736741564701E-2</v>
      </c>
      <c r="M987" s="5">
        <f>$D$40+$D$41*EXP(-$D$42*C987)</f>
        <v>0</v>
      </c>
      <c r="N987" s="5">
        <f>(D987-M987)^2</f>
        <v>16.045151809599997</v>
      </c>
      <c r="O987" s="5">
        <f>(C987+C986)/2</f>
        <v>12.866533333333367</v>
      </c>
      <c r="P987" s="5" t="str">
        <f>IF(AND(D986&gt;6,D987&lt;=6),C986+(6-D986)*(C987-C986)/(D987-D986),"")</f>
        <v/>
      </c>
      <c r="Q987" s="5" t="str">
        <f>IF(AND(D986&gt;5,D987&lt;=5),C986+(5-D986)*(C987-C986)/(D987-D986),"")</f>
        <v/>
      </c>
      <c r="R987" s="5" t="str">
        <f>IF(AND(D986&gt;4,D987&lt;=4),C986+(4-D986)*(C987-C986)/(D987-D986),"")</f>
        <v/>
      </c>
      <c r="S987" s="5" t="str">
        <f>IF(AND(D986&gt;3,D987&lt;=3),C986+(3-D986)*(C987-C986)/(D987-D986),"")</f>
        <v/>
      </c>
    </row>
    <row r="988" spans="1:19" ht="20.100000000000001" customHeight="1">
      <c r="A988" t="s">
        <v>4</v>
      </c>
      <c r="B988">
        <v>643</v>
      </c>
      <c r="C988" s="5">
        <f>('Raw Data'!C643-'Raw Data'!$C$487)/60</f>
        <v>12.991666666666667</v>
      </c>
      <c r="D988" s="5">
        <f>'Raw Data'!J643</f>
        <v>4.0033399999999997</v>
      </c>
      <c r="E988" s="5">
        <f>$D$832-D988</f>
        <v>3.1250900000000001</v>
      </c>
      <c r="F988" s="8">
        <f>10^(-D988)</f>
        <v>9.923388630506946E-5</v>
      </c>
      <c r="G988" s="5">
        <f>(D988-D987)/(C988-C987)</f>
        <v>-2.7511961722509692E-2</v>
      </c>
      <c r="H988" s="5">
        <f>$D$9+$D$10*EXP(-$D$11*C988)</f>
        <v>3.9774249758086428</v>
      </c>
      <c r="I988" s="5">
        <f>D988-H988</f>
        <v>2.5915024191356828E-2</v>
      </c>
      <c r="J988" s="5">
        <f t="shared" si="22"/>
        <v>6.7158847883860959E-4</v>
      </c>
      <c r="K988" s="5">
        <f>$D$17+$D$16*C988</f>
        <v>4.1875977288103403</v>
      </c>
      <c r="L988" s="5">
        <f>(D988-K988)^2</f>
        <v>3.3950910626345032E-2</v>
      </c>
      <c r="M988" s="5">
        <f>$D$40+$D$41*EXP(-$D$42*C988)</f>
        <v>0</v>
      </c>
      <c r="N988" s="5">
        <f>(D988-M988)^2</f>
        <v>16.026731155599997</v>
      </c>
      <c r="O988" s="5">
        <f>(C988+C987)/2</f>
        <v>12.949866666666701</v>
      </c>
      <c r="P988" s="5" t="str">
        <f>IF(AND(D987&gt;6,D988&lt;=6),C987+(6-D987)*(C988-C987)/(D988-D987),"")</f>
        <v/>
      </c>
      <c r="Q988" s="5" t="str">
        <f>IF(AND(D987&gt;5,D988&lt;=5),C987+(5-D987)*(C988-C987)/(D988-D987),"")</f>
        <v/>
      </c>
      <c r="R988" s="5" t="str">
        <f>IF(AND(D987&gt;4,D988&lt;=4),C987+(4-D987)*(C988-C987)/(D988-D987),"")</f>
        <v/>
      </c>
      <c r="S988" s="5" t="str">
        <f>IF(AND(D987&gt;3,D988&lt;=3),C987+(3-D987)*(C988-C987)/(D988-D987),"")</f>
        <v/>
      </c>
    </row>
    <row r="989" spans="1:19" ht="20.100000000000001" customHeight="1">
      <c r="A989" t="s">
        <v>4</v>
      </c>
      <c r="B989">
        <v>644</v>
      </c>
      <c r="C989" s="5">
        <f>('Raw Data'!C644-'Raw Data'!$C$487)/60</f>
        <v>13.0747333333334</v>
      </c>
      <c r="D989" s="5">
        <f>'Raw Data'!J644</f>
        <v>3.9998800000000001</v>
      </c>
      <c r="E989" s="5">
        <f>$D$832-D989</f>
        <v>3.1285499999999997</v>
      </c>
      <c r="F989" s="8">
        <f>10^(-D989)</f>
        <v>1.000276348388341E-4</v>
      </c>
      <c r="G989" s="5">
        <f>(D989-D988)/(C989-C988)</f>
        <v>-4.1653290529656634E-2</v>
      </c>
      <c r="H989" s="5">
        <f>$D$9+$D$10*EXP(-$D$11*C989)</f>
        <v>3.9733565115548903</v>
      </c>
      <c r="I989" s="5">
        <f>D989-H989</f>
        <v>2.6523488445109766E-2</v>
      </c>
      <c r="J989" s="5">
        <f t="shared" si="22"/>
        <v>7.0349543929787125E-4</v>
      </c>
      <c r="K989" s="5">
        <f>$D$17+$D$16*C989</f>
        <v>4.1758123019644806</v>
      </c>
      <c r="L989" s="5">
        <f>(D989-K989)^2</f>
        <v>3.0952174874521152E-2</v>
      </c>
      <c r="M989" s="5">
        <f>$D$40+$D$41*EXP(-$D$42*C989)</f>
        <v>0</v>
      </c>
      <c r="N989" s="5">
        <f>(D989-M989)^2</f>
        <v>15.9990400144</v>
      </c>
      <c r="O989" s="5">
        <f>(C989+C988)/2</f>
        <v>13.033200000000033</v>
      </c>
      <c r="P989" s="5" t="str">
        <f>IF(AND(D988&gt;6,D989&lt;=6),C988+(6-D988)*(C989-C988)/(D989-D988),"")</f>
        <v/>
      </c>
      <c r="Q989" s="5" t="str">
        <f>IF(AND(D988&gt;5,D989&lt;=5),C988+(5-D988)*(C989-C988)/(D989-D988),"")</f>
        <v/>
      </c>
      <c r="R989" s="5">
        <f>IF(AND(D988&gt;4,D989&lt;=4),C988+(4-D988)*(C989-C988)/(D989-D988),"")</f>
        <v>13.071852408477909</v>
      </c>
      <c r="S989" s="5" t="str">
        <f>IF(AND(D988&gt;3,D989&lt;=3),C988+(3-D988)*(C989-C988)/(D989-D988),"")</f>
        <v/>
      </c>
    </row>
    <row r="990" spans="1:19" ht="20.100000000000001" customHeight="1">
      <c r="A990" t="s">
        <v>4</v>
      </c>
      <c r="B990">
        <v>645</v>
      </c>
      <c r="C990" s="5">
        <f>('Raw Data'!C645-'Raw Data'!$C$487)/60</f>
        <v>13.158066666666734</v>
      </c>
      <c r="D990" s="5">
        <f>'Raw Data'!J645</f>
        <v>4.0010300000000001</v>
      </c>
      <c r="E990" s="5">
        <f>$D$832-D990</f>
        <v>3.1273999999999997</v>
      </c>
      <c r="F990" s="8">
        <f>10^(-D990)</f>
        <v>9.976311475240376E-5</v>
      </c>
      <c r="G990" s="5">
        <f>(D990-D989)/(C990-C989)</f>
        <v>1.3799999999999714E-2</v>
      </c>
      <c r="H990" s="5">
        <f>$D$9+$D$10*EXP(-$D$11*C990)</f>
        <v>3.9693469180952463</v>
      </c>
      <c r="I990" s="5">
        <f>D990-H990</f>
        <v>3.1683081904753774E-2</v>
      </c>
      <c r="J990" s="5">
        <f t="shared" si="22"/>
        <v>1.0038176789833361E-3</v>
      </c>
      <c r="K990" s="5">
        <f>$D$17+$D$16*C990</f>
        <v>4.1639890406825293</v>
      </c>
      <c r="L990" s="5">
        <f>(D990-K990)^2</f>
        <v>2.6555648940170207E-2</v>
      </c>
      <c r="M990" s="5">
        <f>$D$40+$D$41*EXP(-$D$42*C990)</f>
        <v>0</v>
      </c>
      <c r="N990" s="5">
        <f>(D990-M990)^2</f>
        <v>16.008241060900001</v>
      </c>
      <c r="O990" s="5">
        <f>(C990+C989)/2</f>
        <v>13.116400000000066</v>
      </c>
      <c r="P990" s="5" t="str">
        <f>IF(AND(D989&gt;6,D990&lt;=6),C989+(6-D989)*(C990-C989)/(D990-D989),"")</f>
        <v/>
      </c>
      <c r="Q990" s="5" t="str">
        <f>IF(AND(D989&gt;5,D990&lt;=5),C989+(5-D989)*(C990-C989)/(D990-D989),"")</f>
        <v/>
      </c>
      <c r="R990" s="5" t="str">
        <f>IF(AND(D989&gt;4,D990&lt;=4),C989+(4-D989)*(C990-C989)/(D990-D989),"")</f>
        <v/>
      </c>
      <c r="S990" s="5" t="str">
        <f>IF(AND(D989&gt;3,D990&lt;=3),C989+(3-D989)*(C990-C989)/(D990-D989),"")</f>
        <v/>
      </c>
    </row>
    <row r="991" spans="1:19" ht="20.100000000000001" customHeight="1">
      <c r="A991" t="s">
        <v>4</v>
      </c>
      <c r="B991">
        <v>646</v>
      </c>
      <c r="C991" s="5">
        <f>('Raw Data'!C646-'Raw Data'!$C$487)/60</f>
        <v>13.241400000000066</v>
      </c>
      <c r="D991" s="5">
        <f>'Raw Data'!J646</f>
        <v>3.99411</v>
      </c>
      <c r="E991" s="5">
        <f>$D$832-D991</f>
        <v>3.1343199999999998</v>
      </c>
      <c r="F991" s="8">
        <f>10^(-D991)</f>
        <v>1.0136546103599789E-4</v>
      </c>
      <c r="G991" s="5">
        <f>(D991-D990)/(C991-C990)</f>
        <v>-8.3040000000001626E-2</v>
      </c>
      <c r="H991" s="5">
        <f>$D$9+$D$10*EXP(-$D$11*C991)</f>
        <v>3.9654081011774096</v>
      </c>
      <c r="I991" s="5">
        <f>D991-H991</f>
        <v>2.8701898822590444E-2</v>
      </c>
      <c r="J991" s="5">
        <f t="shared" si="22"/>
        <v>8.2379899602221874E-4</v>
      </c>
      <c r="K991" s="5">
        <f>$D$17+$D$16*C991</f>
        <v>4.152165779400578</v>
      </c>
      <c r="L991" s="5">
        <f>(D991-K991)^2</f>
        <v>2.4981629401924148E-2</v>
      </c>
      <c r="M991" s="5">
        <f>$D$40+$D$41*EXP(-$D$42*C991)</f>
        <v>0</v>
      </c>
      <c r="N991" s="5">
        <f>(D991-M991)^2</f>
        <v>15.9529146921</v>
      </c>
      <c r="O991" s="5">
        <f>(C991+C990)/2</f>
        <v>13.1997333333334</v>
      </c>
      <c r="P991" s="5" t="str">
        <f>IF(AND(D990&gt;6,D991&lt;=6),C990+(6-D990)*(C991-C990)/(D991-D990),"")</f>
        <v/>
      </c>
      <c r="Q991" s="5" t="str">
        <f>IF(AND(D990&gt;5,D991&lt;=5),C990+(5-D990)*(C991-C990)/(D991-D990),"")</f>
        <v/>
      </c>
      <c r="R991" s="5">
        <f>IF(AND(D990&gt;4,D991&lt;=4),C990+(4-D990)*(C991-C990)/(D991-D990),"")</f>
        <v>13.170470327553055</v>
      </c>
      <c r="S991" s="5" t="str">
        <f>IF(AND(D990&gt;3,D991&lt;=3),C990+(3-D990)*(C991-C990)/(D991-D990),"")</f>
        <v/>
      </c>
    </row>
    <row r="992" spans="1:19" ht="20.100000000000001" customHeight="1">
      <c r="A992" t="s">
        <v>4</v>
      </c>
      <c r="B992">
        <v>647</v>
      </c>
      <c r="C992" s="5">
        <f>('Raw Data'!C647-'Raw Data'!$C$487)/60</f>
        <v>13.3247333333334</v>
      </c>
      <c r="D992" s="5">
        <f>'Raw Data'!J647</f>
        <v>3.98834</v>
      </c>
      <c r="E992" s="5">
        <f>$D$832-D992</f>
        <v>3.1400899999999998</v>
      </c>
      <c r="F992" s="8">
        <f>10^(-D992)</f>
        <v>1.0272118007784106E-4</v>
      </c>
      <c r="G992" s="5">
        <f>(D992-D991)/(C992-C991)</f>
        <v>-6.9240000000000149E-2</v>
      </c>
      <c r="H992" s="5">
        <f>$D$9+$D$10*EXP(-$D$11*C992)</f>
        <v>3.961538811468019</v>
      </c>
      <c r="I992" s="5">
        <f>D992-H992</f>
        <v>2.6801188531980991E-2</v>
      </c>
      <c r="J992" s="5">
        <f t="shared" si="22"/>
        <v>7.1830370672678939E-4</v>
      </c>
      <c r="K992" s="5">
        <f>$D$17+$D$16*C992</f>
        <v>4.1403425181186266</v>
      </c>
      <c r="L992" s="5">
        <f>(D992-K992)^2</f>
        <v>2.3104765514403418E-2</v>
      </c>
      <c r="M992" s="5">
        <f>$D$40+$D$41*EXP(-$D$42*C992)</f>
        <v>0</v>
      </c>
      <c r="N992" s="5">
        <f>(D992-M992)^2</f>
        <v>15.906855955599999</v>
      </c>
      <c r="O992" s="5">
        <f>(C992+C991)/2</f>
        <v>13.283066666666734</v>
      </c>
      <c r="P992" s="5" t="str">
        <f>IF(AND(D991&gt;6,D992&lt;=6),C991+(6-D991)*(C992-C991)/(D992-D991),"")</f>
        <v/>
      </c>
      <c r="Q992" s="5" t="str">
        <f>IF(AND(D991&gt;5,D992&lt;=5),C991+(5-D991)*(C992-C991)/(D992-D991),"")</f>
        <v/>
      </c>
      <c r="R992" s="5" t="str">
        <f>IF(AND(D991&gt;4,D992&lt;=4),C991+(4-D991)*(C992-C991)/(D992-D991),"")</f>
        <v/>
      </c>
      <c r="S992" s="5" t="str">
        <f>IF(AND(D991&gt;3,D992&lt;=3),C991+(3-D991)*(C992-C991)/(D992-D991),"")</f>
        <v/>
      </c>
    </row>
    <row r="993" spans="1:19" ht="20.100000000000001" customHeight="1">
      <c r="A993" t="s">
        <v>4</v>
      </c>
      <c r="B993">
        <v>648</v>
      </c>
      <c r="C993" s="5">
        <f>('Raw Data'!C648-'Raw Data'!$C$487)/60</f>
        <v>13.407816666666744</v>
      </c>
      <c r="D993" s="5">
        <f>'Raw Data'!J648</f>
        <v>3.98142</v>
      </c>
      <c r="E993" s="5">
        <f>$D$832-D993</f>
        <v>3.1470099999999999</v>
      </c>
      <c r="F993" s="8">
        <f>10^(-D993)</f>
        <v>1.0437103735778515E-4</v>
      </c>
      <c r="G993" s="5">
        <f>(D993-D992)/(C993-C992)</f>
        <v>-8.3289869608816847E-2</v>
      </c>
      <c r="H993" s="5">
        <f>$D$9+$D$10*EXP(-$D$11*C993)</f>
        <v>3.9577491237190454</v>
      </c>
      <c r="I993" s="5">
        <f>D993-H993</f>
        <v>2.3670876280954545E-2</v>
      </c>
      <c r="J993" s="5">
        <f t="shared" si="22"/>
        <v>5.6031038390825648E-4</v>
      </c>
      <c r="K993" s="5">
        <f>$D$17+$D$16*C993</f>
        <v>4.1285547266205196</v>
      </c>
      <c r="L993" s="5">
        <f>(D993-K993)^2</f>
        <v>2.1648627777695047E-2</v>
      </c>
      <c r="M993" s="5">
        <f>$D$40+$D$41*EXP(-$D$42*C993)</f>
        <v>0</v>
      </c>
      <c r="N993" s="5">
        <f>(D993-M993)^2</f>
        <v>15.851705216399999</v>
      </c>
      <c r="O993" s="5">
        <f>(C993+C992)/2</f>
        <v>13.366275000000073</v>
      </c>
      <c r="P993" s="5" t="str">
        <f>IF(AND(D992&gt;6,D993&lt;=6),C992+(6-D992)*(C993-C992)/(D993-D992),"")</f>
        <v/>
      </c>
      <c r="Q993" s="5" t="str">
        <f>IF(AND(D992&gt;5,D993&lt;=5),C992+(5-D992)*(C993-C992)/(D993-D992),"")</f>
        <v/>
      </c>
      <c r="R993" s="5" t="str">
        <f>IF(AND(D992&gt;4,D993&lt;=4),C992+(4-D992)*(C993-C992)/(D993-D992),"")</f>
        <v/>
      </c>
      <c r="S993" s="5" t="str">
        <f>IF(AND(D992&gt;3,D993&lt;=3),C992+(3-D992)*(C993-C992)/(D993-D992),"")</f>
        <v/>
      </c>
    </row>
    <row r="994" spans="1:19" ht="20.100000000000001" customHeight="1">
      <c r="A994" t="s">
        <v>4</v>
      </c>
      <c r="B994">
        <v>649</v>
      </c>
      <c r="C994" s="5">
        <f>('Raw Data'!C649-'Raw Data'!$C$487)/60</f>
        <v>13.491150000000077</v>
      </c>
      <c r="D994" s="5">
        <f>'Raw Data'!J649</f>
        <v>3.9791099999999999</v>
      </c>
      <c r="E994" s="5">
        <f>$D$832-D994</f>
        <v>3.1493199999999999</v>
      </c>
      <c r="F994" s="8">
        <f>10^(-D994)</f>
        <v>1.0492766296325345E-4</v>
      </c>
      <c r="G994" s="5">
        <f>(D994-D993)/(C994-C993)</f>
        <v>-2.7720000000000213E-2</v>
      </c>
      <c r="H994" s="5">
        <f>$D$9+$D$10*EXP(-$D$11*C994)</f>
        <v>3.9540150287479081</v>
      </c>
      <c r="I994" s="5">
        <f>D994-H994</f>
        <v>2.5094971252091813E-2</v>
      </c>
      <c r="J994" s="5">
        <f t="shared" si="22"/>
        <v>6.2975758214331456E-4</v>
      </c>
      <c r="K994" s="5">
        <f>$D$17+$D$16*C994</f>
        <v>4.1167314653385674</v>
      </c>
      <c r="L994" s="5">
        <f>(D994-K994)^2</f>
        <v>1.8939667721934523E-2</v>
      </c>
      <c r="M994" s="5">
        <f>$D$40+$D$41*EXP(-$D$42*C994)</f>
        <v>0</v>
      </c>
      <c r="N994" s="5">
        <f>(D994-M994)^2</f>
        <v>15.833316392099999</v>
      </c>
      <c r="O994" s="5">
        <f>(C994+C993)/2</f>
        <v>13.449483333333411</v>
      </c>
      <c r="P994" s="5" t="str">
        <f>IF(AND(D993&gt;6,D994&lt;=6),C993+(6-D993)*(C994-C993)/(D994-D993),"")</f>
        <v/>
      </c>
      <c r="Q994" s="5" t="str">
        <f>IF(AND(D993&gt;5,D994&lt;=5),C993+(5-D993)*(C994-C993)/(D994-D993),"")</f>
        <v/>
      </c>
      <c r="R994" s="5" t="str">
        <f>IF(AND(D993&gt;4,D994&lt;=4),C993+(4-D993)*(C994-C993)/(D994-D993),"")</f>
        <v/>
      </c>
      <c r="S994" s="5" t="str">
        <f>IF(AND(D993&gt;3,D994&lt;=3),C993+(3-D993)*(C994-C993)/(D994-D993),"")</f>
        <v/>
      </c>
    </row>
    <row r="995" spans="1:19" ht="20.100000000000001" customHeight="1">
      <c r="A995" t="s">
        <v>4</v>
      </c>
      <c r="B995">
        <v>650</v>
      </c>
      <c r="C995" s="5">
        <f>('Raw Data'!C650-'Raw Data'!$C$487)/60</f>
        <v>13.57448333333341</v>
      </c>
      <c r="D995" s="5">
        <f>'Raw Data'!J650</f>
        <v>3.9791099999999999</v>
      </c>
      <c r="E995" s="5">
        <f>$D$832-D995</f>
        <v>3.1493199999999999</v>
      </c>
      <c r="F995" s="8">
        <f>10^(-D995)</f>
        <v>1.0492766296325345E-4</v>
      </c>
      <c r="G995" s="5">
        <f>(D995-D994)/(C995-C994)</f>
        <v>0</v>
      </c>
      <c r="H995" s="5">
        <f>$D$9+$D$10*EXP(-$D$11*C995)</f>
        <v>3.9503468472743601</v>
      </c>
      <c r="I995" s="5">
        <f>D995-H995</f>
        <v>2.8763152725639785E-2</v>
      </c>
      <c r="J995" s="5">
        <f t="shared" si="22"/>
        <v>8.2731895471847936E-4</v>
      </c>
      <c r="K995" s="5">
        <f>$D$17+$D$16*C995</f>
        <v>4.1049082040566161</v>
      </c>
      <c r="L995" s="5">
        <f>(D995-K995)^2</f>
        <v>1.5825188143870031E-2</v>
      </c>
      <c r="M995" s="5">
        <f>$D$40+$D$41*EXP(-$D$42*C995)</f>
        <v>0</v>
      </c>
      <c r="N995" s="5">
        <f>(D995-M995)^2</f>
        <v>15.833316392099999</v>
      </c>
      <c r="O995" s="5">
        <f>(C995+C994)/2</f>
        <v>13.532816666666744</v>
      </c>
      <c r="P995" s="5" t="str">
        <f>IF(AND(D994&gt;6,D995&lt;=6),C994+(6-D994)*(C995-C994)/(D995-D994),"")</f>
        <v/>
      </c>
      <c r="Q995" s="5" t="str">
        <f>IF(AND(D994&gt;5,D995&lt;=5),C994+(5-D994)*(C995-C994)/(D995-D994),"")</f>
        <v/>
      </c>
      <c r="R995" s="5" t="str">
        <f>IF(AND(D994&gt;4,D995&lt;=4),C994+(4-D994)*(C995-C994)/(D995-D994),"")</f>
        <v/>
      </c>
      <c r="S995" s="5" t="str">
        <f>IF(AND(D994&gt;3,D995&lt;=3),C994+(3-D994)*(C995-C994)/(D995-D994),"")</f>
        <v/>
      </c>
    </row>
    <row r="996" spans="1:19" ht="20.100000000000001" customHeight="1">
      <c r="A996" t="s">
        <v>4</v>
      </c>
      <c r="B996">
        <v>651</v>
      </c>
      <c r="C996" s="5">
        <f>('Raw Data'!C651-'Raw Data'!$C$487)/60</f>
        <v>13.657550000000022</v>
      </c>
      <c r="D996" s="5">
        <f>'Raw Data'!J651</f>
        <v>3.9733399999999999</v>
      </c>
      <c r="E996" s="5">
        <f>$D$832-D996</f>
        <v>3.15509</v>
      </c>
      <c r="F996" s="8">
        <f>10^(-D996)</f>
        <v>1.0633102490963562E-4</v>
      </c>
      <c r="G996" s="5">
        <f>(D996-D995)/(C996-C995)</f>
        <v>-6.9462279293786136E-2</v>
      </c>
      <c r="H996" s="5">
        <f>$D$9+$D$10*EXP(-$D$11*C996)</f>
        <v>3.9467548447374501</v>
      </c>
      <c r="I996" s="5">
        <f>D996-H996</f>
        <v>2.6585155262549787E-2</v>
      </c>
      <c r="J996" s="5">
        <f t="shared" si="22"/>
        <v>7.0677048033387859E-4</v>
      </c>
      <c r="K996" s="5">
        <f>$D$17+$D$16*C996</f>
        <v>4.093122777210775</v>
      </c>
      <c r="L996" s="5">
        <f>(D996-K996)^2</f>
        <v>1.434791371632619E-2</v>
      </c>
      <c r="M996" s="5">
        <f>$D$40+$D$41*EXP(-$D$42*C996)</f>
        <v>0</v>
      </c>
      <c r="N996" s="5">
        <f>(D996-M996)^2</f>
        <v>15.787430755599999</v>
      </c>
      <c r="O996" s="5">
        <f>(C996+C995)/2</f>
        <v>13.616016666666717</v>
      </c>
      <c r="P996" s="5" t="str">
        <f>IF(AND(D995&gt;6,D996&lt;=6),C995+(6-D995)*(C996-C995)/(D996-D995),"")</f>
        <v/>
      </c>
      <c r="Q996" s="5" t="str">
        <f>IF(AND(D995&gt;5,D996&lt;=5),C995+(5-D995)*(C996-C995)/(D996-D995),"")</f>
        <v/>
      </c>
      <c r="R996" s="5" t="str">
        <f>IF(AND(D995&gt;4,D996&lt;=4),C995+(4-D995)*(C996-C995)/(D996-D995),"")</f>
        <v/>
      </c>
      <c r="S996" s="5" t="str">
        <f>IF(AND(D995&gt;3,D996&lt;=3),C995+(3-D995)*(C996-C995)/(D996-D995),"")</f>
        <v/>
      </c>
    </row>
    <row r="997" spans="1:19" ht="20.100000000000001" customHeight="1">
      <c r="A997" t="s">
        <v>4</v>
      </c>
      <c r="B997">
        <v>652</v>
      </c>
      <c r="C997" s="5">
        <f>('Raw Data'!C652-'Raw Data'!$C$487)/60</f>
        <v>13.741150000000077</v>
      </c>
      <c r="D997" s="5">
        <f>'Raw Data'!J652</f>
        <v>3.9721899999999999</v>
      </c>
      <c r="E997" s="5">
        <f>$D$832-D997</f>
        <v>3.1562399999999999</v>
      </c>
      <c r="F997" s="8">
        <f>10^(-D997)</f>
        <v>1.0661295969053265E-4</v>
      </c>
      <c r="G997" s="5">
        <f>(D997-D996)/(C997-C996)</f>
        <v>-1.3755980861234678E-2</v>
      </c>
      <c r="H997" s="5">
        <f>$D$9+$D$10*EXP(-$D$11*C997)</f>
        <v>3.9432035913902519</v>
      </c>
      <c r="I997" s="5">
        <f>D997-H997</f>
        <v>2.8986408609747993E-2</v>
      </c>
      <c r="J997" s="5">
        <f t="shared" si="22"/>
        <v>8.4021188409127263E-4</v>
      </c>
      <c r="K997" s="5">
        <f>$D$17+$D$16*C997</f>
        <v>4.0812616814927125</v>
      </c>
      <c r="L997" s="5">
        <f>(D997-K997)^2</f>
        <v>1.1896631703647749E-2</v>
      </c>
      <c r="M997" s="5">
        <f>$D$40+$D$41*EXP(-$D$42*C997)</f>
        <v>0</v>
      </c>
      <c r="N997" s="5">
        <f>(D997-M997)^2</f>
        <v>15.778293396099999</v>
      </c>
      <c r="O997" s="5">
        <f>(C997+C996)/2</f>
        <v>13.699350000000049</v>
      </c>
      <c r="P997" s="5" t="str">
        <f>IF(AND(D996&gt;6,D997&lt;=6),C996+(6-D996)*(C997-C996)/(D997-D996),"")</f>
        <v/>
      </c>
      <c r="Q997" s="5" t="str">
        <f>IF(AND(D996&gt;5,D997&lt;=5),C996+(5-D996)*(C997-C996)/(D997-D996),"")</f>
        <v/>
      </c>
      <c r="R997" s="5" t="str">
        <f>IF(AND(D996&gt;4,D997&lt;=4),C996+(4-D996)*(C997-C996)/(D997-D996),"")</f>
        <v/>
      </c>
      <c r="S997" s="5" t="str">
        <f>IF(AND(D996&gt;3,D997&lt;=3),C996+(3-D996)*(C997-C996)/(D997-D996),"")</f>
        <v/>
      </c>
    </row>
    <row r="998" spans="1:19" ht="20.100000000000001" customHeight="1">
      <c r="A998" t="s">
        <v>4</v>
      </c>
      <c r="B998">
        <v>653</v>
      </c>
      <c r="C998" s="5">
        <f>('Raw Data'!C653-'Raw Data'!$C$487)/60</f>
        <v>13.82421666666669</v>
      </c>
      <c r="D998" s="5">
        <f>'Raw Data'!J653</f>
        <v>3.9744999999999999</v>
      </c>
      <c r="E998" s="5">
        <f>$D$832-D998</f>
        <v>3.1539299999999999</v>
      </c>
      <c r="F998" s="8">
        <f>10^(-D998)</f>
        <v>1.0604739383723321E-4</v>
      </c>
      <c r="G998" s="5">
        <f>(D998-D997)/(C998-C997)</f>
        <v>2.7808988764063583E-2</v>
      </c>
      <c r="H998" s="5">
        <f>$D$9+$D$10*EXP(-$D$11*C998)</f>
        <v>3.9397372802562036</v>
      </c>
      <c r="I998" s="5">
        <f>D998-H998</f>
        <v>3.47627197437963E-2</v>
      </c>
      <c r="J998" s="5">
        <f t="shared" si="22"/>
        <v>1.208446683985725E-3</v>
      </c>
      <c r="K998" s="5">
        <f>$D$17+$D$16*C998</f>
        <v>4.0694762546468715</v>
      </c>
      <c r="L998" s="5">
        <f>(D998-K998)^2</f>
        <v>9.0204889467473872E-3</v>
      </c>
      <c r="M998" s="5">
        <f>$D$40+$D$41*EXP(-$D$42*C998)</f>
        <v>0</v>
      </c>
      <c r="N998" s="5">
        <f>(D998-M998)^2</f>
        <v>15.796650249999999</v>
      </c>
      <c r="O998" s="5">
        <f>(C998+C997)/2</f>
        <v>13.782683333333384</v>
      </c>
      <c r="P998" s="5" t="str">
        <f>IF(AND(D997&gt;6,D998&lt;=6),C997+(6-D997)*(C998-C997)/(D998-D997),"")</f>
        <v/>
      </c>
      <c r="Q998" s="5" t="str">
        <f>IF(AND(D997&gt;5,D998&lt;=5),C997+(5-D997)*(C998-C997)/(D998-D997),"")</f>
        <v/>
      </c>
      <c r="R998" s="5" t="str">
        <f>IF(AND(D997&gt;4,D998&lt;=4),C997+(4-D997)*(C998-C997)/(D998-D997),"")</f>
        <v/>
      </c>
      <c r="S998" s="5" t="str">
        <f>IF(AND(D997&gt;3,D998&lt;=3),C997+(3-D997)*(C998-C997)/(D998-D997),"")</f>
        <v/>
      </c>
    </row>
    <row r="999" spans="1:19" ht="20.100000000000001" customHeight="1">
      <c r="A999" t="s">
        <v>4</v>
      </c>
      <c r="B999">
        <v>654</v>
      </c>
      <c r="C999" s="5">
        <f>('Raw Data'!C654-'Raw Data'!$C$487)/60</f>
        <v>13.907550000000022</v>
      </c>
      <c r="D999" s="5">
        <f>'Raw Data'!J654</f>
        <v>3.9560399999999998</v>
      </c>
      <c r="E999" s="5">
        <f>$D$832-D999</f>
        <v>3.17239</v>
      </c>
      <c r="F999" s="8">
        <f>10^(-D999)</f>
        <v>1.1065218648541455E-4</v>
      </c>
      <c r="G999" s="5">
        <f>(D999-D998)/(C999-C998)</f>
        <v>-0.22152000000000485</v>
      </c>
      <c r="H999" s="5">
        <f>$D$9+$D$10*EXP(-$D$11*C999)</f>
        <v>3.9363211267433957</v>
      </c>
      <c r="I999" s="5">
        <f>D999-H999</f>
        <v>1.9718873256604041E-2</v>
      </c>
      <c r="J999" s="5">
        <f t="shared" si="22"/>
        <v>3.8883396251001407E-4</v>
      </c>
      <c r="K999" s="5">
        <f>$D$17+$D$16*C999</f>
        <v>4.0576529933649201</v>
      </c>
      <c r="L999" s="5">
        <f>(D999-K999)^2</f>
        <v>1.0325200420579349E-2</v>
      </c>
      <c r="M999" s="5">
        <f>$D$40+$D$41*EXP(-$D$42*C999)</f>
        <v>0</v>
      </c>
      <c r="N999" s="5">
        <f>(D999-M999)^2</f>
        <v>15.650252481599999</v>
      </c>
      <c r="O999" s="5">
        <f>(C999+C998)/2</f>
        <v>13.865883333333356</v>
      </c>
      <c r="P999" s="5" t="str">
        <f>IF(AND(D998&gt;6,D999&lt;=6),C998+(6-D998)*(C999-C998)/(D999-D998),"")</f>
        <v/>
      </c>
      <c r="Q999" s="5" t="str">
        <f>IF(AND(D998&gt;5,D999&lt;=5),C998+(5-D998)*(C999-C998)/(D999-D998),"")</f>
        <v/>
      </c>
      <c r="R999" s="5" t="str">
        <f>IF(AND(D998&gt;4,D999&lt;=4),C998+(4-D998)*(C999-C998)/(D999-D998),"")</f>
        <v/>
      </c>
      <c r="S999" s="5" t="str">
        <f>IF(AND(D998&gt;3,D999&lt;=3),C998+(3-D998)*(C999-C998)/(D999-D998),"")</f>
        <v/>
      </c>
    </row>
    <row r="1000" spans="1:19" ht="20.100000000000001" customHeight="1">
      <c r="A1000" t="s">
        <v>4</v>
      </c>
      <c r="B1000">
        <v>655</v>
      </c>
      <c r="C1000" s="5">
        <f>('Raw Data'!C655-'Raw Data'!$C$487)/60</f>
        <v>13.990883333333356</v>
      </c>
      <c r="D1000" s="5">
        <f>'Raw Data'!J655</f>
        <v>3.9675799999999999</v>
      </c>
      <c r="E1000" s="5">
        <f>$D$832-D1000</f>
        <v>3.1608499999999999</v>
      </c>
      <c r="F1000" s="8">
        <f>10^(-D1000)</f>
        <v>1.0775067513334813E-4</v>
      </c>
      <c r="G1000" s="5">
        <f>(D1000-D999)/(C1000-C999)</f>
        <v>0.1384800000000003</v>
      </c>
      <c r="H1000" s="5">
        <f>$D$9+$D$10*EXP(-$D$11*C1000)</f>
        <v>3.9329652744891441</v>
      </c>
      <c r="I1000" s="5">
        <f>D1000-H1000</f>
        <v>3.4614725510855759E-2</v>
      </c>
      <c r="J1000" s="5">
        <f t="shared" si="22"/>
        <v>1.1981792221918885E-3</v>
      </c>
      <c r="K1000" s="5">
        <f>$D$17+$D$16*C1000</f>
        <v>4.0458297320829679</v>
      </c>
      <c r="L1000" s="5">
        <f>(D1000-K1000)^2</f>
        <v>6.1230205710562776E-3</v>
      </c>
      <c r="M1000" s="5">
        <f>$D$40+$D$41*EXP(-$D$42*C1000)</f>
        <v>0</v>
      </c>
      <c r="N1000" s="5">
        <f>(D1000-M1000)^2</f>
        <v>15.741691056399999</v>
      </c>
      <c r="O1000" s="5">
        <f>(C1000+C999)/2</f>
        <v>13.94921666666669</v>
      </c>
      <c r="P1000" s="5" t="str">
        <f>IF(AND(D999&gt;6,D1000&lt;=6),C999+(6-D999)*(C1000-C999)/(D1000-D999),"")</f>
        <v/>
      </c>
      <c r="Q1000" s="5" t="str">
        <f>IF(AND(D999&gt;5,D1000&lt;=5),C999+(5-D999)*(C1000-C999)/(D1000-D999),"")</f>
        <v/>
      </c>
      <c r="R1000" s="5" t="str">
        <f>IF(AND(D999&gt;4,D1000&lt;=4),C999+(4-D999)*(C1000-C999)/(D1000-D999),"")</f>
        <v/>
      </c>
      <c r="S1000" s="5" t="str">
        <f>IF(AND(D999&gt;3,D1000&lt;=3),C999+(3-D999)*(C1000-C999)/(D1000-D999),"")</f>
        <v/>
      </c>
    </row>
    <row r="1001" spans="1:19" ht="20.100000000000001" customHeight="1">
      <c r="A1001" t="s">
        <v>4</v>
      </c>
      <c r="B1001">
        <v>656</v>
      </c>
      <c r="C1001" s="5">
        <f>('Raw Data'!C656-'Raw Data'!$C$487)/60</f>
        <v>14.07421666666669</v>
      </c>
      <c r="D1001" s="5">
        <f>'Raw Data'!J656</f>
        <v>3.9548899999999998</v>
      </c>
      <c r="E1001" s="5">
        <f>$D$832-D1001</f>
        <v>3.17354</v>
      </c>
      <c r="F1001" s="8">
        <f>10^(-D1001)</f>
        <v>1.1094557874772986E-4</v>
      </c>
      <c r="G1001" s="5">
        <f>(D1001-D1000)/(C1001-C1000)</f>
        <v>-0.15228</v>
      </c>
      <c r="H1001" s="5">
        <f>$D$9+$D$10*EXP(-$D$11*C1001)</f>
        <v>3.9296686590676946</v>
      </c>
      <c r="I1001" s="5">
        <f>D1001-H1001</f>
        <v>2.5221340932305214E-2</v>
      </c>
      <c r="J1001" s="5">
        <f t="shared" si="22"/>
        <v>6.3611603842357448E-4</v>
      </c>
      <c r="K1001" s="5">
        <f>$D$17+$D$16*C1001</f>
        <v>4.0340064708010166</v>
      </c>
      <c r="L1001" s="5">
        <f>(D1001-K1001)^2</f>
        <v>6.2594159520081441E-3</v>
      </c>
      <c r="M1001" s="5">
        <f>$D$40+$D$41*EXP(-$D$42*C1001)</f>
        <v>0</v>
      </c>
      <c r="N1001" s="5">
        <f>(D1001-M1001)^2</f>
        <v>15.641154912099998</v>
      </c>
      <c r="O1001" s="5">
        <f>(C1001+C1000)/2</f>
        <v>14.032550000000022</v>
      </c>
      <c r="P1001" s="5" t="str">
        <f>IF(AND(D1000&gt;6,D1001&lt;=6),C1000+(6-D1000)*(C1001-C1000)/(D1001-D1000),"")</f>
        <v/>
      </c>
      <c r="Q1001" s="5" t="str">
        <f>IF(AND(D1000&gt;5,D1001&lt;=5),C1000+(5-D1000)*(C1001-C1000)/(D1001-D1000),"")</f>
        <v/>
      </c>
      <c r="R1001" s="5" t="str">
        <f>IF(AND(D1000&gt;4,D1001&lt;=4),C1000+(4-D1000)*(C1001-C1000)/(D1001-D1000),"")</f>
        <v/>
      </c>
      <c r="S1001" s="5" t="str">
        <f>IF(AND(D1000&gt;3,D1001&lt;=3),C1000+(3-D1000)*(C1001-C1000)/(D1001-D1000),"")</f>
        <v/>
      </c>
    </row>
    <row r="1002" spans="1:19" ht="20.100000000000001" customHeight="1">
      <c r="A1002" t="s">
        <v>4</v>
      </c>
      <c r="B1002">
        <v>657</v>
      </c>
      <c r="C1002" s="5">
        <f>('Raw Data'!C657-'Raw Data'!$C$487)/60</f>
        <v>14.157300000000031</v>
      </c>
      <c r="D1002" s="5">
        <f>'Raw Data'!J657</f>
        <v>3.9629599999999998</v>
      </c>
      <c r="E1002" s="5">
        <f>$D$832-D1002</f>
        <v>3.16547</v>
      </c>
      <c r="F1002" s="8">
        <f>10^(-D1002)</f>
        <v>1.0890303921203016E-4</v>
      </c>
      <c r="G1002" s="5">
        <f>(D1002-D1001)/(C1002-C1001)</f>
        <v>9.7131394182538217E-2</v>
      </c>
      <c r="H1002" s="5">
        <f>$D$9+$D$10*EXP(-$D$11*C1002)</f>
        <v>3.9264398641171834</v>
      </c>
      <c r="I1002" s="5">
        <f>D1002-H1002</f>
        <v>3.652013588281644E-2</v>
      </c>
      <c r="J1002" s="5">
        <f t="shared" si="22"/>
        <v>1.333720324899377E-3</v>
      </c>
      <c r="K1002" s="5">
        <f>$D$17+$D$16*C1002</f>
        <v>4.0222186793029095</v>
      </c>
      <c r="L1002" s="5">
        <f>(D1002-K1002)^2</f>
        <v>3.5115910727251025E-3</v>
      </c>
      <c r="M1002" s="5">
        <f>$D$40+$D$41*EXP(-$D$42*C1002)</f>
        <v>0</v>
      </c>
      <c r="N1002" s="5">
        <f>(D1002-M1002)^2</f>
        <v>15.705051961599999</v>
      </c>
      <c r="O1002" s="5">
        <f>(C1002+C1001)/2</f>
        <v>14.11575833333336</v>
      </c>
      <c r="P1002" s="5" t="str">
        <f>IF(AND(D1001&gt;6,D1002&lt;=6),C1001+(6-D1001)*(C1002-C1001)/(D1002-D1001),"")</f>
        <v/>
      </c>
      <c r="Q1002" s="5" t="str">
        <f>IF(AND(D1001&gt;5,D1002&lt;=5),C1001+(5-D1001)*(C1002-C1001)/(D1002-D1001),"")</f>
        <v/>
      </c>
      <c r="R1002" s="5" t="str">
        <f>IF(AND(D1001&gt;4,D1002&lt;=4),C1001+(4-D1001)*(C1002-C1001)/(D1002-D1001),"")</f>
        <v/>
      </c>
      <c r="S1002" s="5" t="str">
        <f>IF(AND(D1001&gt;3,D1002&lt;=3),C1001+(3-D1001)*(C1002-C1001)/(D1002-D1001),"")</f>
        <v/>
      </c>
    </row>
    <row r="1003" spans="1:19" ht="20.100000000000001" customHeight="1">
      <c r="A1003" t="s">
        <v>4</v>
      </c>
      <c r="B1003">
        <v>658</v>
      </c>
      <c r="C1003" s="5">
        <f>('Raw Data'!C658-'Raw Data'!$C$487)/60</f>
        <v>14.240883333333356</v>
      </c>
      <c r="D1003" s="5">
        <f>'Raw Data'!J658</f>
        <v>3.9548899999999998</v>
      </c>
      <c r="E1003" s="5">
        <f>$D$832-D1003</f>
        <v>3.17354</v>
      </c>
      <c r="F1003" s="8">
        <f>10^(-D1003)</f>
        <v>1.1094557874772986E-4</v>
      </c>
      <c r="G1003" s="5">
        <f>(D1003-D1002)/(C1003-C1002)</f>
        <v>-9.655034895315108E-2</v>
      </c>
      <c r="H1003" s="5">
        <f>$D$9+$D$10*EXP(-$D$11*C1003)</f>
        <v>3.9232489746336698</v>
      </c>
      <c r="I1003" s="5">
        <f>D1003-H1003</f>
        <v>3.1641025366329956E-2</v>
      </c>
      <c r="J1003" s="5">
        <f t="shared" si="22"/>
        <v>1.0011544862327357E-3</v>
      </c>
      <c r="K1003" s="5">
        <f>$D$17+$D$16*C1003</f>
        <v>4.0103599482371131</v>
      </c>
      <c r="L1003" s="5">
        <f>(D1003-K1003)^2</f>
        <v>3.076915157428025E-3</v>
      </c>
      <c r="M1003" s="5">
        <f>$D$40+$D$41*EXP(-$D$42*C1003)</f>
        <v>0</v>
      </c>
      <c r="N1003" s="5">
        <f>(D1003-M1003)^2</f>
        <v>15.641154912099998</v>
      </c>
      <c r="O1003" s="5">
        <f>(C1003+C1002)/2</f>
        <v>14.199091666666693</v>
      </c>
      <c r="P1003" s="5" t="str">
        <f>IF(AND(D1002&gt;6,D1003&lt;=6),C1002+(6-D1002)*(C1003-C1002)/(D1003-D1002),"")</f>
        <v/>
      </c>
      <c r="Q1003" s="5" t="str">
        <f>IF(AND(D1002&gt;5,D1003&lt;=5),C1002+(5-D1002)*(C1003-C1002)/(D1003-D1002),"")</f>
        <v/>
      </c>
      <c r="R1003" s="5" t="str">
        <f>IF(AND(D1002&gt;4,D1003&lt;=4),C1002+(4-D1002)*(C1003-C1002)/(D1003-D1002),"")</f>
        <v/>
      </c>
      <c r="S1003" s="5" t="str">
        <f>IF(AND(D1002&gt;3,D1003&lt;=3),C1002+(3-D1002)*(C1003-C1002)/(D1003-D1002),"")</f>
        <v/>
      </c>
    </row>
    <row r="1004" spans="1:19" ht="20.100000000000001" customHeight="1">
      <c r="A1004" t="s">
        <v>4</v>
      </c>
      <c r="B1004">
        <v>659</v>
      </c>
      <c r="C1004" s="5">
        <f>('Raw Data'!C659-'Raw Data'!$C$487)/60</f>
        <v>14.323966666666699</v>
      </c>
      <c r="D1004" s="5">
        <f>'Raw Data'!J659</f>
        <v>3.9571900000000002</v>
      </c>
      <c r="E1004" s="5">
        <f>$D$832-D1004</f>
        <v>3.1712399999999996</v>
      </c>
      <c r="F1004" s="8">
        <f>10^(-D1004)</f>
        <v>1.103595700901553E-4</v>
      </c>
      <c r="G1004" s="5">
        <f>(D1004-D1003)/(C1004-C1003)</f>
        <v>2.7683049147443944E-2</v>
      </c>
      <c r="H1004" s="5">
        <f>$D$9+$D$10*EXP(-$D$11*C1004)</f>
        <v>3.9201331617210919</v>
      </c>
      <c r="I1004" s="5">
        <f>D1004-H1004</f>
        <v>3.7056838278908266E-2</v>
      </c>
      <c r="J1004" s="5">
        <f t="shared" si="22"/>
        <v>1.3732092632291609E-3</v>
      </c>
      <c r="K1004" s="5">
        <f>$D$17+$D$16*C1004</f>
        <v>3.998572156739006</v>
      </c>
      <c r="L1004" s="5">
        <f>(D1004-K1004)^2</f>
        <v>1.7124828963716436E-3</v>
      </c>
      <c r="M1004" s="5">
        <f>$D$40+$D$41*EXP(-$D$42*C1004)</f>
        <v>0</v>
      </c>
      <c r="N1004" s="5">
        <f>(D1004-M1004)^2</f>
        <v>15.659352696100001</v>
      </c>
      <c r="O1004" s="5">
        <f>(C1004+C1003)/2</f>
        <v>14.282425000000028</v>
      </c>
      <c r="P1004" s="5" t="str">
        <f>IF(AND(D1003&gt;6,D1004&lt;=6),C1003+(6-D1003)*(C1004-C1003)/(D1004-D1003),"")</f>
        <v/>
      </c>
      <c r="Q1004" s="5" t="str">
        <f>IF(AND(D1003&gt;5,D1004&lt;=5),C1003+(5-D1003)*(C1004-C1003)/(D1004-D1003),"")</f>
        <v/>
      </c>
      <c r="R1004" s="5" t="str">
        <f>IF(AND(D1003&gt;4,D1004&lt;=4),C1003+(4-D1003)*(C1004-C1003)/(D1004-D1003),"")</f>
        <v/>
      </c>
      <c r="S1004" s="5" t="str">
        <f>IF(AND(D1003&gt;3,D1004&lt;=3),C1003+(3-D1003)*(C1004-C1003)/(D1004-D1003),"")</f>
        <v/>
      </c>
    </row>
    <row r="1005" spans="1:19" ht="20.100000000000001" customHeight="1">
      <c r="A1005" t="s">
        <v>4</v>
      </c>
      <c r="B1005">
        <v>660</v>
      </c>
      <c r="C1005" s="5">
        <f>('Raw Data'!C660-'Raw Data'!$C$487)/60</f>
        <v>14.407300000000031</v>
      </c>
      <c r="D1005" s="5">
        <f>'Raw Data'!J660</f>
        <v>3.9537300000000002</v>
      </c>
      <c r="E1005" s="5">
        <f>$D$832-D1005</f>
        <v>3.1746999999999996</v>
      </c>
      <c r="F1005" s="8">
        <f>10^(-D1005)</f>
        <v>1.1124231035366448E-4</v>
      </c>
      <c r="G1005" s="5">
        <f>(D1005-D1004)/(C1005-C1004)</f>
        <v>-4.1520000000000813E-2</v>
      </c>
      <c r="H1005" s="5">
        <f>$D$9+$D$10*EXP(-$D$11*C1005)</f>
        <v>3.917063056187724</v>
      </c>
      <c r="I1005" s="5">
        <f>D1005-H1005</f>
        <v>3.6666943812276198E-2</v>
      </c>
      <c r="J1005" s="5">
        <f t="shared" si="22"/>
        <v>1.3444647685326198E-3</v>
      </c>
      <c r="K1005" s="5">
        <f>$D$17+$D$16*C1005</f>
        <v>3.9867488954570547</v>
      </c>
      <c r="L1005" s="5">
        <f>(D1005-K1005)^2</f>
        <v>1.0902474572038942E-3</v>
      </c>
      <c r="M1005" s="5">
        <f>$D$40+$D$41*EXP(-$D$42*C1005)</f>
        <v>0</v>
      </c>
      <c r="N1005" s="5">
        <f>(D1005-M1005)^2</f>
        <v>15.631980912900001</v>
      </c>
      <c r="O1005" s="5">
        <f>(C1005+C1004)/2</f>
        <v>14.365633333333365</v>
      </c>
      <c r="P1005" s="5" t="str">
        <f>IF(AND(D1004&gt;6,D1005&lt;=6),C1004+(6-D1004)*(C1005-C1004)/(D1005-D1004),"")</f>
        <v/>
      </c>
      <c r="Q1005" s="5" t="str">
        <f>IF(AND(D1004&gt;5,D1005&lt;=5),C1004+(5-D1004)*(C1005-C1004)/(D1005-D1004),"")</f>
        <v/>
      </c>
      <c r="R1005" s="5" t="str">
        <f>IF(AND(D1004&gt;4,D1005&lt;=4),C1004+(4-D1004)*(C1005-C1004)/(D1005-D1004),"")</f>
        <v/>
      </c>
      <c r="S1005" s="5" t="str">
        <f>IF(AND(D1004&gt;3,D1005&lt;=3),C1004+(3-D1004)*(C1005-C1004)/(D1005-D1004),"")</f>
        <v/>
      </c>
    </row>
    <row r="1006" spans="1:19" ht="20.100000000000001" customHeight="1">
      <c r="A1006" t="s">
        <v>4</v>
      </c>
      <c r="B1006">
        <v>661</v>
      </c>
      <c r="C1006" s="5">
        <f>('Raw Data'!C661-'Raw Data'!$C$487)/60</f>
        <v>14.490633333333365</v>
      </c>
      <c r="D1006" s="5">
        <f>'Raw Data'!J661</f>
        <v>3.9525800000000002</v>
      </c>
      <c r="E1006" s="5">
        <f>$D$832-D1006</f>
        <v>3.1758499999999996</v>
      </c>
      <c r="F1006" s="8">
        <f>10^(-D1006)</f>
        <v>1.1153726731869604E-4</v>
      </c>
      <c r="G1006" s="5">
        <f>(D1006-D1005)/(C1006-C1005)</f>
        <v>-1.3799999999999714E-2</v>
      </c>
      <c r="H1006" s="5">
        <f>$D$9+$D$10*EXP(-$D$11*C1006)</f>
        <v>3.9140471435431916</v>
      </c>
      <c r="I1006" s="5">
        <f>D1006-H1006</f>
        <v>3.8532856456808595E-2</v>
      </c>
      <c r="J1006" s="5">
        <f t="shared" si="22"/>
        <v>1.4847810267210159E-3</v>
      </c>
      <c r="K1006" s="5">
        <f>$D$17+$D$16*C1006</f>
        <v>3.9749256341751029</v>
      </c>
      <c r="L1006" s="5">
        <f>(D1006-K1006)^2</f>
        <v>4.9932736668751828E-4</v>
      </c>
      <c r="M1006" s="5">
        <f>$D$40+$D$41*EXP(-$D$42*C1006)</f>
        <v>0</v>
      </c>
      <c r="N1006" s="5">
        <f>(D1006-M1006)^2</f>
        <v>15.622888656400002</v>
      </c>
      <c r="O1006" s="5">
        <f>(C1006+C1005)/2</f>
        <v>14.448966666666699</v>
      </c>
      <c r="P1006" s="5" t="str">
        <f>IF(AND(D1005&gt;6,D1006&lt;=6),C1005+(6-D1005)*(C1006-C1005)/(D1006-D1005),"")</f>
        <v/>
      </c>
      <c r="Q1006" s="5" t="str">
        <f>IF(AND(D1005&gt;5,D1006&lt;=5),C1005+(5-D1005)*(C1006-C1005)/(D1006-D1005),"")</f>
        <v/>
      </c>
      <c r="R1006" s="5" t="str">
        <f>IF(AND(D1005&gt;4,D1006&lt;=4),C1005+(4-D1005)*(C1006-C1005)/(D1006-D1005),"")</f>
        <v/>
      </c>
      <c r="S1006" s="5" t="str">
        <f>IF(AND(D1005&gt;3,D1006&lt;=3),C1005+(3-D1005)*(C1006-C1005)/(D1006-D1005),"")</f>
        <v/>
      </c>
    </row>
    <row r="1007" spans="1:19" ht="20.100000000000001" customHeight="1">
      <c r="A1007" t="s">
        <v>4</v>
      </c>
      <c r="B1007">
        <v>662</v>
      </c>
      <c r="C1007" s="5">
        <f>('Raw Data'!C662-'Raw Data'!$C$487)/60</f>
        <v>14.573966666666699</v>
      </c>
      <c r="D1007" s="5">
        <f>'Raw Data'!J662</f>
        <v>3.9456600000000002</v>
      </c>
      <c r="E1007" s="5">
        <f>$D$832-D1007</f>
        <v>3.1827699999999997</v>
      </c>
      <c r="F1007" s="8">
        <f>10^(-D1007)</f>
        <v>1.1332872427364293E-4</v>
      </c>
      <c r="G1007" s="5">
        <f>(D1007-D1006)/(C1007-C1006)</f>
        <v>-8.303999999999985E-2</v>
      </c>
      <c r="H1007" s="5">
        <f>$D$9+$D$10*EXP(-$D$11*C1007)</f>
        <v>3.9110844671854594</v>
      </c>
      <c r="I1007" s="5">
        <f>D1007-H1007</f>
        <v>3.4575532814540733E-2</v>
      </c>
      <c r="J1007" s="5">
        <f t="shared" si="22"/>
        <v>1.1954674694093831E-3</v>
      </c>
      <c r="K1007" s="5">
        <f>$D$17+$D$16*C1007</f>
        <v>3.9631023728931516</v>
      </c>
      <c r="L1007" s="5">
        <f>(D1007-K1007)^2</f>
        <v>3.042363721437436E-4</v>
      </c>
      <c r="M1007" s="5">
        <f>$D$40+$D$41*EXP(-$D$42*C1007)</f>
        <v>0</v>
      </c>
      <c r="N1007" s="5">
        <f>(D1007-M1007)^2</f>
        <v>15.568232835600002</v>
      </c>
      <c r="O1007" s="5">
        <f>(C1007+C1006)/2</f>
        <v>14.532300000000031</v>
      </c>
      <c r="P1007" s="5" t="str">
        <f>IF(AND(D1006&gt;6,D1007&lt;=6),C1006+(6-D1006)*(C1007-C1006)/(D1007-D1006),"")</f>
        <v/>
      </c>
      <c r="Q1007" s="5" t="str">
        <f>IF(AND(D1006&gt;5,D1007&lt;=5),C1006+(5-D1006)*(C1007-C1006)/(D1007-D1006),"")</f>
        <v/>
      </c>
      <c r="R1007" s="5" t="str">
        <f>IF(AND(D1006&gt;4,D1007&lt;=4),C1006+(4-D1006)*(C1007-C1006)/(D1007-D1006),"")</f>
        <v/>
      </c>
      <c r="S1007" s="5" t="str">
        <f>IF(AND(D1006&gt;3,D1007&lt;=3),C1006+(3-D1006)*(C1007-C1006)/(D1007-D1006),"")</f>
        <v/>
      </c>
    </row>
    <row r="1008" spans="1:19" ht="20.100000000000001" customHeight="1">
      <c r="A1008" t="s">
        <v>4</v>
      </c>
      <c r="B1008">
        <v>663</v>
      </c>
      <c r="C1008" s="5">
        <f>('Raw Data'!C663-'Raw Data'!$C$487)/60</f>
        <v>14.657033333333311</v>
      </c>
      <c r="D1008" s="5">
        <f>'Raw Data'!J663</f>
        <v>3.9502700000000002</v>
      </c>
      <c r="E1008" s="5">
        <f>$D$832-D1008</f>
        <v>3.1781599999999997</v>
      </c>
      <c r="F1008" s="8">
        <f>10^(-D1008)</f>
        <v>1.1213211144907237E-4</v>
      </c>
      <c r="G1008" s="5">
        <f>(D1008-D1007)/(C1008-C1007)</f>
        <v>5.5497592295381516E-2</v>
      </c>
      <c r="H1008" s="5">
        <f>$D$9+$D$10*EXP(-$D$11*C1008)</f>
        <v>3.9081833181911261</v>
      </c>
      <c r="I1008" s="5">
        <f>D1008-H1008</f>
        <v>4.2086681808874093E-2</v>
      </c>
      <c r="J1008" s="5">
        <f t="shared" si="22"/>
        <v>1.7712887856814136E-3</v>
      </c>
      <c r="K1008" s="5">
        <f>$D$17+$D$16*C1008</f>
        <v>3.9513169460473097</v>
      </c>
      <c r="L1008" s="5">
        <f>(D1008-K1008)^2</f>
        <v>1.0960960259769497E-6</v>
      </c>
      <c r="M1008" s="5">
        <f>$D$40+$D$41*EXP(-$D$42*C1008)</f>
        <v>0</v>
      </c>
      <c r="N1008" s="5">
        <f>(D1008-M1008)^2</f>
        <v>15.6046330729</v>
      </c>
      <c r="O1008" s="5">
        <f>(C1008+C1007)/2</f>
        <v>14.615500000000004</v>
      </c>
      <c r="P1008" s="5" t="str">
        <f>IF(AND(D1007&gt;6,D1008&lt;=6),C1007+(6-D1007)*(C1008-C1007)/(D1008-D1007),"")</f>
        <v/>
      </c>
      <c r="Q1008" s="5" t="str">
        <f>IF(AND(D1007&gt;5,D1008&lt;=5),C1007+(5-D1007)*(C1008-C1007)/(D1008-D1007),"")</f>
        <v/>
      </c>
      <c r="R1008" s="5" t="str">
        <f>IF(AND(D1007&gt;4,D1008&lt;=4),C1007+(4-D1007)*(C1008-C1007)/(D1008-D1007),"")</f>
        <v/>
      </c>
      <c r="S1008" s="5" t="str">
        <f>IF(AND(D1007&gt;3,D1008&lt;=3),C1007+(3-D1007)*(C1008-C1007)/(D1008-D1007),"")</f>
        <v/>
      </c>
    </row>
    <row r="1009" spans="1:19" ht="20.100000000000001" customHeight="1">
      <c r="A1009" t="s">
        <v>4</v>
      </c>
      <c r="B1009">
        <v>664</v>
      </c>
      <c r="C1009" s="5">
        <f>('Raw Data'!C664-'Raw Data'!$C$487)/60</f>
        <v>14.740633333333365</v>
      </c>
      <c r="D1009" s="5">
        <f>'Raw Data'!J664</f>
        <v>3.9387300000000001</v>
      </c>
      <c r="E1009" s="5">
        <f>$D$832-D1009</f>
        <v>3.1896999999999998</v>
      </c>
      <c r="F1009" s="8">
        <f>10^(-D1009)</f>
        <v>1.1515160616590825E-4</v>
      </c>
      <c r="G1009" s="5">
        <f>(D1009-D1008)/(C1009-C1008)</f>
        <v>-0.13803827751187406</v>
      </c>
      <c r="H1009" s="5">
        <f>$D$9+$D$10*EXP(-$D$11*C1009)</f>
        <v>3.9053150810529336</v>
      </c>
      <c r="I1009" s="5">
        <f>D1009-H1009</f>
        <v>3.3414918947066496E-2</v>
      </c>
      <c r="J1009" s="5">
        <f t="shared" si="22"/>
        <v>1.1165568082390236E-3</v>
      </c>
      <c r="K1009" s="5">
        <f>$D$17+$D$16*C1009</f>
        <v>3.9394558503292485</v>
      </c>
      <c r="L1009" s="5">
        <f>(D1009-K1009)^2</f>
        <v>5.2685870047006029E-7</v>
      </c>
      <c r="M1009" s="5">
        <f>$D$40+$D$41*EXP(-$D$42*C1009)</f>
        <v>0</v>
      </c>
      <c r="N1009" s="5">
        <f>(D1009-M1009)^2</f>
        <v>15.513594012900001</v>
      </c>
      <c r="O1009" s="5">
        <f>(C1009+C1008)/2</f>
        <v>14.698833333333338</v>
      </c>
      <c r="P1009" s="5" t="str">
        <f>IF(AND(D1008&gt;6,D1009&lt;=6),C1008+(6-D1008)*(C1009-C1008)/(D1009-D1008),"")</f>
        <v/>
      </c>
      <c r="Q1009" s="5" t="str">
        <f>IF(AND(D1008&gt;5,D1009&lt;=5),C1008+(5-D1008)*(C1009-C1008)/(D1009-D1008),"")</f>
        <v/>
      </c>
      <c r="R1009" s="5" t="str">
        <f>IF(AND(D1008&gt;4,D1009&lt;=4),C1008+(4-D1008)*(C1009-C1008)/(D1009-D1008),"")</f>
        <v/>
      </c>
      <c r="S1009" s="5" t="str">
        <f>IF(AND(D1008&gt;3,D1009&lt;=3),C1008+(3-D1008)*(C1009-C1008)/(D1009-D1008),"")</f>
        <v/>
      </c>
    </row>
    <row r="1010" spans="1:19" ht="20.100000000000001" customHeight="1">
      <c r="A1010" t="s">
        <v>4</v>
      </c>
      <c r="B1010">
        <v>665</v>
      </c>
      <c r="C1010" s="5">
        <f>('Raw Data'!C665-'Raw Data'!$C$487)/60</f>
        <v>14.823699999999977</v>
      </c>
      <c r="D1010" s="5">
        <f>'Raw Data'!J665</f>
        <v>3.9375800000000001</v>
      </c>
      <c r="E1010" s="5">
        <f>$D$832-D1010</f>
        <v>3.1908499999999997</v>
      </c>
      <c r="F1010" s="8">
        <f>10^(-D1010)</f>
        <v>1.1545692855776817E-4</v>
      </c>
      <c r="G1010" s="5">
        <f>(D1010-D1009)/(C1010-C1009)</f>
        <v>-1.3844301765658967E-2</v>
      </c>
      <c r="H1010" s="5">
        <f>$D$9+$D$10*EXP(-$D$11*C1010)</f>
        <v>3.9025154491046661</v>
      </c>
      <c r="I1010" s="5">
        <f>D1010-H1010</f>
        <v>3.5064550895334001E-2</v>
      </c>
      <c r="J1010" s="5">
        <f t="shared" si="22"/>
        <v>1.2295227294914686E-3</v>
      </c>
      <c r="K1010" s="5">
        <f>$D$17+$D$16*C1010</f>
        <v>3.9276704234834066</v>
      </c>
      <c r="L1010" s="5">
        <f>(D1010-K1010)^2</f>
        <v>9.8199706738221791E-5</v>
      </c>
      <c r="M1010" s="5">
        <f>$D$40+$D$41*EXP(-$D$42*C1010)</f>
        <v>0</v>
      </c>
      <c r="N1010" s="5">
        <f>(D1010-M1010)^2</f>
        <v>15.5045362564</v>
      </c>
      <c r="O1010" s="5">
        <f>(C1010+C1009)/2</f>
        <v>14.782166666666672</v>
      </c>
      <c r="P1010" s="5" t="str">
        <f>IF(AND(D1009&gt;6,D1010&lt;=6),C1009+(6-D1009)*(C1010-C1009)/(D1010-D1009),"")</f>
        <v/>
      </c>
      <c r="Q1010" s="5" t="str">
        <f>IF(AND(D1009&gt;5,D1010&lt;=5),C1009+(5-D1009)*(C1010-C1009)/(D1010-D1009),"")</f>
        <v/>
      </c>
      <c r="R1010" s="5" t="str">
        <f>IF(AND(D1009&gt;4,D1010&lt;=4),C1009+(4-D1009)*(C1010-C1009)/(D1010-D1009),"")</f>
        <v/>
      </c>
      <c r="S1010" s="5" t="str">
        <f>IF(AND(D1009&gt;3,D1010&lt;=3),C1009+(3-D1009)*(C1010-C1009)/(D1010-D1009),"")</f>
        <v/>
      </c>
    </row>
    <row r="1011" spans="1:19" ht="20.100000000000001" customHeight="1">
      <c r="A1011" t="s">
        <v>4</v>
      </c>
      <c r="B1011">
        <v>666</v>
      </c>
      <c r="C1011" s="5">
        <f>('Raw Data'!C666-'Raw Data'!$C$487)/60</f>
        <v>14.907033333333311</v>
      </c>
      <c r="D1011" s="5">
        <f>'Raw Data'!J666</f>
        <v>3.9341200000000001</v>
      </c>
      <c r="E1011" s="5">
        <f>$D$832-D1011</f>
        <v>3.1943099999999998</v>
      </c>
      <c r="F1011" s="8">
        <f>10^(-D1011)</f>
        <v>1.1638044139363539E-4</v>
      </c>
      <c r="G1011" s="5">
        <f>(D1011-D1010)/(C1011-C1010)</f>
        <v>-4.1519999999999925E-2</v>
      </c>
      <c r="H1011" s="5">
        <f>$D$9+$D$10*EXP(-$D$11*C1011)</f>
        <v>3.8997563279107545</v>
      </c>
      <c r="I1011" s="5">
        <f>D1011-H1011</f>
        <v>3.4363672089245512E-2</v>
      </c>
      <c r="J1011" s="5">
        <f t="shared" si="22"/>
        <v>1.1808619594571911E-3</v>
      </c>
      <c r="K1011" s="5">
        <f>$D$17+$D$16*C1011</f>
        <v>3.9158471622014552</v>
      </c>
      <c r="L1011" s="5">
        <f>(D1011-K1011)^2</f>
        <v>3.3389660121192858E-4</v>
      </c>
      <c r="M1011" s="5">
        <f>$D$40+$D$41*EXP(-$D$42*C1011)</f>
        <v>0</v>
      </c>
      <c r="N1011" s="5">
        <f>(D1011-M1011)^2</f>
        <v>15.4773001744</v>
      </c>
      <c r="O1011" s="5">
        <f>(C1011+C1010)/2</f>
        <v>14.865366666666645</v>
      </c>
      <c r="P1011" s="5" t="str">
        <f>IF(AND(D1010&gt;6,D1011&lt;=6),C1010+(6-D1010)*(C1011-C1010)/(D1011-D1010),"")</f>
        <v/>
      </c>
      <c r="Q1011" s="5" t="str">
        <f>IF(AND(D1010&gt;5,D1011&lt;=5),C1010+(5-D1010)*(C1011-C1010)/(D1011-D1010),"")</f>
        <v/>
      </c>
      <c r="R1011" s="5" t="str">
        <f>IF(AND(D1010&gt;4,D1011&lt;=4),C1010+(4-D1010)*(C1011-C1010)/(D1011-D1010),"")</f>
        <v/>
      </c>
      <c r="S1011" s="5" t="str">
        <f>IF(AND(D1010&gt;3,D1011&lt;=3),C1010+(3-D1010)*(C1011-C1010)/(D1011-D1010),"")</f>
        <v/>
      </c>
    </row>
    <row r="1012" spans="1:19" ht="20.100000000000001" customHeight="1">
      <c r="A1012" t="s">
        <v>4</v>
      </c>
      <c r="B1012">
        <v>667</v>
      </c>
      <c r="C1012" s="5">
        <f>('Raw Data'!C667-'Raw Data'!$C$487)/60</f>
        <v>14.990100000000044</v>
      </c>
      <c r="D1012" s="5">
        <f>'Raw Data'!J667</f>
        <v>3.92258</v>
      </c>
      <c r="E1012" s="5">
        <f>$D$832-D1012</f>
        <v>3.2058499999999999</v>
      </c>
      <c r="F1012" s="8">
        <f>10^(-D1012)</f>
        <v>1.1951433518543055E-4</v>
      </c>
      <c r="G1012" s="5">
        <f>(D1012-D1011)/(C1012-C1011)</f>
        <v>-0.13892455858737024</v>
      </c>
      <c r="H1012" s="5">
        <f>$D$9+$D$10*EXP(-$D$11*C1012)</f>
        <v>3.8970545067496007</v>
      </c>
      <c r="I1012" s="5">
        <f>D1012-H1012</f>
        <v>2.5525493250399212E-2</v>
      </c>
      <c r="J1012" s="5">
        <f t="shared" si="22"/>
        <v>6.5155080567617571E-4</v>
      </c>
      <c r="K1012" s="5">
        <f>$D$17+$D$16*C1012</f>
        <v>3.9040617353555964</v>
      </c>
      <c r="L1012" s="5">
        <f>(D1012-K1012)^2</f>
        <v>3.4292612544016608E-4</v>
      </c>
      <c r="M1012" s="5">
        <f>$D$40+$D$41*EXP(-$D$42*C1012)</f>
        <v>0</v>
      </c>
      <c r="N1012" s="5">
        <f>(D1012-M1012)^2</f>
        <v>15.3866338564</v>
      </c>
      <c r="O1012" s="5">
        <f>(C1012+C1011)/2</f>
        <v>14.948566666666679</v>
      </c>
      <c r="P1012" s="5" t="str">
        <f>IF(AND(D1011&gt;6,D1012&lt;=6),C1011+(6-D1011)*(C1012-C1011)/(D1012-D1011),"")</f>
        <v/>
      </c>
      <c r="Q1012" s="5" t="str">
        <f>IF(AND(D1011&gt;5,D1012&lt;=5),C1011+(5-D1011)*(C1012-C1011)/(D1012-D1011),"")</f>
        <v/>
      </c>
      <c r="R1012" s="5" t="str">
        <f>IF(AND(D1011&gt;4,D1012&lt;=4),C1011+(4-D1011)*(C1012-C1011)/(D1012-D1011),"")</f>
        <v/>
      </c>
      <c r="S1012" s="5" t="str">
        <f>IF(AND(D1011&gt;3,D1012&lt;=3),C1011+(3-D1011)*(C1012-C1011)/(D1012-D1011),"")</f>
        <v/>
      </c>
    </row>
    <row r="1013" spans="1:19" ht="20.100000000000001" customHeight="1">
      <c r="A1013" t="s">
        <v>4</v>
      </c>
      <c r="B1013">
        <v>668</v>
      </c>
      <c r="C1013" s="5">
        <f>('Raw Data'!C668-'Raw Data'!$C$487)/60</f>
        <v>15.073699999999977</v>
      </c>
      <c r="D1013" s="5">
        <f>'Raw Data'!J668</f>
        <v>3.93066</v>
      </c>
      <c r="E1013" s="5">
        <f>$D$832-D1013</f>
        <v>3.1977699999999998</v>
      </c>
      <c r="F1013" s="8">
        <f>10^(-D1013)</f>
        <v>1.1731134119162488E-4</v>
      </c>
      <c r="G1013" s="5">
        <f>(D1013-D1012)/(C1013-C1012)</f>
        <v>9.6650717703427716E-2</v>
      </c>
      <c r="H1013" s="5">
        <f>$D$9+$D$10*EXP(-$D$11*C1013)</f>
        <v>3.8943833361856992</v>
      </c>
      <c r="I1013" s="5">
        <f>D1013-H1013</f>
        <v>3.6276663814300836E-2</v>
      </c>
      <c r="J1013" s="5">
        <f t="shared" si="22"/>
        <v>1.3159963374958037E-3</v>
      </c>
      <c r="K1013" s="5">
        <f>$D$17+$D$16*C1013</f>
        <v>3.8922006396375521</v>
      </c>
      <c r="L1013" s="5">
        <f>(D1013-K1013)^2</f>
        <v>1.4791223994886288E-3</v>
      </c>
      <c r="M1013" s="5">
        <f>$D$40+$D$41*EXP(-$D$42*C1013)</f>
        <v>0</v>
      </c>
      <c r="N1013" s="5">
        <f>(D1013-M1013)^2</f>
        <v>15.4500880356</v>
      </c>
      <c r="O1013" s="5">
        <f>(C1013+C1012)/2</f>
        <v>15.031900000000011</v>
      </c>
      <c r="P1013" s="5" t="str">
        <f>IF(AND(D1012&gt;6,D1013&lt;=6),C1012+(6-D1012)*(C1013-C1012)/(D1013-D1012),"")</f>
        <v/>
      </c>
      <c r="Q1013" s="5" t="str">
        <f>IF(AND(D1012&gt;5,D1013&lt;=5),C1012+(5-D1012)*(C1013-C1012)/(D1013-D1012),"")</f>
        <v/>
      </c>
      <c r="R1013" s="5" t="str">
        <f>IF(AND(D1012&gt;4,D1013&lt;=4),C1012+(4-D1012)*(C1013-C1012)/(D1013-D1012),"")</f>
        <v/>
      </c>
      <c r="S1013" s="5" t="str">
        <f>IF(AND(D1012&gt;3,D1013&lt;=3),C1012+(3-D1012)*(C1013-C1012)/(D1013-D1012),"")</f>
        <v/>
      </c>
    </row>
    <row r="1014" spans="1:19" ht="20.100000000000001" customHeight="1">
      <c r="A1014" t="s">
        <v>4</v>
      </c>
      <c r="B1014">
        <v>669</v>
      </c>
      <c r="C1014" s="5">
        <f>('Raw Data'!C669-'Raw Data'!$C$487)/60</f>
        <v>15.15676666666671</v>
      </c>
      <c r="D1014" s="5">
        <f>'Raw Data'!J669</f>
        <v>3.92835</v>
      </c>
      <c r="E1014" s="5">
        <f>$D$832-D1014</f>
        <v>3.2000799999999998</v>
      </c>
      <c r="F1014" s="8">
        <f>10^(-D1014)</f>
        <v>1.1793697928023795E-4</v>
      </c>
      <c r="G1014" s="5">
        <f>(D1014-D1013)/(C1014-C1013)</f>
        <v>-2.7808988764023143E-2</v>
      </c>
      <c r="H1014" s="5">
        <f>$D$9+$D$10*EXP(-$D$11*C1014)</f>
        <v>3.8917760571882929</v>
      </c>
      <c r="I1014" s="5">
        <f>D1014-H1014</f>
        <v>3.6573942811707116E-2</v>
      </c>
      <c r="J1014" s="5">
        <f t="shared" si="22"/>
        <v>1.3376532927940226E-3</v>
      </c>
      <c r="K1014" s="5">
        <f>$D$17+$D$16*C1014</f>
        <v>3.8804152127916933</v>
      </c>
      <c r="L1014" s="5">
        <f>(D1014-K1014)^2</f>
        <v>2.297743824705642E-3</v>
      </c>
      <c r="M1014" s="5">
        <f>$D$40+$D$41*EXP(-$D$42*C1014)</f>
        <v>0</v>
      </c>
      <c r="N1014" s="5">
        <f>(D1014-M1014)^2</f>
        <v>15.4319337225</v>
      </c>
      <c r="O1014" s="5">
        <f>(C1014+C1013)/2</f>
        <v>15.115233333333343</v>
      </c>
      <c r="P1014" s="5" t="str">
        <f>IF(AND(D1013&gt;6,D1014&lt;=6),C1013+(6-D1013)*(C1014-C1013)/(D1014-D1013),"")</f>
        <v/>
      </c>
      <c r="Q1014" s="5" t="str">
        <f>IF(AND(D1013&gt;5,D1014&lt;=5),C1013+(5-D1013)*(C1014-C1013)/(D1014-D1013),"")</f>
        <v/>
      </c>
      <c r="R1014" s="5" t="str">
        <f>IF(AND(D1013&gt;4,D1014&lt;=4),C1013+(4-D1013)*(C1014-C1013)/(D1014-D1013),"")</f>
        <v/>
      </c>
      <c r="S1014" s="5" t="str">
        <f>IF(AND(D1013&gt;3,D1014&lt;=3),C1013+(3-D1013)*(C1014-C1013)/(D1014-D1013),"")</f>
        <v/>
      </c>
    </row>
    <row r="1015" spans="1:19" ht="20.100000000000001" customHeight="1">
      <c r="A1015" t="s">
        <v>4</v>
      </c>
      <c r="B1015">
        <v>670</v>
      </c>
      <c r="C1015" s="5">
        <f>('Raw Data'!C670-'Raw Data'!$C$487)/60</f>
        <v>15.239850000000054</v>
      </c>
      <c r="D1015" s="5">
        <f>'Raw Data'!J670</f>
        <v>3.9145099999999999</v>
      </c>
      <c r="E1015" s="5">
        <f>$D$832-D1015</f>
        <v>3.2139199999999999</v>
      </c>
      <c r="F1015" s="8">
        <f>10^(-D1015)</f>
        <v>1.2175589571914377E-4</v>
      </c>
      <c r="G1015" s="5">
        <f>(D1015-D1014)/(C1015-C1014)</f>
        <v>-0.16657973921763369</v>
      </c>
      <c r="H1015" s="5">
        <f>$D$9+$D$10*EXP(-$D$11*C1015)</f>
        <v>3.8892141460117333</v>
      </c>
      <c r="I1015" s="5">
        <f>D1015-H1015</f>
        <v>2.5295853988266614E-2</v>
      </c>
      <c r="J1015" s="5">
        <f t="shared" si="22"/>
        <v>6.3988022899570402E-4</v>
      </c>
      <c r="K1015" s="5">
        <f>$D$17+$D$16*C1015</f>
        <v>3.8686274212935858</v>
      </c>
      <c r="L1015" s="5">
        <f>(D1015-K1015)^2</f>
        <v>2.1052110287502848E-3</v>
      </c>
      <c r="M1015" s="5">
        <f>$D$40+$D$41*EXP(-$D$42*C1015)</f>
        <v>0</v>
      </c>
      <c r="N1015" s="5">
        <f>(D1015-M1015)^2</f>
        <v>15.3233885401</v>
      </c>
      <c r="O1015" s="5">
        <f>(C1015+C1014)/2</f>
        <v>15.198308333333383</v>
      </c>
      <c r="P1015" s="5" t="str">
        <f>IF(AND(D1014&gt;6,D1015&lt;=6),C1014+(6-D1014)*(C1015-C1014)/(D1015-D1014),"")</f>
        <v/>
      </c>
      <c r="Q1015" s="5" t="str">
        <f>IF(AND(D1014&gt;5,D1015&lt;=5),C1014+(5-D1014)*(C1015-C1014)/(D1015-D1014),"")</f>
        <v/>
      </c>
      <c r="R1015" s="5" t="str">
        <f>IF(AND(D1014&gt;4,D1015&lt;=4),C1014+(4-D1014)*(C1015-C1014)/(D1015-D1014),"")</f>
        <v/>
      </c>
      <c r="S1015" s="5" t="str">
        <f>IF(AND(D1014&gt;3,D1015&lt;=3),C1014+(3-D1014)*(C1015-C1014)/(D1015-D1014),"")</f>
        <v/>
      </c>
    </row>
    <row r="1016" spans="1:19" ht="20.100000000000001" customHeight="1">
      <c r="A1016" t="s">
        <v>4</v>
      </c>
      <c r="B1016">
        <v>671</v>
      </c>
      <c r="C1016" s="5">
        <f>('Raw Data'!C671-'Raw Data'!$C$487)/60</f>
        <v>15.323433333333378</v>
      </c>
      <c r="D1016" s="5">
        <f>'Raw Data'!J671</f>
        <v>3.92143</v>
      </c>
      <c r="E1016" s="5">
        <f>$D$832-D1016</f>
        <v>3.2069999999999999</v>
      </c>
      <c r="F1016" s="8">
        <f>10^(-D1016)</f>
        <v>1.1983122527403068E-4</v>
      </c>
      <c r="G1016" s="5">
        <f>(D1016-D1015)/(C1016-C1015)</f>
        <v>8.2791625124635351E-2</v>
      </c>
      <c r="H1016" s="5">
        <f>$D$9+$D$10*EXP(-$D$11*C1016)</f>
        <v>3.8866823112076423</v>
      </c>
      <c r="I1016" s="5">
        <f>D1016-H1016</f>
        <v>3.4747688792357678E-2</v>
      </c>
      <c r="J1016" s="5">
        <f t="shared" si="22"/>
        <v>1.2074018764105395E-3</v>
      </c>
      <c r="K1016" s="5">
        <f>$D$17+$D$16*C1016</f>
        <v>3.8567686902277898</v>
      </c>
      <c r="L1016" s="5">
        <f>(D1016-K1016)^2</f>
        <v>4.181084981457724E-3</v>
      </c>
      <c r="M1016" s="5">
        <f>$D$40+$D$41*EXP(-$D$42*C1016)</f>
        <v>0</v>
      </c>
      <c r="N1016" s="5">
        <f>(D1016-M1016)^2</f>
        <v>15.377613244899999</v>
      </c>
      <c r="O1016" s="5">
        <f>(C1016+C1015)/2</f>
        <v>15.281641666666715</v>
      </c>
      <c r="P1016" s="5" t="str">
        <f>IF(AND(D1015&gt;6,D1016&lt;=6),C1015+(6-D1015)*(C1016-C1015)/(D1016-D1015),"")</f>
        <v/>
      </c>
      <c r="Q1016" s="5" t="str">
        <f>IF(AND(D1015&gt;5,D1016&lt;=5),C1015+(5-D1015)*(C1016-C1015)/(D1016-D1015),"")</f>
        <v/>
      </c>
      <c r="R1016" s="5" t="str">
        <f>IF(AND(D1015&gt;4,D1016&lt;=4),C1015+(4-D1015)*(C1016-C1015)/(D1016-D1015),"")</f>
        <v/>
      </c>
      <c r="S1016" s="5" t="str">
        <f>IF(AND(D1015&gt;3,D1016&lt;=3),C1015+(3-D1015)*(C1016-C1015)/(D1016-D1015),"")</f>
        <v/>
      </c>
    </row>
    <row r="1017" spans="1:19" ht="20.100000000000001" customHeight="1">
      <c r="A1017" t="s">
        <v>4</v>
      </c>
      <c r="B1017">
        <v>672</v>
      </c>
      <c r="C1017" s="5">
        <f>('Raw Data'!C672-'Raw Data'!$C$487)/60</f>
        <v>15.406516666666722</v>
      </c>
      <c r="D1017" s="5">
        <f>'Raw Data'!J672</f>
        <v>3.9191199999999999</v>
      </c>
      <c r="E1017" s="5">
        <f>$D$832-D1017</f>
        <v>3.2093099999999999</v>
      </c>
      <c r="F1017" s="8">
        <f>10^(-D1017)</f>
        <v>1.2047030226330609E-4</v>
      </c>
      <c r="G1017" s="5">
        <f>(D1017-D1016)/(C1017-C1016)</f>
        <v>-2.7803410230689125E-2</v>
      </c>
      <c r="H1017" s="5">
        <f>$D$9+$D$10*EXP(-$D$11*C1017)</f>
        <v>3.8842100464626985</v>
      </c>
      <c r="I1017" s="5">
        <f>D1017-H1017</f>
        <v>3.4909953537301419E-2</v>
      </c>
      <c r="J1017" s="5">
        <f t="shared" si="22"/>
        <v>1.2187048559765439E-3</v>
      </c>
      <c r="K1017" s="5">
        <f>$D$17+$D$16*C1017</f>
        <v>3.8449808987296827</v>
      </c>
      <c r="L1017" s="5">
        <f>(D1017-K1017)^2</f>
        <v>5.4966063371703492E-3</v>
      </c>
      <c r="M1017" s="5">
        <f>$D$40+$D$41*EXP(-$D$42*C1017)</f>
        <v>0</v>
      </c>
      <c r="N1017" s="5">
        <f>(D1017-M1017)^2</f>
        <v>15.359501574399999</v>
      </c>
      <c r="O1017" s="5">
        <f>(C1017+C1016)/2</f>
        <v>15.364975000000051</v>
      </c>
      <c r="P1017" s="5" t="str">
        <f>IF(AND(D1016&gt;6,D1017&lt;=6),C1016+(6-D1016)*(C1017-C1016)/(D1017-D1016),"")</f>
        <v/>
      </c>
      <c r="Q1017" s="5" t="str">
        <f>IF(AND(D1016&gt;5,D1017&lt;=5),C1016+(5-D1016)*(C1017-C1016)/(D1017-D1016),"")</f>
        <v/>
      </c>
      <c r="R1017" s="5" t="str">
        <f>IF(AND(D1016&gt;4,D1017&lt;=4),C1016+(4-D1016)*(C1017-C1016)/(D1017-D1016),"")</f>
        <v/>
      </c>
      <c r="S1017" s="5" t="str">
        <f>IF(AND(D1016&gt;3,D1017&lt;=3),C1016+(3-D1016)*(C1017-C1016)/(D1017-D1016),"")</f>
        <v/>
      </c>
    </row>
    <row r="1018" spans="1:19" ht="20.100000000000001" customHeight="1">
      <c r="A1018" t="s">
        <v>4</v>
      </c>
      <c r="B1018">
        <v>673</v>
      </c>
      <c r="C1018" s="5">
        <f>('Raw Data'!C673-'Raw Data'!$C$487)/60</f>
        <v>15.489850000000054</v>
      </c>
      <c r="D1018" s="5">
        <f>'Raw Data'!J673</f>
        <v>3.9191199999999999</v>
      </c>
      <c r="E1018" s="5">
        <f>$D$832-D1018</f>
        <v>3.2093099999999999</v>
      </c>
      <c r="F1018" s="8">
        <f>10^(-D1018)</f>
        <v>1.2047030226330609E-4</v>
      </c>
      <c r="G1018" s="5">
        <f>(D1018-D1017)/(C1018-C1017)</f>
        <v>0</v>
      </c>
      <c r="H1018" s="5">
        <f>$D$9+$D$10*EXP(-$D$11*C1018)</f>
        <v>3.8817740485750325</v>
      </c>
      <c r="I1018" s="5">
        <f>D1018-H1018</f>
        <v>3.7345951424967438E-2</v>
      </c>
      <c r="J1018" s="5">
        <f t="shared" si="22"/>
        <v>1.3947200878360274E-3</v>
      </c>
      <c r="K1018" s="5">
        <f>$D$17+$D$16*C1018</f>
        <v>3.8331576374477314</v>
      </c>
      <c r="L1018" s="5">
        <f>(D1018-K1018)^2</f>
        <v>7.3895277755676577E-3</v>
      </c>
      <c r="M1018" s="5">
        <f>$D$40+$D$41*EXP(-$D$42*C1018)</f>
        <v>0</v>
      </c>
      <c r="N1018" s="5">
        <f>(D1018-M1018)^2</f>
        <v>15.359501574399999</v>
      </c>
      <c r="O1018" s="5">
        <f>(C1018+C1017)/2</f>
        <v>15.448183333333388</v>
      </c>
      <c r="P1018" s="5" t="str">
        <f>IF(AND(D1017&gt;6,D1018&lt;=6),C1017+(6-D1017)*(C1018-C1017)/(D1018-D1017),"")</f>
        <v/>
      </c>
      <c r="Q1018" s="5" t="str">
        <f>IF(AND(D1017&gt;5,D1018&lt;=5),C1017+(5-D1017)*(C1018-C1017)/(D1018-D1017),"")</f>
        <v/>
      </c>
      <c r="R1018" s="5" t="str">
        <f>IF(AND(D1017&gt;4,D1018&lt;=4),C1017+(4-D1017)*(C1018-C1017)/(D1018-D1017),"")</f>
        <v/>
      </c>
      <c r="S1018" s="5" t="str">
        <f>IF(AND(D1017&gt;3,D1018&lt;=3),C1017+(3-D1017)*(C1018-C1017)/(D1018-D1017),"")</f>
        <v/>
      </c>
    </row>
    <row r="1019" spans="1:19" ht="20.100000000000001" customHeight="1">
      <c r="A1019" t="s">
        <v>4</v>
      </c>
      <c r="B1019">
        <v>674</v>
      </c>
      <c r="C1019" s="5">
        <f>('Raw Data'!C674-'Raw Data'!$C$487)/60</f>
        <v>15.573183333333388</v>
      </c>
      <c r="D1019" s="5">
        <f>'Raw Data'!J674</f>
        <v>3.9110499999999999</v>
      </c>
      <c r="E1019" s="5">
        <f>$D$832-D1019</f>
        <v>3.2173799999999999</v>
      </c>
      <c r="F1019" s="8">
        <f>10^(-D1019)</f>
        <v>1.2272979251289813E-4</v>
      </c>
      <c r="G1019" s="5">
        <f>(D1019-D1018)/(C1019-C1018)</f>
        <v>-9.6839999999999565E-2</v>
      </c>
      <c r="H1019" s="5">
        <f>$D$9+$D$10*EXP(-$D$11*C1019)</f>
        <v>3.8793810504348651</v>
      </c>
      <c r="I1019" s="5">
        <f>D1019-H1019</f>
        <v>3.1668949565134774E-2</v>
      </c>
      <c r="J1019" s="5">
        <f t="shared" si="22"/>
        <v>1.0029223665590501E-3</v>
      </c>
      <c r="K1019" s="5">
        <f>$D$17+$D$16*C1019</f>
        <v>3.8213343761657796</v>
      </c>
      <c r="L1019" s="5">
        <f>(D1019-K1019)^2</f>
        <v>8.0488931599633131E-3</v>
      </c>
      <c r="M1019" s="5">
        <f>$D$40+$D$41*EXP(-$D$42*C1019)</f>
        <v>0</v>
      </c>
      <c r="N1019" s="5">
        <f>(D1019-M1019)^2</f>
        <v>15.2963121025</v>
      </c>
      <c r="O1019" s="5">
        <f>(C1019+C1018)/2</f>
        <v>15.531516666666722</v>
      </c>
      <c r="P1019" s="5" t="str">
        <f>IF(AND(D1018&gt;6,D1019&lt;=6),C1018+(6-D1018)*(C1019-C1018)/(D1019-D1018),"")</f>
        <v/>
      </c>
      <c r="Q1019" s="5" t="str">
        <f>IF(AND(D1018&gt;5,D1019&lt;=5),C1018+(5-D1018)*(C1019-C1018)/(D1019-D1018),"")</f>
        <v/>
      </c>
      <c r="R1019" s="5" t="str">
        <f>IF(AND(D1018&gt;4,D1019&lt;=4),C1018+(4-D1018)*(C1019-C1018)/(D1019-D1018),"")</f>
        <v/>
      </c>
      <c r="S1019" s="5" t="str">
        <f>IF(AND(D1018&gt;3,D1019&lt;=3),C1018+(3-D1018)*(C1019-C1018)/(D1019-D1018),"")</f>
        <v/>
      </c>
    </row>
    <row r="1020" spans="1:19" ht="20.100000000000001" customHeight="1">
      <c r="A1020" t="s">
        <v>4</v>
      </c>
      <c r="B1020">
        <v>675</v>
      </c>
      <c r="C1020" s="5">
        <f>('Raw Data'!C675-'Raw Data'!$C$487)/60</f>
        <v>15.656516666666722</v>
      </c>
      <c r="D1020" s="5">
        <f>'Raw Data'!J675</f>
        <v>3.9133599999999999</v>
      </c>
      <c r="E1020" s="5">
        <f>$D$832-D1020</f>
        <v>3.2150699999999999</v>
      </c>
      <c r="F1020" s="8">
        <f>10^(-D1020)</f>
        <v>1.2207872926477801E-4</v>
      </c>
      <c r="G1020" s="5">
        <f>(D1020-D1019)/(C1020-C1019)</f>
        <v>2.7720000000000213E-2</v>
      </c>
      <c r="H1020" s="5">
        <f>$D$9+$D$10*EXP(-$D$11*C1020)</f>
        <v>3.8770302930192542</v>
      </c>
      <c r="I1020" s="5">
        <f>D1020-H1020</f>
        <v>3.632970698074578E-2</v>
      </c>
      <c r="J1020" s="5">
        <f t="shared" si="22"/>
        <v>1.3198476093068485E-3</v>
      </c>
      <c r="K1020" s="5">
        <f>$D$17+$D$16*C1020</f>
        <v>3.8095111148838279</v>
      </c>
      <c r="L1020" s="5">
        <f>(D1020-K1020)^2</f>
        <v>1.0784590939871906E-2</v>
      </c>
      <c r="M1020" s="5">
        <f>$D$40+$D$41*EXP(-$D$42*C1020)</f>
        <v>0</v>
      </c>
      <c r="N1020" s="5">
        <f>(D1020-M1020)^2</f>
        <v>15.3143864896</v>
      </c>
      <c r="O1020" s="5">
        <f>(C1020+C1019)/2</f>
        <v>15.614850000000054</v>
      </c>
      <c r="P1020" s="5" t="str">
        <f>IF(AND(D1019&gt;6,D1020&lt;=6),C1019+(6-D1019)*(C1020-C1019)/(D1020-D1019),"")</f>
        <v/>
      </c>
      <c r="Q1020" s="5" t="str">
        <f>IF(AND(D1019&gt;5,D1020&lt;=5),C1019+(5-D1019)*(C1020-C1019)/(D1020-D1019),"")</f>
        <v/>
      </c>
      <c r="R1020" s="5" t="str">
        <f>IF(AND(D1019&gt;4,D1020&lt;=4),C1019+(4-D1019)*(C1020-C1019)/(D1020-D1019),"")</f>
        <v/>
      </c>
      <c r="S1020" s="5" t="str">
        <f>IF(AND(D1019&gt;3,D1020&lt;=3),C1019+(3-D1019)*(C1020-C1019)/(D1020-D1019),"")</f>
        <v/>
      </c>
    </row>
    <row r="1021" spans="1:19" ht="20.100000000000001" customHeight="1">
      <c r="A1021" t="s">
        <v>4</v>
      </c>
      <c r="B1021">
        <v>676</v>
      </c>
      <c r="C1021" s="5">
        <f>('Raw Data'!C676-'Raw Data'!$C$487)/60</f>
        <v>15.739583333333334</v>
      </c>
      <c r="D1021" s="5">
        <f>'Raw Data'!J676</f>
        <v>3.9064299999999998</v>
      </c>
      <c r="E1021" s="5">
        <f>$D$832-D1021</f>
        <v>3.222</v>
      </c>
      <c r="F1021" s="8">
        <f>10^(-D1021)</f>
        <v>1.2404235416600066E-4</v>
      </c>
      <c r="G1021" s="5">
        <f>(D1021-D1020)/(C1021-C1020)</f>
        <v>-8.3426966292190749E-2</v>
      </c>
      <c r="H1021" s="5">
        <f>$D$9+$D$10*EXP(-$D$11*C1021)</f>
        <v>3.8747283549441005</v>
      </c>
      <c r="I1021" s="5">
        <f>D1021-H1021</f>
        <v>3.1701645055899341E-2</v>
      </c>
      <c r="J1021" s="5">
        <f t="shared" si="22"/>
        <v>1.0049942992502272E-3</v>
      </c>
      <c r="K1021" s="5">
        <f>$D$17+$D$16*C1021</f>
        <v>3.7977256880379864</v>
      </c>
      <c r="L1021" s="5">
        <f>(D1021-K1021)^2</f>
        <v>1.1816627439134744E-2</v>
      </c>
      <c r="M1021" s="5">
        <f>$D$40+$D$41*EXP(-$D$42*C1021)</f>
        <v>0</v>
      </c>
      <c r="N1021" s="5">
        <f>(D1021-M1021)^2</f>
        <v>15.2601953449</v>
      </c>
      <c r="O1021" s="5">
        <f>(C1021+C1020)/2</f>
        <v>15.698050000000027</v>
      </c>
      <c r="P1021" s="5" t="str">
        <f>IF(AND(D1020&gt;6,D1021&lt;=6),C1020+(6-D1020)*(C1021-C1020)/(D1021-D1020),"")</f>
        <v/>
      </c>
      <c r="Q1021" s="5" t="str">
        <f>IF(AND(D1020&gt;5,D1021&lt;=5),C1020+(5-D1020)*(C1021-C1020)/(D1021-D1020),"")</f>
        <v/>
      </c>
      <c r="R1021" s="5" t="str">
        <f>IF(AND(D1020&gt;4,D1021&lt;=4),C1020+(4-D1020)*(C1021-C1020)/(D1021-D1020),"")</f>
        <v/>
      </c>
      <c r="S1021" s="5" t="str">
        <f>IF(AND(D1020&gt;3,D1021&lt;=3),C1020+(3-D1020)*(C1021-C1020)/(D1021-D1020),"")</f>
        <v/>
      </c>
    </row>
    <row r="1022" spans="1:19" ht="20.100000000000001" customHeight="1">
      <c r="A1022" t="s">
        <v>4</v>
      </c>
      <c r="B1022">
        <v>677</v>
      </c>
      <c r="C1022" s="5">
        <f>('Raw Data'!C677-'Raw Data'!$C$487)/60</f>
        <v>15.823183333333388</v>
      </c>
      <c r="D1022" s="5">
        <f>'Raw Data'!J677</f>
        <v>3.9087399999999999</v>
      </c>
      <c r="E1022" s="5">
        <f>$D$832-D1022</f>
        <v>3.2196899999999999</v>
      </c>
      <c r="F1022" s="8">
        <f>10^(-D1022)</f>
        <v>1.2338432797403672E-4</v>
      </c>
      <c r="G1022" s="5">
        <f>(D1022-D1021)/(C1022-C1021)</f>
        <v>2.7631578947351031E-2</v>
      </c>
      <c r="H1022" s="5">
        <f>$D$9+$D$10*EXP(-$D$11*C1022)</f>
        <v>3.8724525310240354</v>
      </c>
      <c r="I1022" s="5">
        <f>D1022-H1022</f>
        <v>3.6287468975964465E-2</v>
      </c>
      <c r="J1022" s="5">
        <f t="shared" si="22"/>
        <v>1.3167804046815836E-3</v>
      </c>
      <c r="K1022" s="5">
        <f>$D$17+$D$16*C1022</f>
        <v>3.7858645923199248</v>
      </c>
      <c r="L1022" s="5">
        <f>(D1022-K1022)^2</f>
        <v>1.5098365812544659E-2</v>
      </c>
      <c r="M1022" s="5">
        <f>$D$40+$D$41*EXP(-$D$42*C1022)</f>
        <v>0</v>
      </c>
      <c r="N1022" s="5">
        <f>(D1022-M1022)^2</f>
        <v>15.2782483876</v>
      </c>
      <c r="O1022" s="5">
        <f>(C1022+C1021)/2</f>
        <v>15.781383333333361</v>
      </c>
      <c r="P1022" s="5" t="str">
        <f>IF(AND(D1021&gt;6,D1022&lt;=6),C1021+(6-D1021)*(C1022-C1021)/(D1022-D1021),"")</f>
        <v/>
      </c>
      <c r="Q1022" s="5" t="str">
        <f>IF(AND(D1021&gt;5,D1022&lt;=5),C1021+(5-D1021)*(C1022-C1021)/(D1022-D1021),"")</f>
        <v/>
      </c>
      <c r="R1022" s="5" t="str">
        <f>IF(AND(D1021&gt;4,D1022&lt;=4),C1021+(4-D1021)*(C1022-C1021)/(D1022-D1021),"")</f>
        <v/>
      </c>
      <c r="S1022" s="5" t="str">
        <f>IF(AND(D1021&gt;3,D1022&lt;=3),C1021+(3-D1021)*(C1022-C1021)/(D1022-D1021),"")</f>
        <v/>
      </c>
    </row>
    <row r="1023" spans="1:19" ht="20.100000000000001" customHeight="1">
      <c r="A1023" t="s">
        <v>4</v>
      </c>
      <c r="B1023">
        <v>678</v>
      </c>
      <c r="C1023" s="5">
        <f>('Raw Data'!C678-'Raw Data'!$C$487)/60</f>
        <v>15.90625</v>
      </c>
      <c r="D1023" s="5">
        <f>'Raw Data'!J678</f>
        <v>3.9052799999999999</v>
      </c>
      <c r="E1023" s="5">
        <f>$D$832-D1023</f>
        <v>3.22315</v>
      </c>
      <c r="F1023" s="8">
        <f>10^(-D1023)</f>
        <v>1.2437125021467002E-4</v>
      </c>
      <c r="G1023" s="5">
        <f>(D1023-D1022)/(C1023-C1022)</f>
        <v>-4.1653290529722546E-2</v>
      </c>
      <c r="H1023" s="5">
        <f>$D$9+$D$10*EXP(-$D$11*C1023)</f>
        <v>3.8702311423981075</v>
      </c>
      <c r="I1023" s="5">
        <f>D1023-H1023</f>
        <v>3.5048857601892358E-2</v>
      </c>
      <c r="J1023" s="5">
        <f t="shared" si="22"/>
        <v>1.2284224191977278E-3</v>
      </c>
      <c r="K1023" s="5">
        <f>$D$17+$D$16*C1023</f>
        <v>3.7740791654740833</v>
      </c>
      <c r="L1023" s="5">
        <f>(D1023-K1023)^2</f>
        <v>1.7213658980296944E-2</v>
      </c>
      <c r="M1023" s="5">
        <f>$D$40+$D$41*EXP(-$D$42*C1023)</f>
        <v>0</v>
      </c>
      <c r="N1023" s="5">
        <f>(D1023-M1023)^2</f>
        <v>15.251211878399999</v>
      </c>
      <c r="O1023" s="5">
        <f>(C1023+C1022)/2</f>
        <v>15.864716666666695</v>
      </c>
      <c r="P1023" s="5" t="str">
        <f>IF(AND(D1022&gt;6,D1023&lt;=6),C1022+(6-D1022)*(C1023-C1022)/(D1023-D1022),"")</f>
        <v/>
      </c>
      <c r="Q1023" s="5" t="str">
        <f>IF(AND(D1022&gt;5,D1023&lt;=5),C1022+(5-D1022)*(C1023-C1022)/(D1023-D1022),"")</f>
        <v/>
      </c>
      <c r="R1023" s="5" t="str">
        <f>IF(AND(D1022&gt;4,D1023&lt;=4),C1022+(4-D1022)*(C1023-C1022)/(D1023-D1022),"")</f>
        <v/>
      </c>
      <c r="S1023" s="5" t="str">
        <f>IF(AND(D1022&gt;3,D1023&lt;=3),C1022+(3-D1022)*(C1023-C1022)/(D1023-D1022),"")</f>
        <v/>
      </c>
    </row>
    <row r="1024" spans="1:19" ht="20.100000000000001" customHeight="1">
      <c r="A1024" t="s">
        <v>4</v>
      </c>
      <c r="B1024">
        <v>679</v>
      </c>
      <c r="C1024" s="5">
        <f>('Raw Data'!C679-'Raw Data'!$C$487)/60</f>
        <v>15.989583333333334</v>
      </c>
      <c r="D1024" s="5">
        <f>'Raw Data'!J679</f>
        <v>3.9041299999999999</v>
      </c>
      <c r="E1024" s="5">
        <f>$D$832-D1024</f>
        <v>3.2242999999999999</v>
      </c>
      <c r="F1024" s="8">
        <f>10^(-D1024)</f>
        <v>1.2470101832523761E-4</v>
      </c>
      <c r="G1024" s="5">
        <f>(D1024-D1023)/(C1024-C1023)</f>
        <v>-1.3799999999999714E-2</v>
      </c>
      <c r="H1024" s="5">
        <f>$D$9+$D$10*EXP(-$D$11*C1024)</f>
        <v>3.8680418973291246</v>
      </c>
      <c r="I1024" s="5">
        <f>D1024-H1024</f>
        <v>3.6088102670875255E-2</v>
      </c>
      <c r="J1024" s="5">
        <f t="shared" si="22"/>
        <v>1.3023511543836337E-3</v>
      </c>
      <c r="K1024" s="5">
        <f>$D$17+$D$16*C1024</f>
        <v>3.7622559041921315</v>
      </c>
      <c r="L1024" s="5">
        <f>(D1024-K1024)^2</f>
        <v>2.012825906130021E-2</v>
      </c>
      <c r="M1024" s="5">
        <f>$D$40+$D$41*EXP(-$D$42*C1024)</f>
        <v>0</v>
      </c>
      <c r="N1024" s="5">
        <f>(D1024-M1024)^2</f>
        <v>15.2422310569</v>
      </c>
      <c r="O1024" s="5">
        <f>(C1024+C1023)/2</f>
        <v>15.947916666666668</v>
      </c>
      <c r="P1024" s="5" t="str">
        <f>IF(AND(D1023&gt;6,D1024&lt;=6),C1023+(6-D1023)*(C1024-C1023)/(D1024-D1023),"")</f>
        <v/>
      </c>
      <c r="Q1024" s="5" t="str">
        <f>IF(AND(D1023&gt;5,D1024&lt;=5),C1023+(5-D1023)*(C1024-C1023)/(D1024-D1023),"")</f>
        <v/>
      </c>
      <c r="R1024" s="5" t="str">
        <f>IF(AND(D1023&gt;4,D1024&lt;=4),C1023+(4-D1023)*(C1024-C1023)/(D1024-D1023),"")</f>
        <v/>
      </c>
      <c r="S1024" s="5" t="str">
        <f>IF(AND(D1023&gt;3,D1024&lt;=3),C1023+(3-D1023)*(C1024-C1023)/(D1024-D1023),"")</f>
        <v/>
      </c>
    </row>
    <row r="1025" spans="1:19" ht="20.100000000000001" customHeight="1">
      <c r="A1025" t="s">
        <v>4</v>
      </c>
      <c r="B1025">
        <v>680</v>
      </c>
      <c r="C1025" s="5">
        <f>('Raw Data'!C680-'Raw Data'!$C$487)/60</f>
        <v>16.072916666666668</v>
      </c>
      <c r="D1025" s="5">
        <f>'Raw Data'!J680</f>
        <v>3.8914399999999998</v>
      </c>
      <c r="E1025" s="5">
        <f>$D$832-D1025</f>
        <v>3.23699</v>
      </c>
      <c r="F1025" s="8">
        <f>10^(-D1025)</f>
        <v>1.2839851473230241E-4</v>
      </c>
      <c r="G1025" s="5">
        <f>(D1025-D1024)/(C1025-C1024)</f>
        <v>-0.15228</v>
      </c>
      <c r="H1025" s="5">
        <f>$D$9+$D$10*EXP(-$D$11*C1025)</f>
        <v>3.8658912963762373</v>
      </c>
      <c r="I1025" s="5">
        <f>D1025-H1025</f>
        <v>2.5548703623762492E-2</v>
      </c>
      <c r="J1025" s="5">
        <f t="shared" si="22"/>
        <v>6.5273625685485467E-4</v>
      </c>
      <c r="K1025" s="5">
        <f>$D$17+$D$16*C1025</f>
        <v>3.7504326429101797</v>
      </c>
      <c r="L1025" s="5">
        <f>(D1025-K1025)^2</f>
        <v>1.988307475345602E-2</v>
      </c>
      <c r="M1025" s="5">
        <f>$D$40+$D$41*EXP(-$D$42*C1025)</f>
        <v>0</v>
      </c>
      <c r="N1025" s="5">
        <f>(D1025-M1025)^2</f>
        <v>15.143305273599998</v>
      </c>
      <c r="O1025" s="5">
        <f>(C1025+C1024)/2</f>
        <v>16.03125</v>
      </c>
      <c r="P1025" s="5" t="str">
        <f>IF(AND(D1024&gt;6,D1025&lt;=6),C1024+(6-D1024)*(C1025-C1024)/(D1025-D1024),"")</f>
        <v/>
      </c>
      <c r="Q1025" s="5" t="str">
        <f>IF(AND(D1024&gt;5,D1025&lt;=5),C1024+(5-D1024)*(C1025-C1024)/(D1025-D1024),"")</f>
        <v/>
      </c>
      <c r="R1025" s="5" t="str">
        <f>IF(AND(D1024&gt;4,D1025&lt;=4),C1024+(4-D1024)*(C1025-C1024)/(D1025-D1024),"")</f>
        <v/>
      </c>
      <c r="S1025" s="5" t="str">
        <f>IF(AND(D1024&gt;3,D1025&lt;=3),C1024+(3-D1024)*(C1025-C1024)/(D1025-D1024),"")</f>
        <v/>
      </c>
    </row>
    <row r="1026" spans="1:19" ht="20.100000000000001" customHeight="1">
      <c r="A1026" t="s">
        <v>4</v>
      </c>
      <c r="B1026">
        <v>681</v>
      </c>
      <c r="C1026" s="5">
        <f>('Raw Data'!C681-'Raw Data'!$C$487)/60</f>
        <v>16.15625</v>
      </c>
      <c r="D1026" s="5">
        <f>'Raw Data'!J681</f>
        <v>3.8914399999999998</v>
      </c>
      <c r="E1026" s="5">
        <f>$D$832-D1026</f>
        <v>3.23699</v>
      </c>
      <c r="F1026" s="8">
        <f>10^(-D1026)</f>
        <v>1.2839851473230241E-4</v>
      </c>
      <c r="G1026" s="5">
        <f>(D1026-D1025)/(C1026-C1025)</f>
        <v>0</v>
      </c>
      <c r="H1026" s="5">
        <f>$D$9+$D$10*EXP(-$D$11*C1026)</f>
        <v>3.8637786574012374</v>
      </c>
      <c r="I1026" s="5">
        <f>D1026-H1026</f>
        <v>2.7661342598762406E-2</v>
      </c>
      <c r="J1026" s="5">
        <f t="shared" si="22"/>
        <v>7.6514987436610774E-4</v>
      </c>
      <c r="K1026" s="5">
        <f>$D$17+$D$16*C1026</f>
        <v>3.7386093816282284</v>
      </c>
      <c r="L1026" s="5">
        <f>(D1026-K1026)^2</f>
        <v>2.3357197911898019E-2</v>
      </c>
      <c r="M1026" s="5">
        <f>$D$40+$D$41*EXP(-$D$42*C1026)</f>
        <v>0</v>
      </c>
      <c r="N1026" s="5">
        <f>(D1026-M1026)^2</f>
        <v>15.143305273599998</v>
      </c>
      <c r="O1026" s="5">
        <f>(C1026+C1025)/2</f>
        <v>16.114583333333336</v>
      </c>
      <c r="P1026" s="5" t="str">
        <f>IF(AND(D1025&gt;6,D1026&lt;=6),C1025+(6-D1025)*(C1026-C1025)/(D1026-D1025),"")</f>
        <v/>
      </c>
      <c r="Q1026" s="5" t="str">
        <f>IF(AND(D1025&gt;5,D1026&lt;=5),C1025+(5-D1025)*(C1026-C1025)/(D1026-D1025),"")</f>
        <v/>
      </c>
      <c r="R1026" s="5" t="str">
        <f>IF(AND(D1025&gt;4,D1026&lt;=4),C1025+(4-D1025)*(C1026-C1025)/(D1026-D1025),"")</f>
        <v/>
      </c>
      <c r="S1026" s="5" t="str">
        <f>IF(AND(D1025&gt;3,D1026&lt;=3),C1025+(3-D1025)*(C1026-C1025)/(D1026-D1025),"")</f>
        <v/>
      </c>
    </row>
    <row r="1027" spans="1:19" ht="20.100000000000001" customHeight="1">
      <c r="A1027" t="s">
        <v>4</v>
      </c>
      <c r="B1027">
        <v>682</v>
      </c>
      <c r="C1027" s="5">
        <f>('Raw Data'!C682-'Raw Data'!$C$487)/60</f>
        <v>16.239316666666735</v>
      </c>
      <c r="D1027" s="5">
        <f>'Raw Data'!J682</f>
        <v>3.8948999999999998</v>
      </c>
      <c r="E1027" s="5">
        <f>$D$832-D1027</f>
        <v>3.23353</v>
      </c>
      <c r="F1027" s="8">
        <f>10^(-D1027)</f>
        <v>1.2737963497001941E-4</v>
      </c>
      <c r="G1027" s="5">
        <f>(D1027-D1026)/(C1027-C1026)</f>
        <v>4.1653290529661088E-2</v>
      </c>
      <c r="H1027" s="5">
        <f>$D$9+$D$10*EXP(-$D$11*C1027)</f>
        <v>3.8617098926434115</v>
      </c>
      <c r="I1027" s="5">
        <f>D1027-H1027</f>
        <v>3.3190107356588339E-2</v>
      </c>
      <c r="J1027" s="5">
        <f t="shared" si="22"/>
        <v>1.1015832263418593E-3</v>
      </c>
      <c r="K1027" s="5">
        <f>$D$17+$D$16*C1027</f>
        <v>3.7268239547823696</v>
      </c>
      <c r="L1027" s="5">
        <f>(D1027-K1027)^2</f>
        <v>2.8249556975998871E-2</v>
      </c>
      <c r="M1027" s="5">
        <f>$D$40+$D$41*EXP(-$D$42*C1027)</f>
        <v>0</v>
      </c>
      <c r="N1027" s="5">
        <f>(D1027-M1027)^2</f>
        <v>15.170246009999998</v>
      </c>
      <c r="O1027" s="5">
        <f>(C1027+C1026)/2</f>
        <v>16.197783333333369</v>
      </c>
      <c r="P1027" s="5" t="str">
        <f>IF(AND(D1026&gt;6,D1027&lt;=6),C1026+(6-D1026)*(C1027-C1026)/(D1027-D1026),"")</f>
        <v/>
      </c>
      <c r="Q1027" s="5" t="str">
        <f>IF(AND(D1026&gt;5,D1027&lt;=5),C1026+(5-D1026)*(C1027-C1026)/(D1027-D1026),"")</f>
        <v/>
      </c>
      <c r="R1027" s="5" t="str">
        <f>IF(AND(D1026&gt;4,D1027&lt;=4),C1026+(4-D1026)*(C1027-C1026)/(D1027-D1026),"")</f>
        <v/>
      </c>
      <c r="S1027" s="5" t="str">
        <f>IF(AND(D1026&gt;3,D1027&lt;=3),C1026+(3-D1026)*(C1027-C1026)/(D1027-D1026),"")</f>
        <v/>
      </c>
    </row>
    <row r="1028" spans="1:19" ht="20.100000000000001" customHeight="1">
      <c r="A1028" t="s">
        <v>4</v>
      </c>
      <c r="B1028">
        <v>683</v>
      </c>
      <c r="C1028" s="5">
        <f>('Raw Data'!C683-'Raw Data'!$C$487)/60</f>
        <v>16.322916666666668</v>
      </c>
      <c r="D1028" s="5">
        <f>'Raw Data'!J683</f>
        <v>3.8868200000000002</v>
      </c>
      <c r="E1028" s="5">
        <f>$D$832-D1028</f>
        <v>3.2416099999999997</v>
      </c>
      <c r="F1028" s="8">
        <f>10^(-D1028)</f>
        <v>1.2977170182324634E-4</v>
      </c>
      <c r="G1028" s="5">
        <f>(D1028-D1027)/(C1028-C1027)</f>
        <v>-9.6650717703422401E-2</v>
      </c>
      <c r="H1028" s="5">
        <f>$D$9+$D$10*EXP(-$D$11*C1028)</f>
        <v>3.859664596824357</v>
      </c>
      <c r="I1028" s="5">
        <f>D1028-H1028</f>
        <v>2.7155403175643134E-2</v>
      </c>
      <c r="J1028" s="5">
        <f t="shared" si="22"/>
        <v>7.3741592163172921E-4</v>
      </c>
      <c r="K1028" s="5">
        <f>$D$17+$D$16*C1028</f>
        <v>3.7149628590643253</v>
      </c>
      <c r="L1028" s="5">
        <f>(D1028-K1028)^2</f>
        <v>2.9534876890584403E-2</v>
      </c>
      <c r="M1028" s="5">
        <f>$D$40+$D$41*EXP(-$D$42*C1028)</f>
        <v>0</v>
      </c>
      <c r="N1028" s="5">
        <f>(D1028-M1028)^2</f>
        <v>15.107369712400001</v>
      </c>
      <c r="O1028" s="5">
        <f>(C1028+C1027)/2</f>
        <v>16.281116666666701</v>
      </c>
      <c r="P1028" s="5" t="str">
        <f>IF(AND(D1027&gt;6,D1028&lt;=6),C1027+(6-D1027)*(C1028-C1027)/(D1028-D1027),"")</f>
        <v/>
      </c>
      <c r="Q1028" s="5" t="str">
        <f>IF(AND(D1027&gt;5,D1028&lt;=5),C1027+(5-D1027)*(C1028-C1027)/(D1028-D1027),"")</f>
        <v/>
      </c>
      <c r="R1028" s="5" t="str">
        <f>IF(AND(D1027&gt;4,D1028&lt;=4),C1027+(4-D1027)*(C1028-C1027)/(D1028-D1027),"")</f>
        <v/>
      </c>
      <c r="S1028" s="5" t="str">
        <f>IF(AND(D1027&gt;3,D1028&lt;=3),C1027+(3-D1027)*(C1028-C1027)/(D1028-D1027),"")</f>
        <v/>
      </c>
    </row>
    <row r="1029" spans="1:19" ht="20.100000000000001" customHeight="1">
      <c r="A1029" t="s">
        <v>4</v>
      </c>
      <c r="B1029">
        <v>684</v>
      </c>
      <c r="C1029" s="5">
        <f>('Raw Data'!C684-'Raw Data'!$C$487)/60</f>
        <v>16.405983333333399</v>
      </c>
      <c r="D1029" s="5">
        <f>'Raw Data'!J684</f>
        <v>3.8914399999999998</v>
      </c>
      <c r="E1029" s="5">
        <f>$D$832-D1029</f>
        <v>3.23699</v>
      </c>
      <c r="F1029" s="8">
        <f>10^(-D1029)</f>
        <v>1.2839851473230241E-4</v>
      </c>
      <c r="G1029" s="5">
        <f>(D1029-D1028)/(C1029-C1028)</f>
        <v>5.561797752804213E-2</v>
      </c>
      <c r="H1029" s="5">
        <f>$D$9+$D$10*EXP(-$D$11*C1029)</f>
        <v>3.8576682223117862</v>
      </c>
      <c r="I1029" s="5">
        <f>D1029-H1029</f>
        <v>3.37717776882136E-2</v>
      </c>
      <c r="J1029" s="5">
        <f t="shared" si="22"/>
        <v>1.1405329682221219E-3</v>
      </c>
      <c r="K1029" s="5">
        <f>$D$17+$D$16*C1029</f>
        <v>3.7031774322184665</v>
      </c>
      <c r="L1029" s="5">
        <f>(D1029-K1029)^2</f>
        <v>3.5442794427696413E-2</v>
      </c>
      <c r="M1029" s="5">
        <f>$D$40+$D$41*EXP(-$D$42*C1029)</f>
        <v>0</v>
      </c>
      <c r="N1029" s="5">
        <f>(D1029-M1029)^2</f>
        <v>15.143305273599998</v>
      </c>
      <c r="O1029" s="5">
        <f>(C1029+C1028)/2</f>
        <v>16.364450000000033</v>
      </c>
      <c r="P1029" s="5" t="str">
        <f>IF(AND(D1028&gt;6,D1029&lt;=6),C1028+(6-D1028)*(C1029-C1028)/(D1029-D1028),"")</f>
        <v/>
      </c>
      <c r="Q1029" s="5" t="str">
        <f>IF(AND(D1028&gt;5,D1029&lt;=5),C1028+(5-D1028)*(C1029-C1028)/(D1029-D1028),"")</f>
        <v/>
      </c>
      <c r="R1029" s="5" t="str">
        <f>IF(AND(D1028&gt;4,D1029&lt;=4),C1028+(4-D1028)*(C1029-C1028)/(D1029-D1028),"")</f>
        <v/>
      </c>
      <c r="S1029" s="5" t="str">
        <f>IF(AND(D1028&gt;3,D1029&lt;=3),C1028+(3-D1028)*(C1029-C1028)/(D1029-D1028),"")</f>
        <v/>
      </c>
    </row>
    <row r="1030" spans="1:19" ht="20.100000000000001" customHeight="1">
      <c r="A1030" t="s">
        <v>4</v>
      </c>
      <c r="B1030">
        <v>685</v>
      </c>
      <c r="C1030" s="5">
        <f>('Raw Data'!C685-'Raw Data'!$C$487)/60</f>
        <v>16.489316666666735</v>
      </c>
      <c r="D1030" s="5">
        <f>'Raw Data'!J685</f>
        <v>3.8925900000000002</v>
      </c>
      <c r="E1030" s="5">
        <f>$D$832-D1030</f>
        <v>3.2358399999999996</v>
      </c>
      <c r="F1030" s="8">
        <f>10^(-D1030)</f>
        <v>1.2805896870315517E-4</v>
      </c>
      <c r="G1030" s="5">
        <f>(D1030-D1029)/(C1030-C1029)</f>
        <v>1.3800000000004749E-2</v>
      </c>
      <c r="H1030" s="5">
        <f>$D$9+$D$10*EXP(-$D$11*C1030)</f>
        <v>3.8557007353955073</v>
      </c>
      <c r="I1030" s="5">
        <f>D1030-H1030</f>
        <v>3.6889264604492933E-2</v>
      </c>
      <c r="J1030" s="5">
        <f t="shared" si="22"/>
        <v>1.3608178430602952E-3</v>
      </c>
      <c r="K1030" s="5">
        <f>$D$17+$D$16*C1030</f>
        <v>3.6913541709365147</v>
      </c>
      <c r="L1030" s="5">
        <f>(D1030-K1030)^2</f>
        <v>4.0495858898868344E-2</v>
      </c>
      <c r="M1030" s="5">
        <f>$D$40+$D$41*EXP(-$D$42*C1030)</f>
        <v>0</v>
      </c>
      <c r="N1030" s="5">
        <f>(D1030-M1030)^2</f>
        <v>15.152256908100002</v>
      </c>
      <c r="O1030" s="5">
        <f>(C1030+C1029)/2</f>
        <v>16.447650000000067</v>
      </c>
      <c r="P1030" s="5" t="str">
        <f>IF(AND(D1029&gt;6,D1030&lt;=6),C1029+(6-D1029)*(C1030-C1029)/(D1030-D1029),"")</f>
        <v/>
      </c>
      <c r="Q1030" s="5" t="str">
        <f>IF(AND(D1029&gt;5,D1030&lt;=5),C1029+(5-D1029)*(C1030-C1029)/(D1030-D1029),"")</f>
        <v/>
      </c>
      <c r="R1030" s="5" t="str">
        <f>IF(AND(D1029&gt;4,D1030&lt;=4),C1029+(4-D1029)*(C1030-C1029)/(D1030-D1029),"")</f>
        <v/>
      </c>
      <c r="S1030" s="5" t="str">
        <f>IF(AND(D1029&gt;3,D1030&lt;=3),C1029+(3-D1029)*(C1030-C1029)/(D1030-D1029),"")</f>
        <v/>
      </c>
    </row>
    <row r="1031" spans="1:19" ht="20.100000000000001" customHeight="1">
      <c r="A1031" t="s">
        <v>4</v>
      </c>
      <c r="B1031">
        <v>686</v>
      </c>
      <c r="C1031" s="5">
        <f>('Raw Data'!C686-'Raw Data'!$C$487)/60</f>
        <v>16.572650000000067</v>
      </c>
      <c r="D1031" s="5">
        <f>'Raw Data'!J686</f>
        <v>3.8845200000000002</v>
      </c>
      <c r="E1031" s="5">
        <f>$D$832-D1031</f>
        <v>3.2439099999999996</v>
      </c>
      <c r="F1031" s="8">
        <f>10^(-D1031)</f>
        <v>1.3046078878429973E-4</v>
      </c>
      <c r="G1031" s="5">
        <f>(D1031-D1030)/(C1031-C1030)</f>
        <v>-9.6840000000001633E-2</v>
      </c>
      <c r="H1031" s="5">
        <f>$D$9+$D$10*EXP(-$D$11*C1031)</f>
        <v>3.8537679781647656</v>
      </c>
      <c r="I1031" s="5">
        <f>D1031-H1031</f>
        <v>3.0752021835234622E-2</v>
      </c>
      <c r="J1031" s="5">
        <f t="shared" si="22"/>
        <v>9.4568684695474695E-4</v>
      </c>
      <c r="K1031" s="5">
        <f>$D$17+$D$16*C1031</f>
        <v>3.6795309096545634</v>
      </c>
      <c r="L1031" s="5">
        <f>(D1031-K1031)^2</f>
        <v>4.2020527160649641E-2</v>
      </c>
      <c r="M1031" s="5">
        <f>$D$40+$D$41*EXP(-$D$42*C1031)</f>
        <v>0</v>
      </c>
      <c r="N1031" s="5">
        <f>(D1031-M1031)^2</f>
        <v>15.089495630400002</v>
      </c>
      <c r="O1031" s="5">
        <f>(C1031+C1030)/2</f>
        <v>16.530983333333403</v>
      </c>
      <c r="P1031" s="5" t="str">
        <f>IF(AND(D1030&gt;6,D1031&lt;=6),C1030+(6-D1030)*(C1031-C1030)/(D1031-D1030),"")</f>
        <v/>
      </c>
      <c r="Q1031" s="5" t="str">
        <f>IF(AND(D1030&gt;5,D1031&lt;=5),C1030+(5-D1030)*(C1031-C1030)/(D1031-D1030),"")</f>
        <v/>
      </c>
      <c r="R1031" s="5" t="str">
        <f>IF(AND(D1030&gt;4,D1031&lt;=4),C1030+(4-D1030)*(C1031-C1030)/(D1031-D1030),"")</f>
        <v/>
      </c>
      <c r="S1031" s="5" t="str">
        <f>IF(AND(D1030&gt;3,D1031&lt;=3),C1030+(3-D1030)*(C1031-C1030)/(D1031-D1030),"")</f>
        <v/>
      </c>
    </row>
    <row r="1032" spans="1:19" ht="20.100000000000001" customHeight="1">
      <c r="A1032" t="s">
        <v>4</v>
      </c>
      <c r="B1032">
        <v>687</v>
      </c>
      <c r="C1032" s="5">
        <f>('Raw Data'!C687-'Raw Data'!$C$487)/60</f>
        <v>16.655983333333399</v>
      </c>
      <c r="D1032" s="5">
        <f>'Raw Data'!J687</f>
        <v>3.8799000000000001</v>
      </c>
      <c r="E1032" s="5">
        <f>$D$832-D1032</f>
        <v>3.2485299999999997</v>
      </c>
      <c r="F1032" s="8">
        <f>10^(-D1032)</f>
        <v>1.3185603133368954E-4</v>
      </c>
      <c r="G1032" s="5">
        <f>(D1032-D1031)/(C1032-C1031)</f>
        <v>-5.5440000000001613E-2</v>
      </c>
      <c r="H1032" s="5">
        <f>$D$9+$D$10*EXP(-$D$11*C1032)</f>
        <v>3.8518693375780977</v>
      </c>
      <c r="I1032" s="5">
        <f>D1032-H1032</f>
        <v>2.8030662421902441E-2</v>
      </c>
      <c r="J1032" s="5">
        <f t="shared" si="22"/>
        <v>7.8571803581065362E-4</v>
      </c>
      <c r="K1032" s="5">
        <f>$D$17+$D$16*C1032</f>
        <v>3.6677076483726121</v>
      </c>
      <c r="L1032" s="5">
        <f>(D1032-K1032)^2</f>
        <v>4.5025594089161083E-2</v>
      </c>
      <c r="M1032" s="5">
        <f>$D$40+$D$41*EXP(-$D$42*C1032)</f>
        <v>0</v>
      </c>
      <c r="N1032" s="5">
        <f>(D1032-M1032)^2</f>
        <v>15.053624010000002</v>
      </c>
      <c r="O1032" s="5">
        <f>(C1032+C1031)/2</f>
        <v>16.614316666666731</v>
      </c>
      <c r="P1032" s="5" t="str">
        <f>IF(AND(D1031&gt;6,D1032&lt;=6),C1031+(6-D1031)*(C1032-C1031)/(D1032-D1031),"")</f>
        <v/>
      </c>
      <c r="Q1032" s="5" t="str">
        <f>IF(AND(D1031&gt;5,D1032&lt;=5),C1031+(5-D1031)*(C1032-C1031)/(D1032-D1031),"")</f>
        <v/>
      </c>
      <c r="R1032" s="5" t="str">
        <f>IF(AND(D1031&gt;4,D1032&lt;=4),C1031+(4-D1031)*(C1032-C1031)/(D1032-D1031),"")</f>
        <v/>
      </c>
      <c r="S1032" s="5" t="str">
        <f>IF(AND(D1031&gt;3,D1032&lt;=3),C1031+(3-D1031)*(C1032-C1031)/(D1032-D1031),"")</f>
        <v/>
      </c>
    </row>
    <row r="1033" spans="1:19" ht="20.100000000000001" customHeight="1">
      <c r="A1033" t="s">
        <v>4</v>
      </c>
      <c r="B1033">
        <v>688</v>
      </c>
      <c r="C1033" s="5">
        <f>('Raw Data'!C688-'Raw Data'!$C$487)/60</f>
        <v>16.739066666666741</v>
      </c>
      <c r="D1033" s="5">
        <f>'Raw Data'!J688</f>
        <v>3.8752900000000001</v>
      </c>
      <c r="E1033" s="5">
        <f>$D$832-D1033</f>
        <v>3.2531399999999997</v>
      </c>
      <c r="F1033" s="8">
        <f>10^(-D1033)</f>
        <v>1.3326312708932913E-4</v>
      </c>
      <c r="G1033" s="5">
        <f>(D1033-D1032)/(C1033-C1032)</f>
        <v>-5.5486459378128912E-2</v>
      </c>
      <c r="H1033" s="5">
        <f>$D$9+$D$10*EXP(-$D$11*C1033)</f>
        <v>3.8500097572645493</v>
      </c>
      <c r="I1033" s="5">
        <f>D1033-H1033</f>
        <v>2.528024273545082E-2</v>
      </c>
      <c r="J1033" s="5">
        <f t="shared" si="22"/>
        <v>6.3909067276331395E-4</v>
      </c>
      <c r="K1033" s="5">
        <f>$D$17+$D$16*C1033</f>
        <v>3.655919856874505</v>
      </c>
      <c r="L1033" s="5">
        <f>(D1033-K1033)^2</f>
        <v>4.8123259694900195E-2</v>
      </c>
      <c r="M1033" s="5">
        <f>$D$40+$D$41*EXP(-$D$42*C1033)</f>
        <v>0</v>
      </c>
      <c r="N1033" s="5">
        <f>(D1033-M1033)^2</f>
        <v>15.017872584100001</v>
      </c>
      <c r="O1033" s="5">
        <f>(C1033+C1032)/2</f>
        <v>16.69752500000007</v>
      </c>
      <c r="P1033" s="5" t="str">
        <f>IF(AND(D1032&gt;6,D1033&lt;=6),C1032+(6-D1032)*(C1033-C1032)/(D1033-D1032),"")</f>
        <v/>
      </c>
      <c r="Q1033" s="5" t="str">
        <f>IF(AND(D1032&gt;5,D1033&lt;=5),C1032+(5-D1032)*(C1033-C1032)/(D1033-D1032),"")</f>
        <v/>
      </c>
      <c r="R1033" s="5" t="str">
        <f>IF(AND(D1032&gt;4,D1033&lt;=4),C1032+(4-D1032)*(C1033-C1032)/(D1033-D1032),"")</f>
        <v/>
      </c>
      <c r="S1033" s="5" t="str">
        <f>IF(AND(D1032&gt;3,D1033&lt;=3),C1032+(3-D1032)*(C1033-C1032)/(D1033-D1032),"")</f>
        <v/>
      </c>
    </row>
    <row r="1034" spans="1:19" ht="20.100000000000001" customHeight="1">
      <c r="A1034" t="s">
        <v>4</v>
      </c>
      <c r="B1034">
        <v>689</v>
      </c>
      <c r="C1034" s="5">
        <f>('Raw Data'!C689-'Raw Data'!$C$487)/60</f>
        <v>16.822650000000074</v>
      </c>
      <c r="D1034" s="5">
        <f>'Raw Data'!J689</f>
        <v>3.8764400000000001</v>
      </c>
      <c r="E1034" s="5">
        <f>$D$832-D1034</f>
        <v>3.2519899999999997</v>
      </c>
      <c r="F1034" s="8">
        <f>10^(-D1034)</f>
        <v>1.3291071673840514E-4</v>
      </c>
      <c r="G1034" s="5">
        <f>(D1034-D1033)/(C1034-C1033)</f>
        <v>1.3758723828514268E-2</v>
      </c>
      <c r="H1034" s="5">
        <f>$D$9+$D$10*EXP(-$D$11*C1034)</f>
        <v>3.8481720080865434</v>
      </c>
      <c r="I1034" s="5">
        <f>D1034-H1034</f>
        <v>2.8267991913456747E-2</v>
      </c>
      <c r="J1034" s="5">
        <f t="shared" si="22"/>
        <v>7.9907936681925603E-4</v>
      </c>
      <c r="K1034" s="5">
        <f>$D$17+$D$16*C1034</f>
        <v>3.6440611258087077</v>
      </c>
      <c r="L1034" s="5">
        <f>(D1034-K1034)^2</f>
        <v>5.399994117041252E-2</v>
      </c>
      <c r="M1034" s="5">
        <f>$D$40+$D$41*EXP(-$D$42*C1034)</f>
        <v>0</v>
      </c>
      <c r="N1034" s="5">
        <f>(D1034-M1034)^2</f>
        <v>15.026787073600001</v>
      </c>
      <c r="O1034" s="5">
        <f>(C1034+C1033)/2</f>
        <v>16.780858333333406</v>
      </c>
      <c r="P1034" s="5" t="str">
        <f>IF(AND(D1033&gt;6,D1034&lt;=6),C1033+(6-D1033)*(C1034-C1033)/(D1034-D1033),"")</f>
        <v/>
      </c>
      <c r="Q1034" s="5" t="str">
        <f>IF(AND(D1033&gt;5,D1034&lt;=5),C1033+(5-D1033)*(C1034-C1033)/(D1034-D1033),"")</f>
        <v/>
      </c>
      <c r="R1034" s="5" t="str">
        <f>IF(AND(D1033&gt;4,D1034&lt;=4),C1033+(4-D1033)*(C1034-C1033)/(D1034-D1033),"")</f>
        <v/>
      </c>
      <c r="S1034" s="5" t="str">
        <f>IF(AND(D1033&gt;3,D1034&lt;=3),C1033+(3-D1033)*(C1034-C1033)/(D1034-D1033),"")</f>
        <v/>
      </c>
    </row>
    <row r="1035" spans="1:19" ht="20.100000000000001" customHeight="1">
      <c r="A1035" t="s">
        <v>4</v>
      </c>
      <c r="B1035">
        <v>690</v>
      </c>
      <c r="C1035" s="5">
        <f>('Raw Data'!C690-'Raw Data'!$C$487)/60</f>
        <v>16.905733333333405</v>
      </c>
      <c r="D1035" s="5">
        <f>'Raw Data'!J690</f>
        <v>3.8764400000000001</v>
      </c>
      <c r="E1035" s="5">
        <f>$D$832-D1035</f>
        <v>3.2519899999999997</v>
      </c>
      <c r="F1035" s="8">
        <f>10^(-D1035)</f>
        <v>1.3291071673840514E-4</v>
      </c>
      <c r="G1035" s="5">
        <f>(D1035-D1034)/(C1035-C1034)</f>
        <v>0</v>
      </c>
      <c r="H1035" s="5">
        <f>$D$9+$D$10*EXP(-$D$11*C1035)</f>
        <v>3.8463774982332586</v>
      </c>
      <c r="I1035" s="5">
        <f>D1035-H1035</f>
        <v>3.0062501766741523E-2</v>
      </c>
      <c r="J1035" s="5">
        <f t="shared" si="22"/>
        <v>9.0375401247533716E-4</v>
      </c>
      <c r="K1035" s="5">
        <f>$D$17+$D$16*C1035</f>
        <v>3.632273334310602</v>
      </c>
      <c r="L1035" s="5">
        <f>(D1035-K1035)^2</f>
        <v>5.9617360633878319E-2</v>
      </c>
      <c r="M1035" s="5">
        <f>$D$40+$D$41*EXP(-$D$42*C1035)</f>
        <v>0</v>
      </c>
      <c r="N1035" s="5">
        <f>(D1035-M1035)^2</f>
        <v>15.026787073600001</v>
      </c>
      <c r="O1035" s="5">
        <f>(C1035+C1034)/2</f>
        <v>16.864191666666741</v>
      </c>
      <c r="P1035" s="5" t="str">
        <f>IF(AND(D1034&gt;6,D1035&lt;=6),C1034+(6-D1034)*(C1035-C1034)/(D1035-D1034),"")</f>
        <v/>
      </c>
      <c r="Q1035" s="5" t="str">
        <f>IF(AND(D1034&gt;5,D1035&lt;=5),C1034+(5-D1034)*(C1035-C1034)/(D1035-D1034),"")</f>
        <v/>
      </c>
      <c r="R1035" s="5" t="str">
        <f>IF(AND(D1034&gt;4,D1035&lt;=4),C1034+(4-D1034)*(C1035-C1034)/(D1035-D1034),"")</f>
        <v/>
      </c>
      <c r="S1035" s="5" t="str">
        <f>IF(AND(D1034&gt;3,D1035&lt;=3),C1034+(3-D1034)*(C1035-C1034)/(D1035-D1034),"")</f>
        <v/>
      </c>
    </row>
    <row r="1036" spans="1:19" ht="20.100000000000001" customHeight="1">
      <c r="A1036" t="s">
        <v>4</v>
      </c>
      <c r="B1036">
        <v>691</v>
      </c>
      <c r="C1036" s="5">
        <f>('Raw Data'!C691-'Raw Data'!$C$487)/60</f>
        <v>16.989066666666741</v>
      </c>
      <c r="D1036" s="5">
        <f>'Raw Data'!J691</f>
        <v>3.8799000000000001</v>
      </c>
      <c r="E1036" s="5">
        <f>$D$832-D1036</f>
        <v>3.2485299999999997</v>
      </c>
      <c r="F1036" s="8">
        <f>10^(-D1036)</f>
        <v>1.3185603133368954E-4</v>
      </c>
      <c r="G1036" s="5">
        <f>(D1036-D1035)/(C1036-C1035)</f>
        <v>4.1519999999999044E-2</v>
      </c>
      <c r="H1036" s="5">
        <f>$D$9+$D$10*EXP(-$D$11*C1036)</f>
        <v>3.8446093129202015</v>
      </c>
      <c r="I1036" s="5">
        <f>D1036-H1036</f>
        <v>3.5290687079798655E-2</v>
      </c>
      <c r="J1036" s="5">
        <f t="shared" si="22"/>
        <v>1.2454325945642677E-3</v>
      </c>
      <c r="K1036" s="5">
        <f>$D$17+$D$16*C1036</f>
        <v>3.6204500730286502</v>
      </c>
      <c r="L1036" s="5">
        <f>(D1036-K1036)^2</f>
        <v>6.7314264605438823E-2</v>
      </c>
      <c r="M1036" s="5">
        <f>$D$40+$D$41*EXP(-$D$42*C1036)</f>
        <v>0</v>
      </c>
      <c r="N1036" s="5">
        <f>(D1036-M1036)^2</f>
        <v>15.053624010000002</v>
      </c>
      <c r="O1036" s="5">
        <f>(C1036+C1035)/2</f>
        <v>16.947400000000073</v>
      </c>
      <c r="P1036" s="5" t="str">
        <f>IF(AND(D1035&gt;6,D1036&lt;=6),C1035+(6-D1035)*(C1036-C1035)/(D1036-D1035),"")</f>
        <v/>
      </c>
      <c r="Q1036" s="5" t="str">
        <f>IF(AND(D1035&gt;5,D1036&lt;=5),C1035+(5-D1035)*(C1036-C1035)/(D1036-D1035),"")</f>
        <v/>
      </c>
      <c r="R1036" s="5" t="str">
        <f>IF(AND(D1035&gt;4,D1036&lt;=4),C1035+(4-D1035)*(C1036-C1035)/(D1036-D1035),"")</f>
        <v/>
      </c>
      <c r="S1036" s="5" t="str">
        <f>IF(AND(D1035&gt;3,D1036&lt;=3),C1035+(3-D1035)*(C1036-C1035)/(D1036-D1035),"")</f>
        <v/>
      </c>
    </row>
    <row r="1037" spans="1:19" ht="20.100000000000001" customHeight="1">
      <c r="A1037" t="s">
        <v>4</v>
      </c>
      <c r="B1037">
        <v>692</v>
      </c>
      <c r="C1037" s="5">
        <f>('Raw Data'!C692-'Raw Data'!$C$487)/60</f>
        <v>17.072400000000073</v>
      </c>
      <c r="D1037" s="5">
        <f>'Raw Data'!J692</f>
        <v>3.8752900000000001</v>
      </c>
      <c r="E1037" s="5">
        <f>$D$832-D1037</f>
        <v>3.2531399999999997</v>
      </c>
      <c r="F1037" s="8">
        <f>10^(-D1037)</f>
        <v>1.3326312708932913E-4</v>
      </c>
      <c r="G1037" s="5">
        <f>(D1037-D1036)/(C1037-C1036)</f>
        <v>-5.532000000000082E-2</v>
      </c>
      <c r="H1037" s="5">
        <f>$D$9+$D$10*EXP(-$D$11*C1037)</f>
        <v>3.8428723392606425</v>
      </c>
      <c r="I1037" s="5">
        <f>D1037-H1037</f>
        <v>3.241766073935759E-2</v>
      </c>
      <c r="J1037" s="5">
        <f t="shared" si="22"/>
        <v>1.0509047278120865E-3</v>
      </c>
      <c r="K1037" s="5">
        <f>$D$17+$D$16*C1037</f>
        <v>3.6086268117466989</v>
      </c>
      <c r="L1037" s="5">
        <f>(D1037-K1037)^2</f>
        <v>7.1109255969415586E-2</v>
      </c>
      <c r="M1037" s="5">
        <f>$D$40+$D$41*EXP(-$D$42*C1037)</f>
        <v>0</v>
      </c>
      <c r="N1037" s="5">
        <f>(D1037-M1037)^2</f>
        <v>15.017872584100001</v>
      </c>
      <c r="O1037" s="5">
        <f>(C1037+C1036)/2</f>
        <v>17.030733333333409</v>
      </c>
      <c r="P1037" s="5" t="str">
        <f>IF(AND(D1036&gt;6,D1037&lt;=6),C1036+(6-D1036)*(C1037-C1036)/(D1037-D1036),"")</f>
        <v/>
      </c>
      <c r="Q1037" s="5" t="str">
        <f>IF(AND(D1036&gt;5,D1037&lt;=5),C1036+(5-D1036)*(C1037-C1036)/(D1037-D1036),"")</f>
        <v/>
      </c>
      <c r="R1037" s="5" t="str">
        <f>IF(AND(D1036&gt;4,D1037&lt;=4),C1036+(4-D1036)*(C1037-C1036)/(D1037-D1036),"")</f>
        <v/>
      </c>
      <c r="S1037" s="5" t="str">
        <f>IF(AND(D1036&gt;3,D1037&lt;=3),C1036+(3-D1036)*(C1037-C1036)/(D1037-D1036),"")</f>
        <v/>
      </c>
    </row>
    <row r="1038" spans="1:19" ht="20.100000000000001" customHeight="1">
      <c r="A1038" t="s">
        <v>4</v>
      </c>
      <c r="B1038">
        <v>693</v>
      </c>
      <c r="C1038" s="5">
        <f>('Raw Data'!C693-'Raw Data'!$C$487)/60</f>
        <v>17.15546666666669</v>
      </c>
      <c r="D1038" s="5">
        <f>'Raw Data'!J693</f>
        <v>3.8799000000000001</v>
      </c>
      <c r="E1038" s="5">
        <f>$D$832-D1038</f>
        <v>3.2485299999999997</v>
      </c>
      <c r="F1038" s="8">
        <f>10^(-D1038)</f>
        <v>1.3185603133368954E-4</v>
      </c>
      <c r="G1038" s="5">
        <f>(D1038-D1037)/(C1038-C1037)</f>
        <v>5.5497592295377957E-2</v>
      </c>
      <c r="H1038" s="5">
        <f>$D$9+$D$10*EXP(-$D$11*C1038)</f>
        <v>3.8411714381910871</v>
      </c>
      <c r="I1038" s="5">
        <f>D1038-H1038</f>
        <v>3.8728561808913042E-2</v>
      </c>
      <c r="J1038" s="5">
        <f t="shared" si="22"/>
        <v>1.4999014997867978E-3</v>
      </c>
      <c r="K1038" s="5">
        <f>$D$17+$D$16*C1038</f>
        <v>3.5968413849008565</v>
      </c>
      <c r="L1038" s="5">
        <f>(D1038-K1038)^2</f>
        <v>8.0122179581845157E-2</v>
      </c>
      <c r="M1038" s="5">
        <f>$D$40+$D$41*EXP(-$D$42*C1038)</f>
        <v>0</v>
      </c>
      <c r="N1038" s="5">
        <f>(D1038-M1038)^2</f>
        <v>15.053624010000002</v>
      </c>
      <c r="O1038" s="5">
        <f>(C1038+C1037)/2</f>
        <v>17.113933333333382</v>
      </c>
      <c r="P1038" s="5" t="str">
        <f>IF(AND(D1037&gt;6,D1038&lt;=6),C1037+(6-D1037)*(C1038-C1037)/(D1038-D1037),"")</f>
        <v/>
      </c>
      <c r="Q1038" s="5" t="str">
        <f>IF(AND(D1037&gt;5,D1038&lt;=5),C1037+(5-D1037)*(C1038-C1037)/(D1038-D1037),"")</f>
        <v/>
      </c>
      <c r="R1038" s="5" t="str">
        <f>IF(AND(D1037&gt;4,D1038&lt;=4),C1037+(4-D1037)*(C1038-C1037)/(D1038-D1037),"")</f>
        <v/>
      </c>
      <c r="S1038" s="5" t="str">
        <f>IF(AND(D1037&gt;3,D1038&lt;=3),C1037+(3-D1037)*(C1038-C1037)/(D1038-D1037),"")</f>
        <v/>
      </c>
    </row>
    <row r="1039" spans="1:19" ht="20.100000000000001" customHeight="1">
      <c r="A1039" t="s">
        <v>4</v>
      </c>
      <c r="B1039">
        <v>694</v>
      </c>
      <c r="C1039" s="5">
        <f>('Raw Data'!C694-'Raw Data'!$C$487)/60</f>
        <v>17.238800000000023</v>
      </c>
      <c r="D1039" s="5">
        <f>'Raw Data'!J694</f>
        <v>3.8706700000000001</v>
      </c>
      <c r="E1039" s="5">
        <f>$D$832-D1039</f>
        <v>3.2577599999999998</v>
      </c>
      <c r="F1039" s="8">
        <f>10^(-D1039)</f>
        <v>1.3468833988247874E-4</v>
      </c>
      <c r="G1039" s="5">
        <f>(D1039-D1038)/(C1039-C1038)</f>
        <v>-0.11076000000000243</v>
      </c>
      <c r="H1039" s="5">
        <f>$D$9+$D$10*EXP(-$D$11*C1039)</f>
        <v>3.8394951492086506</v>
      </c>
      <c r="I1039" s="5">
        <f>D1039-H1039</f>
        <v>3.1174850791349407E-2</v>
      </c>
      <c r="J1039" s="5">
        <f t="shared" si="22"/>
        <v>9.7187132186289877E-4</v>
      </c>
      <c r="K1039" s="5">
        <f>$D$17+$D$16*C1039</f>
        <v>3.5850181236189052</v>
      </c>
      <c r="L1039" s="5">
        <f>(D1039-K1039)^2</f>
        <v>8.1596994480040319E-2</v>
      </c>
      <c r="M1039" s="5">
        <f>$D$40+$D$41*EXP(-$D$42*C1039)</f>
        <v>0</v>
      </c>
      <c r="N1039" s="5">
        <f>(D1039-M1039)^2</f>
        <v>14.9820862489</v>
      </c>
      <c r="O1039" s="5">
        <f>(C1039+C1038)/2</f>
        <v>17.197133333333355</v>
      </c>
      <c r="P1039" s="5" t="str">
        <f>IF(AND(D1038&gt;6,D1039&lt;=6),C1038+(6-D1038)*(C1039-C1038)/(D1039-D1038),"")</f>
        <v/>
      </c>
      <c r="Q1039" s="5" t="str">
        <f>IF(AND(D1038&gt;5,D1039&lt;=5),C1038+(5-D1038)*(C1039-C1038)/(D1039-D1038),"")</f>
        <v/>
      </c>
      <c r="R1039" s="5" t="str">
        <f>IF(AND(D1038&gt;4,D1039&lt;=4),C1038+(4-D1038)*(C1039-C1038)/(D1039-D1038),"")</f>
        <v/>
      </c>
      <c r="S1039" s="5" t="str">
        <f>IF(AND(D1038&gt;3,D1039&lt;=3),C1038+(3-D1038)*(C1039-C1038)/(D1039-D1038),"")</f>
        <v/>
      </c>
    </row>
    <row r="1040" spans="1:19" ht="20.100000000000001" customHeight="1">
      <c r="A1040" t="s">
        <v>4</v>
      </c>
      <c r="B1040">
        <v>695</v>
      </c>
      <c r="C1040" s="5">
        <f>('Raw Data'!C695-'Raw Data'!$C$487)/60</f>
        <v>17.321883333333371</v>
      </c>
      <c r="D1040" s="5">
        <f>'Raw Data'!J695</f>
        <v>3.8683700000000001</v>
      </c>
      <c r="E1040" s="5">
        <f>$D$832-D1040</f>
        <v>3.2600599999999997</v>
      </c>
      <c r="F1040" s="8">
        <f>10^(-D1040)</f>
        <v>1.3540353416224057E-4</v>
      </c>
      <c r="G1040" s="5">
        <f>(D1040-D1039)/(C1040-C1039)</f>
        <v>-2.7683049147436824E-2</v>
      </c>
      <c r="H1040" s="5">
        <f>$D$9+$D$10*EXP(-$D$11*C1040)</f>
        <v>3.8378533461136124</v>
      </c>
      <c r="I1040" s="5">
        <f>D1040-H1040</f>
        <v>3.051665388638769E-2</v>
      </c>
      <c r="J1040" s="5">
        <f t="shared" si="22"/>
        <v>9.3126616442158088E-4</v>
      </c>
      <c r="K1040" s="5">
        <f>$D$17+$D$16*C1040</f>
        <v>3.5732303321207972</v>
      </c>
      <c r="L1040" s="5">
        <f>(D1040-K1040)^2</f>
        <v>8.7107423555846178E-2</v>
      </c>
      <c r="M1040" s="5">
        <f>$D$40+$D$41*EXP(-$D$42*C1040)</f>
        <v>0</v>
      </c>
      <c r="N1040" s="5">
        <f>(D1040-M1040)^2</f>
        <v>14.9642864569</v>
      </c>
      <c r="O1040" s="5">
        <f>(C1040+C1039)/2</f>
        <v>17.280341666666697</v>
      </c>
      <c r="P1040" s="5" t="str">
        <f>IF(AND(D1039&gt;6,D1040&lt;=6),C1039+(6-D1039)*(C1040-C1039)/(D1040-D1039),"")</f>
        <v/>
      </c>
      <c r="Q1040" s="5" t="str">
        <f>IF(AND(D1039&gt;5,D1040&lt;=5),C1039+(5-D1039)*(C1040-C1039)/(D1040-D1039),"")</f>
        <v/>
      </c>
      <c r="R1040" s="5" t="str">
        <f>IF(AND(D1039&gt;4,D1040&lt;=4),C1039+(4-D1039)*(C1040-C1039)/(D1040-D1039),"")</f>
        <v/>
      </c>
      <c r="S1040" s="5" t="str">
        <f>IF(AND(D1039&gt;3,D1040&lt;=3),C1039+(3-D1039)*(C1040-C1039)/(D1040-D1039),"")</f>
        <v/>
      </c>
    </row>
    <row r="1041" spans="1:19" ht="20.100000000000001" customHeight="1">
      <c r="A1041" t="s">
        <v>4</v>
      </c>
      <c r="B1041">
        <v>696</v>
      </c>
      <c r="C1041" s="5">
        <f>('Raw Data'!C696-'Raw Data'!$C$487)/60</f>
        <v>17.40546666666669</v>
      </c>
      <c r="D1041" s="5">
        <f>'Raw Data'!J696</f>
        <v>3.85914</v>
      </c>
      <c r="E1041" s="5">
        <f>$D$832-D1041</f>
        <v>3.2692899999999998</v>
      </c>
      <c r="F1041" s="8">
        <f>10^(-D1041)</f>
        <v>1.3831204417475145E-4</v>
      </c>
      <c r="G1041" s="5">
        <f>(D1041-D1040)/(C1041-C1040)</f>
        <v>-0.11042871385844434</v>
      </c>
      <c r="H1041" s="5">
        <f>$D$9+$D$10*EXP(-$D$11*C1041)</f>
        <v>3.8362308174890773</v>
      </c>
      <c r="I1041" s="5">
        <f>D1041-H1041</f>
        <v>2.2909182510922665E-2</v>
      </c>
      <c r="J1041" s="5">
        <f t="shared" si="22"/>
        <v>5.2483064331876491E-4</v>
      </c>
      <c r="K1041" s="5">
        <f>$D$17+$D$16*C1041</f>
        <v>3.5613716010550016</v>
      </c>
      <c r="L1041" s="5">
        <f>(D1041-K1041)^2</f>
        <v>8.8666019410267721E-2</v>
      </c>
      <c r="M1041" s="5">
        <f>$D$40+$D$41*EXP(-$D$42*C1041)</f>
        <v>0</v>
      </c>
      <c r="N1041" s="5">
        <f>(D1041-M1041)^2</f>
        <v>14.8929615396</v>
      </c>
      <c r="O1041" s="5">
        <f>(C1041+C1040)/2</f>
        <v>17.363675000000029</v>
      </c>
      <c r="P1041" s="5" t="str">
        <f>IF(AND(D1040&gt;6,D1041&lt;=6),C1040+(6-D1040)*(C1041-C1040)/(D1041-D1040),"")</f>
        <v/>
      </c>
      <c r="Q1041" s="5" t="str">
        <f>IF(AND(D1040&gt;5,D1041&lt;=5),C1040+(5-D1040)*(C1041-C1040)/(D1041-D1040),"")</f>
        <v/>
      </c>
      <c r="R1041" s="5" t="str">
        <f>IF(AND(D1040&gt;4,D1041&lt;=4),C1040+(4-D1040)*(C1041-C1040)/(D1041-D1040),"")</f>
        <v/>
      </c>
      <c r="S1041" s="5" t="str">
        <f>IF(AND(D1040&gt;3,D1041&lt;=3),C1040+(3-D1040)*(C1041-C1040)/(D1041-D1040),"")</f>
        <v/>
      </c>
    </row>
    <row r="1042" spans="1:19" ht="20.100000000000001" customHeight="1">
      <c r="A1042" t="s">
        <v>4</v>
      </c>
      <c r="B1042">
        <v>697</v>
      </c>
      <c r="C1042" s="5">
        <f>('Raw Data'!C697-'Raw Data'!$C$487)/60</f>
        <v>17.488550000000039</v>
      </c>
      <c r="D1042" s="5">
        <f>'Raw Data'!J697</f>
        <v>3.86721</v>
      </c>
      <c r="E1042" s="5">
        <f>$D$832-D1042</f>
        <v>3.2612199999999998</v>
      </c>
      <c r="F1042" s="8">
        <f>10^(-D1042)</f>
        <v>1.3576568025760297E-4</v>
      </c>
      <c r="G1042" s="5">
        <f>(D1042-D1041)/(C1042-C1041)</f>
        <v>9.7131394182529918E-2</v>
      </c>
      <c r="H1042" s="5">
        <f>$D$9+$D$10*EXP(-$D$11*C1042)</f>
        <v>3.8346464643908353</v>
      </c>
      <c r="I1042" s="5">
        <f>D1042-H1042</f>
        <v>3.2563535609164695E-2</v>
      </c>
      <c r="J1042" s="5">
        <f t="shared" si="22"/>
        <v>1.060383851369337E-3</v>
      </c>
      <c r="K1042" s="5">
        <f>$D$17+$D$16*C1042</f>
        <v>3.5495838095568937</v>
      </c>
      <c r="L1042" s="5">
        <f>(D1042-K1042)^2</f>
        <v>0.10088639685540048</v>
      </c>
      <c r="M1042" s="5">
        <f>$D$40+$D$41*EXP(-$D$42*C1042)</f>
        <v>0</v>
      </c>
      <c r="N1042" s="5">
        <f>(D1042-M1042)^2</f>
        <v>14.9553131841</v>
      </c>
      <c r="O1042" s="5">
        <f>(C1042+C1041)/2</f>
        <v>17.447008333333365</v>
      </c>
      <c r="P1042" s="5" t="str">
        <f>IF(AND(D1041&gt;6,D1042&lt;=6),C1041+(6-D1041)*(C1042-C1041)/(D1042-D1041),"")</f>
        <v/>
      </c>
      <c r="Q1042" s="5" t="str">
        <f>IF(AND(D1041&gt;5,D1042&lt;=5),C1041+(5-D1041)*(C1042-C1041)/(D1042-D1041),"")</f>
        <v/>
      </c>
      <c r="R1042" s="5" t="str">
        <f>IF(AND(D1041&gt;4,D1042&lt;=4),C1041+(4-D1041)*(C1042-C1041)/(D1042-D1041),"")</f>
        <v/>
      </c>
      <c r="S1042" s="5" t="str">
        <f>IF(AND(D1041&gt;3,D1042&lt;=3),C1041+(3-D1041)*(C1042-C1041)/(D1042-D1041),"")</f>
        <v/>
      </c>
    </row>
    <row r="1043" spans="1:19" ht="20.100000000000001" customHeight="1">
      <c r="A1043" t="s">
        <v>4</v>
      </c>
      <c r="B1043">
        <v>698</v>
      </c>
      <c r="C1043" s="5">
        <f>('Raw Data'!C698-'Raw Data'!$C$487)/60</f>
        <v>17.571883333333371</v>
      </c>
      <c r="D1043" s="5">
        <f>'Raw Data'!J698</f>
        <v>3.86375</v>
      </c>
      <c r="E1043" s="5">
        <f>$D$832-D1043</f>
        <v>3.2646799999999998</v>
      </c>
      <c r="F1043" s="8">
        <f>10^(-D1043)</f>
        <v>1.3685163802518212E-4</v>
      </c>
      <c r="G1043" s="5">
        <f>(D1043-D1042)/(C1043-C1042)</f>
        <v>-4.1520000000000813E-2</v>
      </c>
      <c r="H1043" s="5">
        <f>$D$9+$D$10*EXP(-$D$11*C1043)</f>
        <v>3.8330853529408873</v>
      </c>
      <c r="I1043" s="5">
        <f>D1043-H1043</f>
        <v>3.066464705911276E-2</v>
      </c>
      <c r="J1043" s="5">
        <f t="shared" si="22"/>
        <v>9.4032057925995285E-4</v>
      </c>
      <c r="K1043" s="5">
        <f>$D$17+$D$16*C1043</f>
        <v>3.5377605482749424</v>
      </c>
      <c r="L1043" s="5">
        <f>(D1043-K1043)^2</f>
        <v>0.1062691226360037</v>
      </c>
      <c r="M1043" s="5">
        <f>$D$40+$D$41*EXP(-$D$42*C1043)</f>
        <v>0</v>
      </c>
      <c r="N1043" s="5">
        <f>(D1043-M1043)^2</f>
        <v>14.9285640625</v>
      </c>
      <c r="O1043" s="5">
        <f>(C1043+C1042)/2</f>
        <v>17.530216666666703</v>
      </c>
      <c r="P1043" s="5" t="str">
        <f>IF(AND(D1042&gt;6,D1043&lt;=6),C1042+(6-D1042)*(C1043-C1042)/(D1043-D1042),"")</f>
        <v/>
      </c>
      <c r="Q1043" s="5" t="str">
        <f>IF(AND(D1042&gt;5,D1043&lt;=5),C1042+(5-D1042)*(C1043-C1042)/(D1043-D1042),"")</f>
        <v/>
      </c>
      <c r="R1043" s="5" t="str">
        <f>IF(AND(D1042&gt;4,D1043&lt;=4),C1042+(4-D1042)*(C1043-C1042)/(D1043-D1042),"")</f>
        <v/>
      </c>
      <c r="S1043" s="5" t="str">
        <f>IF(AND(D1042&gt;3,D1043&lt;=3),C1042+(3-D1042)*(C1043-C1042)/(D1043-D1042),"")</f>
        <v/>
      </c>
    </row>
    <row r="1044" spans="1:19" ht="20.100000000000001" customHeight="1">
      <c r="A1044" t="s">
        <v>4</v>
      </c>
      <c r="B1044">
        <v>699</v>
      </c>
      <c r="C1044" s="5">
        <f>('Raw Data'!C699-'Raw Data'!$C$487)/60</f>
        <v>17.655216666666707</v>
      </c>
      <c r="D1044" s="5">
        <f>'Raw Data'!J699</f>
        <v>3.85568</v>
      </c>
      <c r="E1044" s="5">
        <f>$D$832-D1044</f>
        <v>3.2727499999999998</v>
      </c>
      <c r="F1044" s="8">
        <f>10^(-D1044)</f>
        <v>1.3941836970883582E-4</v>
      </c>
      <c r="G1044" s="5">
        <f>(D1044-D1043)/(C1044-C1043)</f>
        <v>-9.6839999999997511E-2</v>
      </c>
      <c r="H1044" s="5">
        <f>$D$9+$D$10*EXP(-$D$11*C1044)</f>
        <v>3.831551797918022</v>
      </c>
      <c r="I1044" s="5">
        <f>D1044-H1044</f>
        <v>2.4128202081977967E-2</v>
      </c>
      <c r="J1044" s="5">
        <f t="shared" si="22"/>
        <v>5.8217013570876597E-4</v>
      </c>
      <c r="K1044" s="5">
        <f>$D$17+$D$16*C1044</f>
        <v>3.5259372869929906</v>
      </c>
      <c r="L1044" s="5">
        <f>(D1044-K1044)^2</f>
        <v>0.10873025678122297</v>
      </c>
      <c r="M1044" s="5">
        <f>$D$40+$D$41*EXP(-$D$42*C1044)</f>
        <v>0</v>
      </c>
      <c r="N1044" s="5">
        <f>(D1044-M1044)^2</f>
        <v>14.8662682624</v>
      </c>
      <c r="O1044" s="5">
        <f>(C1044+C1043)/2</f>
        <v>17.613550000000039</v>
      </c>
      <c r="P1044" s="5" t="str">
        <f>IF(AND(D1043&gt;6,D1044&lt;=6),C1043+(6-D1043)*(C1044-C1043)/(D1044-D1043),"")</f>
        <v/>
      </c>
      <c r="Q1044" s="5" t="str">
        <f>IF(AND(D1043&gt;5,D1044&lt;=5),C1043+(5-D1043)*(C1044-C1043)/(D1044-D1043),"")</f>
        <v/>
      </c>
      <c r="R1044" s="5" t="str">
        <f>IF(AND(D1043&gt;4,D1044&lt;=4),C1043+(4-D1043)*(C1044-C1043)/(D1044-D1043),"")</f>
        <v/>
      </c>
      <c r="S1044" s="5" t="str">
        <f>IF(AND(D1043&gt;3,D1044&lt;=3),C1043+(3-D1043)*(C1044-C1043)/(D1044-D1043),"")</f>
        <v/>
      </c>
    </row>
    <row r="1045" spans="1:19" ht="20.100000000000001" customHeight="1">
      <c r="A1045" t="s">
        <v>4</v>
      </c>
      <c r="B1045">
        <v>700</v>
      </c>
      <c r="C1045" s="5">
        <f>('Raw Data'!C700-'Raw Data'!$C$487)/60</f>
        <v>17.738550000000039</v>
      </c>
      <c r="D1045" s="5">
        <f>'Raw Data'!J700</f>
        <v>3.8626</v>
      </c>
      <c r="E1045" s="5">
        <f>$D$832-D1045</f>
        <v>3.2658299999999998</v>
      </c>
      <c r="F1045" s="8">
        <f>10^(-D1045)</f>
        <v>1.3721449765730564E-4</v>
      </c>
      <c r="G1045" s="5">
        <f>(D1045-D1044)/(C1045-C1044)</f>
        <v>8.3040000000001626E-2</v>
      </c>
      <c r="H1045" s="5">
        <f>$D$9+$D$10*EXP(-$D$11*C1045)</f>
        <v>3.8300453129016998</v>
      </c>
      <c r="I1045" s="5">
        <f>D1045-H1045</f>
        <v>3.2554687098300228E-2</v>
      </c>
      <c r="J1045" s="5">
        <f t="shared" si="22"/>
        <v>1.0598076520682354E-3</v>
      </c>
      <c r="K1045" s="5">
        <f>$D$17+$D$16*C1045</f>
        <v>3.5141140257110388</v>
      </c>
      <c r="L1045" s="5">
        <f>(D1045-K1045)^2</f>
        <v>0.12144247427612655</v>
      </c>
      <c r="M1045" s="5">
        <f>$D$40+$D$41*EXP(-$D$42*C1045)</f>
        <v>0</v>
      </c>
      <c r="N1045" s="5">
        <f>(D1045-M1045)^2</f>
        <v>14.91967876</v>
      </c>
      <c r="O1045" s="5">
        <f>(C1045+C1044)/2</f>
        <v>17.696883333333375</v>
      </c>
      <c r="P1045" s="5" t="str">
        <f>IF(AND(D1044&gt;6,D1045&lt;=6),C1044+(6-D1044)*(C1045-C1044)/(D1045-D1044),"")</f>
        <v/>
      </c>
      <c r="Q1045" s="5" t="str">
        <f>IF(AND(D1044&gt;5,D1045&lt;=5),C1044+(5-D1044)*(C1045-C1044)/(D1045-D1044),"")</f>
        <v/>
      </c>
      <c r="R1045" s="5" t="str">
        <f>IF(AND(D1044&gt;4,D1045&lt;=4),C1044+(4-D1044)*(C1045-C1044)/(D1045-D1044),"")</f>
        <v/>
      </c>
      <c r="S1045" s="5" t="str">
        <f>IF(AND(D1044&gt;3,D1045&lt;=3),C1044+(3-D1044)*(C1045-C1044)/(D1045-D1044),"")</f>
        <v/>
      </c>
    </row>
    <row r="1046" spans="1:19" ht="20.100000000000001" customHeight="1">
      <c r="A1046" t="s">
        <v>4</v>
      </c>
      <c r="B1046">
        <v>701</v>
      </c>
      <c r="C1046" s="5">
        <f>('Raw Data'!C701-'Raw Data'!$C$487)/60</f>
        <v>17.821616666666639</v>
      </c>
      <c r="D1046" s="5">
        <f>'Raw Data'!J701</f>
        <v>3.86144</v>
      </c>
      <c r="E1046" s="5">
        <f>$D$832-D1046</f>
        <v>3.2669899999999998</v>
      </c>
      <c r="F1046" s="8">
        <f>10^(-D1046)</f>
        <v>1.375814872994972E-4</v>
      </c>
      <c r="G1046" s="5">
        <f>(D1046-D1045)/(C1046-C1045)</f>
        <v>-1.3964686998406707E-2</v>
      </c>
      <c r="H1046" s="5">
        <f>$D$9+$D$10*EXP(-$D$11*C1046)</f>
        <v>3.8285701138038726</v>
      </c>
      <c r="I1046" s="5">
        <f>D1046-H1046</f>
        <v>3.2869886196127407E-2</v>
      </c>
      <c r="J1046" s="5">
        <f t="shared" si="22"/>
        <v>1.080429418546367E-3</v>
      </c>
      <c r="K1046" s="5">
        <f>$D$17+$D$16*C1046</f>
        <v>3.5023285988651991</v>
      </c>
      <c r="L1046" s="5">
        <f>(D1046-K1046)^2</f>
        <v>0.12896099842499986</v>
      </c>
      <c r="M1046" s="5">
        <f>$D$40+$D$41*EXP(-$D$42*C1046)</f>
        <v>0</v>
      </c>
      <c r="N1046" s="5">
        <f>(D1046-M1046)^2</f>
        <v>14.9107188736</v>
      </c>
      <c r="O1046" s="5">
        <f>(C1046+C1045)/2</f>
        <v>17.780083333333337</v>
      </c>
      <c r="P1046" s="5" t="str">
        <f>IF(AND(D1045&gt;6,D1046&lt;=6),C1045+(6-D1045)*(C1046-C1045)/(D1046-D1045),"")</f>
        <v/>
      </c>
      <c r="Q1046" s="5" t="str">
        <f>IF(AND(D1045&gt;5,D1046&lt;=5),C1045+(5-D1045)*(C1046-C1045)/(D1046-D1045),"")</f>
        <v/>
      </c>
      <c r="R1046" s="5" t="str">
        <f>IF(AND(D1045&gt;4,D1046&lt;=4),C1045+(4-D1045)*(C1046-C1045)/(D1046-D1045),"")</f>
        <v/>
      </c>
      <c r="S1046" s="5" t="str">
        <f>IF(AND(D1045&gt;3,D1046&lt;=3),C1045+(3-D1045)*(C1046-C1045)/(D1046-D1045),"")</f>
        <v/>
      </c>
    </row>
    <row r="1047" spans="1:19" ht="20.100000000000001" customHeight="1">
      <c r="A1047" t="s">
        <v>4</v>
      </c>
      <c r="B1047">
        <v>702</v>
      </c>
      <c r="C1047" s="5">
        <f>('Raw Data'!C702-'Raw Data'!$C$487)/60</f>
        <v>17.905216666666707</v>
      </c>
      <c r="D1047" s="5">
        <f>'Raw Data'!J702</f>
        <v>3.8499099999999999</v>
      </c>
      <c r="E1047" s="5">
        <f>$D$832-D1047</f>
        <v>3.2785199999999999</v>
      </c>
      <c r="F1047" s="8">
        <f>10^(-D1047)</f>
        <v>1.4128302988662437E-4</v>
      </c>
      <c r="G1047" s="5">
        <f>(D1047-D1046)/(C1047-C1046)</f>
        <v>-0.13791866028696953</v>
      </c>
      <c r="H1047" s="5">
        <f>$D$9+$D$10*EXP(-$D$11*C1047)</f>
        <v>3.827111649985957</v>
      </c>
      <c r="I1047" s="5">
        <f>D1047-H1047</f>
        <v>2.2798350014042956E-2</v>
      </c>
      <c r="J1047" s="5">
        <f t="shared" si="22"/>
        <v>5.1976476336281245E-4</v>
      </c>
      <c r="K1047" s="5">
        <f>$D$17+$D$16*C1047</f>
        <v>3.4904675031471357</v>
      </c>
      <c r="L1047" s="5">
        <f>(D1047-K1047)^2</f>
        <v>0.12919890854382129</v>
      </c>
      <c r="M1047" s="5">
        <f>$D$40+$D$41*EXP(-$D$42*C1047)</f>
        <v>0</v>
      </c>
      <c r="N1047" s="5">
        <f>(D1047-M1047)^2</f>
        <v>14.8218070081</v>
      </c>
      <c r="O1047" s="5">
        <f>(C1047+C1046)/2</f>
        <v>17.863416666666673</v>
      </c>
      <c r="P1047" s="5" t="str">
        <f>IF(AND(D1046&gt;6,D1047&lt;=6),C1046+(6-D1046)*(C1047-C1046)/(D1047-D1046),"")</f>
        <v/>
      </c>
      <c r="Q1047" s="5" t="str">
        <f>IF(AND(D1046&gt;5,D1047&lt;=5),C1046+(5-D1046)*(C1047-C1046)/(D1047-D1046),"")</f>
        <v/>
      </c>
      <c r="R1047" s="5" t="str">
        <f>IF(AND(D1046&gt;4,D1047&lt;=4),C1046+(4-D1046)*(C1047-C1046)/(D1047-D1046),"")</f>
        <v/>
      </c>
      <c r="S1047" s="5" t="str">
        <f>IF(AND(D1046&gt;3,D1047&lt;=3),C1046+(3-D1046)*(C1047-C1046)/(D1047-D1046),"")</f>
        <v/>
      </c>
    </row>
    <row r="1048" spans="1:19" ht="20.100000000000001" customHeight="1">
      <c r="A1048" t="s">
        <v>4</v>
      </c>
      <c r="B1048">
        <v>703</v>
      </c>
      <c r="C1048" s="5">
        <f>('Raw Data'!C703-'Raw Data'!$C$487)/60</f>
        <v>17.988283333333307</v>
      </c>
      <c r="D1048" s="5">
        <f>'Raw Data'!J703</f>
        <v>3.8499099999999999</v>
      </c>
      <c r="E1048" s="5">
        <f>$D$832-D1048</f>
        <v>3.2785199999999999</v>
      </c>
      <c r="F1048" s="8">
        <f>10^(-D1048)</f>
        <v>1.4128302988662437E-4</v>
      </c>
      <c r="G1048" s="5">
        <f>(D1048-D1047)/(C1048-C1047)</f>
        <v>0</v>
      </c>
      <c r="H1048" s="5">
        <f>$D$9+$D$10*EXP(-$D$11*C1048)</f>
        <v>3.8256880710755325</v>
      </c>
      <c r="I1048" s="5">
        <f>D1048-H1048</f>
        <v>2.4221928924467395E-2</v>
      </c>
      <c r="J1048" s="5">
        <f t="shared" si="22"/>
        <v>5.8670184082195017E-4</v>
      </c>
      <c r="K1048" s="5">
        <f>$D$17+$D$16*C1048</f>
        <v>3.478682076301296</v>
      </c>
      <c r="L1048" s="5">
        <f>(D1048-K1048)^2</f>
        <v>0.13781017133365075</v>
      </c>
      <c r="M1048" s="5">
        <f>$D$40+$D$41*EXP(-$D$42*C1048)</f>
        <v>0</v>
      </c>
      <c r="N1048" s="5">
        <f>(D1048-M1048)^2</f>
        <v>14.8218070081</v>
      </c>
      <c r="O1048" s="5">
        <f>(C1048+C1047)/2</f>
        <v>17.946750000000009</v>
      </c>
      <c r="P1048" s="5" t="str">
        <f>IF(AND(D1047&gt;6,D1048&lt;=6),C1047+(6-D1047)*(C1048-C1047)/(D1048-D1047),"")</f>
        <v/>
      </c>
      <c r="Q1048" s="5" t="str">
        <f>IF(AND(D1047&gt;5,D1048&lt;=5),C1047+(5-D1047)*(C1048-C1047)/(D1048-D1047),"")</f>
        <v/>
      </c>
      <c r="R1048" s="5" t="str">
        <f>IF(AND(D1047&gt;4,D1048&lt;=4),C1047+(4-D1047)*(C1048-C1047)/(D1048-D1047),"")</f>
        <v/>
      </c>
      <c r="S1048" s="5" t="str">
        <f>IF(AND(D1047&gt;3,D1048&lt;=3),C1047+(3-D1047)*(C1048-C1047)/(D1048-D1047),"")</f>
        <v/>
      </c>
    </row>
    <row r="1049" spans="1:19" ht="20.100000000000001" customHeight="1">
      <c r="A1049" t="s">
        <v>4</v>
      </c>
      <c r="B1049">
        <v>704</v>
      </c>
      <c r="C1049" s="5">
        <f>('Raw Data'!C704-'Raw Data'!$C$487)/60</f>
        <v>18.071616666666639</v>
      </c>
      <c r="D1049" s="5">
        <f>'Raw Data'!J704</f>
        <v>3.85222</v>
      </c>
      <c r="E1049" s="5">
        <f>$D$832-D1049</f>
        <v>3.2762099999999998</v>
      </c>
      <c r="F1049" s="8">
        <f>10^(-D1049)</f>
        <v>1.4053354448084935E-4</v>
      </c>
      <c r="G1049" s="5">
        <f>(D1049-D1048)/(C1049-C1048)</f>
        <v>2.7720000000000806E-2</v>
      </c>
      <c r="H1049" s="5">
        <f>$D$9+$D$10*EXP(-$D$11*C1049)</f>
        <v>3.8242850913926536</v>
      </c>
      <c r="I1049" s="5">
        <f>D1049-H1049</f>
        <v>2.7934908607346376E-2</v>
      </c>
      <c r="J1049" s="5">
        <f t="shared" si="22"/>
        <v>7.8035911890079459E-4</v>
      </c>
      <c r="K1049" s="5">
        <f>$D$17+$D$16*C1049</f>
        <v>3.4668588150193442</v>
      </c>
      <c r="L1049" s="5">
        <f>(D1049-K1049)^2</f>
        <v>0.14850324288969519</v>
      </c>
      <c r="M1049" s="5">
        <f>$D$40+$D$41*EXP(-$D$42*C1049)</f>
        <v>0</v>
      </c>
      <c r="N1049" s="5">
        <f>(D1049-M1049)^2</f>
        <v>14.839598928399999</v>
      </c>
      <c r="O1049" s="5">
        <f>(C1049+C1048)/2</f>
        <v>18.029949999999971</v>
      </c>
      <c r="P1049" s="5" t="str">
        <f>IF(AND(D1048&gt;6,D1049&lt;=6),C1048+(6-D1048)*(C1049-C1048)/(D1049-D1048),"")</f>
        <v/>
      </c>
      <c r="Q1049" s="5" t="str">
        <f>IF(AND(D1048&gt;5,D1049&lt;=5),C1048+(5-D1048)*(C1049-C1048)/(D1049-D1048),"")</f>
        <v/>
      </c>
      <c r="R1049" s="5" t="str">
        <f>IF(AND(D1048&gt;4,D1049&lt;=4),C1048+(4-D1048)*(C1049-C1048)/(D1049-D1048),"")</f>
        <v/>
      </c>
      <c r="S1049" s="5" t="str">
        <f>IF(AND(D1048&gt;3,D1049&lt;=3),C1048+(3-D1048)*(C1049-C1048)/(D1049-D1048),"")</f>
        <v/>
      </c>
    </row>
    <row r="1050" spans="1:19" ht="20.100000000000001" customHeight="1">
      <c r="A1050" t="s">
        <v>4</v>
      </c>
      <c r="B1050">
        <v>705</v>
      </c>
      <c r="C1050" s="5">
        <f>('Raw Data'!C705-'Raw Data'!$C$487)/60</f>
        <v>18.154949999999975</v>
      </c>
      <c r="D1050" s="5">
        <f>'Raw Data'!J705</f>
        <v>3.8441399999999999</v>
      </c>
      <c r="E1050" s="5">
        <f>$D$832-D1050</f>
        <v>3.2842899999999999</v>
      </c>
      <c r="F1050" s="8">
        <f>10^(-D1050)</f>
        <v>1.4317262908490158E-4</v>
      </c>
      <c r="G1050" s="5">
        <f>(D1050-D1049)/(C1050-C1049)</f>
        <v>-9.6959999999998284E-2</v>
      </c>
      <c r="H1050" s="5">
        <f>$D$9+$D$10*EXP(-$D$11*C1050)</f>
        <v>3.822906876826532</v>
      </c>
      <c r="I1050" s="5">
        <f>D1050-H1050</f>
        <v>2.1233123173467927E-2</v>
      </c>
      <c r="J1050" s="5">
        <f t="shared" si="22"/>
        <v>4.508455196996607E-4</v>
      </c>
      <c r="K1050" s="5">
        <f>$D$17+$D$16*C1050</f>
        <v>3.4550355537373925</v>
      </c>
      <c r="L1050" s="5">
        <f>(D1050-K1050)^2</f>
        <v>0.15140227010133034</v>
      </c>
      <c r="M1050" s="5">
        <f>$D$40+$D$41*EXP(-$D$42*C1050)</f>
        <v>0</v>
      </c>
      <c r="N1050" s="5">
        <f>(D1050-M1050)^2</f>
        <v>14.7774123396</v>
      </c>
      <c r="O1050" s="5">
        <f>(C1050+C1049)/2</f>
        <v>18.113283333333307</v>
      </c>
      <c r="P1050" s="5" t="str">
        <f>IF(AND(D1049&gt;6,D1050&lt;=6),C1049+(6-D1049)*(C1050-C1049)/(D1050-D1049),"")</f>
        <v/>
      </c>
      <c r="Q1050" s="5" t="str">
        <f>IF(AND(D1049&gt;5,D1050&lt;=5),C1049+(5-D1049)*(C1050-C1049)/(D1050-D1049),"")</f>
        <v/>
      </c>
      <c r="R1050" s="5" t="str">
        <f>IF(AND(D1049&gt;4,D1050&lt;=4),C1049+(4-D1049)*(C1050-C1049)/(D1050-D1049),"")</f>
        <v/>
      </c>
      <c r="S1050" s="5" t="str">
        <f>IF(AND(D1049&gt;3,D1050&lt;=3),C1049+(3-D1049)*(C1050-C1049)/(D1050-D1049),"")</f>
        <v/>
      </c>
    </row>
    <row r="1051" spans="1:19" ht="20.100000000000001" customHeight="1">
      <c r="A1051" t="s">
        <v>4</v>
      </c>
      <c r="B1051">
        <v>706</v>
      </c>
      <c r="C1051" s="5">
        <f>('Raw Data'!C706-'Raw Data'!$C$487)/60</f>
        <v>18.238283333333307</v>
      </c>
      <c r="D1051" s="5">
        <f>'Raw Data'!J706</f>
        <v>3.8475999999999999</v>
      </c>
      <c r="E1051" s="5">
        <f>$D$832-D1051</f>
        <v>3.2808299999999999</v>
      </c>
      <c r="F1051" s="8">
        <f>10^(-D1051)</f>
        <v>1.4203651240480111E-4</v>
      </c>
      <c r="G1051" s="5">
        <f>(D1051-D1050)/(C1051-C1050)</f>
        <v>4.1520000000000813E-2</v>
      </c>
      <c r="H1051" s="5">
        <f>$D$9+$D$10*EXP(-$D$11*C1051)</f>
        <v>3.8215529902282808</v>
      </c>
      <c r="I1051" s="5">
        <f>D1051-H1051</f>
        <v>2.6047009771719143E-2</v>
      </c>
      <c r="J1051" s="5">
        <f t="shared" ref="J1051:J1114" si="23">I1051^2</f>
        <v>6.7844671804803247E-4</v>
      </c>
      <c r="K1051" s="5">
        <f>$D$17+$D$16*C1051</f>
        <v>3.4432122924554411</v>
      </c>
      <c r="L1051" s="5">
        <f>(D1051-K1051)^2</f>
        <v>0.16352941801314361</v>
      </c>
      <c r="M1051" s="5">
        <f>$D$40+$D$41*EXP(-$D$42*C1051)</f>
        <v>0</v>
      </c>
      <c r="N1051" s="5">
        <f>(D1051-M1051)^2</f>
        <v>14.80402576</v>
      </c>
      <c r="O1051" s="5">
        <f>(C1051+C1050)/2</f>
        <v>18.196616666666642</v>
      </c>
      <c r="P1051" s="5" t="str">
        <f>IF(AND(D1050&gt;6,D1051&lt;=6),C1050+(6-D1050)*(C1051-C1050)/(D1051-D1050),"")</f>
        <v/>
      </c>
      <c r="Q1051" s="5" t="str">
        <f>IF(AND(D1050&gt;5,D1051&lt;=5),C1050+(5-D1050)*(C1051-C1050)/(D1051-D1050),"")</f>
        <v/>
      </c>
      <c r="R1051" s="5" t="str">
        <f>IF(AND(D1050&gt;4,D1051&lt;=4),C1050+(4-D1050)*(C1051-C1050)/(D1051-D1050),"")</f>
        <v/>
      </c>
      <c r="S1051" s="5" t="str">
        <f>IF(AND(D1050&gt;3,D1051&lt;=3),C1050+(3-D1050)*(C1051-C1050)/(D1051-D1050),"")</f>
        <v/>
      </c>
    </row>
    <row r="1052" spans="1:19" ht="20.100000000000001" customHeight="1">
      <c r="A1052" t="s">
        <v>4</v>
      </c>
      <c r="B1052">
        <v>707</v>
      </c>
      <c r="C1052" s="5">
        <f>('Raw Data'!C707-'Raw Data'!$C$487)/60</f>
        <v>18.321350000000042</v>
      </c>
      <c r="D1052" s="5">
        <f>'Raw Data'!J707</f>
        <v>3.8464499999999999</v>
      </c>
      <c r="E1052" s="5">
        <f>$D$832-D1052</f>
        <v>3.2819799999999999</v>
      </c>
      <c r="F1052" s="8">
        <f>10^(-D1052)</f>
        <v>1.4241311963715175E-4</v>
      </c>
      <c r="G1052" s="5">
        <f>(D1052-D1051)/(C1052-C1051)</f>
        <v>-1.3844301765638539E-2</v>
      </c>
      <c r="H1052" s="5">
        <f>$D$9+$D$10*EXP(-$D$11*C1052)</f>
        <v>3.8202272204617951</v>
      </c>
      <c r="I1052" s="5">
        <f>D1052-H1052</f>
        <v>2.6222779538204843E-2</v>
      </c>
      <c r="J1052" s="5">
        <f t="shared" si="23"/>
        <v>6.876341667092946E-4</v>
      </c>
      <c r="K1052" s="5">
        <f>$D$17+$D$16*C1052</f>
        <v>3.4314268656095819</v>
      </c>
      <c r="L1052" s="5">
        <f>(D1052-K1052)^2</f>
        <v>0.17224420207924701</v>
      </c>
      <c r="M1052" s="5">
        <f>$D$40+$D$41*EXP(-$D$42*C1052)</f>
        <v>0</v>
      </c>
      <c r="N1052" s="5">
        <f>(D1052-M1052)^2</f>
        <v>14.795177602499999</v>
      </c>
      <c r="O1052" s="5">
        <f>(C1052+C1051)/2</f>
        <v>18.279816666666676</v>
      </c>
      <c r="P1052" s="5" t="str">
        <f>IF(AND(D1051&gt;6,D1052&lt;=6),C1051+(6-D1051)*(C1052-C1051)/(D1052-D1051),"")</f>
        <v/>
      </c>
      <c r="Q1052" s="5" t="str">
        <f>IF(AND(D1051&gt;5,D1052&lt;=5),C1051+(5-D1051)*(C1052-C1051)/(D1052-D1051),"")</f>
        <v/>
      </c>
      <c r="R1052" s="5" t="str">
        <f>IF(AND(D1051&gt;4,D1052&lt;=4),C1051+(4-D1051)*(C1052-C1051)/(D1052-D1051),"")</f>
        <v/>
      </c>
      <c r="S1052" s="5" t="str">
        <f>IF(AND(D1051&gt;3,D1052&lt;=3),C1051+(3-D1051)*(C1052-C1051)/(D1052-D1051),"")</f>
        <v/>
      </c>
    </row>
    <row r="1053" spans="1:19" ht="20.100000000000001" customHeight="1">
      <c r="A1053" t="s">
        <v>4</v>
      </c>
      <c r="B1053">
        <v>708</v>
      </c>
      <c r="C1053" s="5">
        <f>('Raw Data'!C708-'Raw Data'!$C$487)/60</f>
        <v>18.404949999999975</v>
      </c>
      <c r="D1053" s="5">
        <f>'Raw Data'!J708</f>
        <v>3.8406799999999999</v>
      </c>
      <c r="E1053" s="5">
        <f>$D$832-D1053</f>
        <v>3.28775</v>
      </c>
      <c r="F1053" s="8">
        <f>10^(-D1053)</f>
        <v>1.4431783329530608E-4</v>
      </c>
      <c r="G1053" s="5">
        <f>(D1053-D1052)/(C1053-C1052)</f>
        <v>-6.9019138756036755E-2</v>
      </c>
      <c r="H1053" s="5">
        <f>$D$9+$D$10*EXP(-$D$11*C1053)</f>
        <v>3.8189164907859512</v>
      </c>
      <c r="I1053" s="5">
        <f>D1053-H1053</f>
        <v>2.1763509214048682E-2</v>
      </c>
      <c r="J1053" s="5">
        <f t="shared" si="23"/>
        <v>4.7365033330998188E-4</v>
      </c>
      <c r="K1053" s="5">
        <f>$D$17+$D$16*C1053</f>
        <v>3.4195657698915376</v>
      </c>
      <c r="L1053" s="5">
        <f>(D1053-K1053)^2</f>
        <v>0.17733719479984292</v>
      </c>
      <c r="M1053" s="5">
        <f>$D$40+$D$41*EXP(-$D$42*C1053)</f>
        <v>0</v>
      </c>
      <c r="N1053" s="5">
        <f>(D1053-M1053)^2</f>
        <v>14.7508228624</v>
      </c>
      <c r="O1053" s="5">
        <f>(C1053+C1052)/2</f>
        <v>18.363150000000008</v>
      </c>
      <c r="P1053" s="5" t="str">
        <f>IF(AND(D1052&gt;6,D1053&lt;=6),C1052+(6-D1052)*(C1053-C1052)/(D1053-D1052),"")</f>
        <v/>
      </c>
      <c r="Q1053" s="5" t="str">
        <f>IF(AND(D1052&gt;5,D1053&lt;=5),C1052+(5-D1052)*(C1053-C1052)/(D1053-D1052),"")</f>
        <v/>
      </c>
      <c r="R1053" s="5" t="str">
        <f>IF(AND(D1052&gt;4,D1053&lt;=4),C1052+(4-D1052)*(C1053-C1052)/(D1053-D1052),"")</f>
        <v/>
      </c>
      <c r="S1053" s="5" t="str">
        <f>IF(AND(D1052&gt;3,D1053&lt;=3),C1052+(3-D1052)*(C1053-C1052)/(D1053-D1052),"")</f>
        <v/>
      </c>
    </row>
    <row r="1054" spans="1:19" ht="20.100000000000001" customHeight="1">
      <c r="A1054" t="s">
        <v>4</v>
      </c>
      <c r="B1054">
        <v>709</v>
      </c>
      <c r="C1054" s="5">
        <f>('Raw Data'!C709-'Raw Data'!$C$487)/60</f>
        <v>18.488016666666706</v>
      </c>
      <c r="D1054" s="5">
        <f>'Raw Data'!J709</f>
        <v>3.8418299999999999</v>
      </c>
      <c r="E1054" s="5">
        <f>$D$832-D1054</f>
        <v>3.2866</v>
      </c>
      <c r="F1054" s="8">
        <f>10^(-D1054)</f>
        <v>1.4393618910469593E-4</v>
      </c>
      <c r="G1054" s="5">
        <f>(D1054-D1053)/(C1054-C1053)</f>
        <v>1.384430176563913E-2</v>
      </c>
      <c r="H1054" s="5">
        <f>$D$9+$D$10*EXP(-$D$11*C1054)</f>
        <v>3.8176371123736219</v>
      </c>
      <c r="I1054" s="5">
        <f>D1054-H1054</f>
        <v>2.4192887626377946E-2</v>
      </c>
      <c r="J1054" s="5">
        <f t="shared" si="23"/>
        <v>5.8529581170255109E-4</v>
      </c>
      <c r="K1054" s="5">
        <f>$D$17+$D$16*C1054</f>
        <v>3.4077803430456792</v>
      </c>
      <c r="L1054" s="5">
        <f>(D1054-K1054)^2</f>
        <v>0.18839910470216342</v>
      </c>
      <c r="M1054" s="5">
        <f>$D$40+$D$41*EXP(-$D$42*C1054)</f>
        <v>0</v>
      </c>
      <c r="N1054" s="5">
        <f>(D1054-M1054)^2</f>
        <v>14.759657748899999</v>
      </c>
      <c r="O1054" s="5">
        <f>(C1054+C1053)/2</f>
        <v>18.44648333333334</v>
      </c>
      <c r="P1054" s="5" t="str">
        <f>IF(AND(D1053&gt;6,D1054&lt;=6),C1053+(6-D1053)*(C1054-C1053)/(D1054-D1053),"")</f>
        <v/>
      </c>
      <c r="Q1054" s="5" t="str">
        <f>IF(AND(D1053&gt;5,D1054&lt;=5),C1053+(5-D1053)*(C1054-C1053)/(D1054-D1053),"")</f>
        <v/>
      </c>
      <c r="R1054" s="5" t="str">
        <f>IF(AND(D1053&gt;4,D1054&lt;=4),C1053+(4-D1053)*(C1054-C1053)/(D1054-D1053),"")</f>
        <v/>
      </c>
      <c r="S1054" s="5" t="str">
        <f>IF(AND(D1053&gt;3,D1054&lt;=3),C1053+(3-D1053)*(C1054-C1053)/(D1054-D1053),"")</f>
        <v/>
      </c>
    </row>
    <row r="1055" spans="1:19" ht="20.100000000000001" customHeight="1">
      <c r="A1055" t="s">
        <v>4</v>
      </c>
      <c r="B1055">
        <v>710</v>
      </c>
      <c r="C1055" s="5">
        <f>('Raw Data'!C710-'Raw Data'!$C$487)/60</f>
        <v>18.571350000000042</v>
      </c>
      <c r="D1055" s="5">
        <f>'Raw Data'!J710</f>
        <v>3.8349099999999998</v>
      </c>
      <c r="E1055" s="5">
        <f>$D$832-D1055</f>
        <v>3.29352</v>
      </c>
      <c r="F1055" s="8">
        <f>10^(-D1055)</f>
        <v>1.4624802167186309E-4</v>
      </c>
      <c r="G1055" s="5">
        <f>(D1055-D1054)/(C1055-C1054)</f>
        <v>-8.3039999999998088E-2</v>
      </c>
      <c r="H1055" s="5">
        <f>$D$9+$D$10*EXP(-$D$11*C1055)</f>
        <v>3.8163762466035087</v>
      </c>
      <c r="I1055" s="5">
        <f>D1055-H1055</f>
        <v>1.8533753396491104E-2</v>
      </c>
      <c r="J1055" s="5">
        <f t="shared" si="23"/>
        <v>3.4350001496194553E-4</v>
      </c>
      <c r="K1055" s="5">
        <f>$D$17+$D$16*C1055</f>
        <v>3.3959570817637275</v>
      </c>
      <c r="L1055" s="5">
        <f>(D1055-K1055)^2</f>
        <v>0.19267966442813961</v>
      </c>
      <c r="M1055" s="5">
        <f>$D$40+$D$41*EXP(-$D$42*C1055)</f>
        <v>0</v>
      </c>
      <c r="N1055" s="5">
        <f>(D1055-M1055)^2</f>
        <v>14.706534708099998</v>
      </c>
      <c r="O1055" s="5">
        <f>(C1055+C1054)/2</f>
        <v>18.529683333333374</v>
      </c>
      <c r="P1055" s="5" t="str">
        <f>IF(AND(D1054&gt;6,D1055&lt;=6),C1054+(6-D1054)*(C1055-C1054)/(D1055-D1054),"")</f>
        <v/>
      </c>
      <c r="Q1055" s="5" t="str">
        <f>IF(AND(D1054&gt;5,D1055&lt;=5),C1054+(5-D1054)*(C1055-C1054)/(D1055-D1054),"")</f>
        <v/>
      </c>
      <c r="R1055" s="5" t="str">
        <f>IF(AND(D1054&gt;4,D1055&lt;=4),C1054+(4-D1054)*(C1055-C1054)/(D1055-D1054),"")</f>
        <v/>
      </c>
      <c r="S1055" s="5" t="str">
        <f>IF(AND(D1054&gt;3,D1055&lt;=3),C1054+(3-D1054)*(C1055-C1054)/(D1055-D1054),"")</f>
        <v/>
      </c>
    </row>
    <row r="1056" spans="1:19" ht="20.100000000000001" customHeight="1">
      <c r="A1056" t="s">
        <v>4</v>
      </c>
      <c r="B1056">
        <v>711</v>
      </c>
      <c r="C1056" s="5">
        <f>('Raw Data'!C711-'Raw Data'!$C$487)/60</f>
        <v>18.654683333333374</v>
      </c>
      <c r="D1056" s="5">
        <f>'Raw Data'!J711</f>
        <v>3.8360699999999999</v>
      </c>
      <c r="E1056" s="5">
        <f>$D$832-D1056</f>
        <v>3.29236</v>
      </c>
      <c r="F1056" s="8">
        <f>10^(-D1056)</f>
        <v>1.4585791461459757E-4</v>
      </c>
      <c r="G1056" s="5">
        <f>(D1056-D1055)/(C1056-C1055)</f>
        <v>1.3920000000000796E-2</v>
      </c>
      <c r="H1056" s="5">
        <f>$D$9+$D$10*EXP(-$D$11*C1056)</f>
        <v>3.8151376373837889</v>
      </c>
      <c r="I1056" s="5">
        <f>D1056-H1056</f>
        <v>2.0932362616211009E-2</v>
      </c>
      <c r="J1056" s="5">
        <f t="shared" si="23"/>
        <v>4.3816380469654821E-4</v>
      </c>
      <c r="K1056" s="5">
        <f>$D$17+$D$16*C1056</f>
        <v>3.3841338204817757</v>
      </c>
      <c r="L1056" s="5">
        <f>(D1056-K1056)^2</f>
        <v>0.20424631035752855</v>
      </c>
      <c r="M1056" s="5">
        <f>$D$40+$D$41*EXP(-$D$42*C1056)</f>
        <v>0</v>
      </c>
      <c r="N1056" s="5">
        <f>(D1056-M1056)^2</f>
        <v>14.715433044899999</v>
      </c>
      <c r="O1056" s="5">
        <f>(C1056+C1055)/2</f>
        <v>18.613016666666709</v>
      </c>
      <c r="P1056" s="5" t="str">
        <f>IF(AND(D1055&gt;6,D1056&lt;=6),C1055+(6-D1055)*(C1056-C1055)/(D1056-D1055),"")</f>
        <v/>
      </c>
      <c r="Q1056" s="5" t="str">
        <f>IF(AND(D1055&gt;5,D1056&lt;=5),C1055+(5-D1055)*(C1056-C1055)/(D1056-D1055),"")</f>
        <v/>
      </c>
      <c r="R1056" s="5" t="str">
        <f>IF(AND(D1055&gt;4,D1056&lt;=4),C1055+(4-D1055)*(C1056-C1055)/(D1056-D1055),"")</f>
        <v/>
      </c>
      <c r="S1056" s="5" t="str">
        <f>IF(AND(D1055&gt;3,D1056&lt;=3),C1055+(3-D1055)*(C1056-C1055)/(D1056-D1055),"")</f>
        <v/>
      </c>
    </row>
    <row r="1057" spans="1:19" ht="20.100000000000001" customHeight="1">
      <c r="A1057" t="s">
        <v>4</v>
      </c>
      <c r="B1057">
        <v>712</v>
      </c>
      <c r="C1057" s="5">
        <f>('Raw Data'!C712-'Raw Data'!$C$487)/60</f>
        <v>18.737766666666722</v>
      </c>
      <c r="D1057" s="5">
        <f>'Raw Data'!J712</f>
        <v>3.8268399999999998</v>
      </c>
      <c r="E1057" s="5">
        <f>$D$832-D1057</f>
        <v>3.30159</v>
      </c>
      <c r="F1057" s="8">
        <f>10^(-D1057)</f>
        <v>1.4899098796962687E-4</v>
      </c>
      <c r="G1057" s="5">
        <f>(D1057-D1056)/(C1057-C1056)</f>
        <v>-0.11109327983949885</v>
      </c>
      <c r="H1057" s="5">
        <f>$D$9+$D$10*EXP(-$D$11*C1057)</f>
        <v>3.813924509771673</v>
      </c>
      <c r="I1057" s="5">
        <f>D1057-H1057</f>
        <v>1.2915490228326831E-2</v>
      </c>
      <c r="J1057" s="5">
        <f t="shared" si="23"/>
        <v>1.6680988783800585E-4</v>
      </c>
      <c r="K1057" s="5">
        <f>$D$17+$D$16*C1057</f>
        <v>3.3723460289836678</v>
      </c>
      <c r="L1057" s="5">
        <f>(D1057-K1057)^2</f>
        <v>0.20656476969019447</v>
      </c>
      <c r="M1057" s="5">
        <f>$D$40+$D$41*EXP(-$D$42*C1057)</f>
        <v>0</v>
      </c>
      <c r="N1057" s="5">
        <f>(D1057-M1057)^2</f>
        <v>14.644704385599999</v>
      </c>
      <c r="O1057" s="5">
        <f>(C1057+C1056)/2</f>
        <v>18.696225000000048</v>
      </c>
      <c r="P1057" s="5" t="str">
        <f>IF(AND(D1056&gt;6,D1057&lt;=6),C1056+(6-D1056)*(C1057-C1056)/(D1057-D1056),"")</f>
        <v/>
      </c>
      <c r="Q1057" s="5" t="str">
        <f>IF(AND(D1056&gt;5,D1057&lt;=5),C1056+(5-D1056)*(C1057-C1056)/(D1057-D1056),"")</f>
        <v/>
      </c>
      <c r="R1057" s="5" t="str">
        <f>IF(AND(D1056&gt;4,D1057&lt;=4),C1056+(4-D1056)*(C1057-C1056)/(D1057-D1056),"")</f>
        <v/>
      </c>
      <c r="S1057" s="5" t="str">
        <f>IF(AND(D1056&gt;3,D1057&lt;=3),C1056+(3-D1056)*(C1057-C1056)/(D1057-D1056),"")</f>
        <v/>
      </c>
    </row>
    <row r="1058" spans="1:19" ht="20.100000000000001" customHeight="1">
      <c r="A1058" t="s">
        <v>4</v>
      </c>
      <c r="B1058">
        <v>713</v>
      </c>
      <c r="C1058" s="5">
        <f>('Raw Data'!C713-'Raw Data'!$C$487)/60</f>
        <v>18.821100000000055</v>
      </c>
      <c r="D1058" s="5">
        <f>'Raw Data'!J713</f>
        <v>3.8302999999999998</v>
      </c>
      <c r="E1058" s="5">
        <f>$D$832-D1058</f>
        <v>3.29813</v>
      </c>
      <c r="F1058" s="8">
        <f>10^(-D1058)</f>
        <v>1.4780870091029961E-4</v>
      </c>
      <c r="G1058" s="5">
        <f>(D1058-D1057)/(C1058-C1057)</f>
        <v>4.1520000000000813E-2</v>
      </c>
      <c r="H1058" s="5">
        <f>$D$9+$D$10*EXP(-$D$11*C1058)</f>
        <v>3.8127291781201467</v>
      </c>
      <c r="I1058" s="5">
        <f>D1058-H1058</f>
        <v>1.7570821879853149E-2</v>
      </c>
      <c r="J1058" s="5">
        <f t="shared" si="23"/>
        <v>3.0873378153352615E-4</v>
      </c>
      <c r="K1058" s="5">
        <f>$D$17+$D$16*C1058</f>
        <v>3.3605227677017164</v>
      </c>
      <c r="L1058" s="5">
        <f>(D1058-K1058)^2</f>
        <v>0.22069064798583532</v>
      </c>
      <c r="M1058" s="5">
        <f>$D$40+$D$41*EXP(-$D$42*C1058)</f>
        <v>0</v>
      </c>
      <c r="N1058" s="5">
        <f>(D1058-M1058)^2</f>
        <v>14.671198089999999</v>
      </c>
      <c r="O1058" s="5">
        <f>(C1058+C1057)/2</f>
        <v>18.779433333333387</v>
      </c>
      <c r="P1058" s="5" t="str">
        <f>IF(AND(D1057&gt;6,D1058&lt;=6),C1057+(6-D1057)*(C1058-C1057)/(D1058-D1057),"")</f>
        <v/>
      </c>
      <c r="Q1058" s="5" t="str">
        <f>IF(AND(D1057&gt;5,D1058&lt;=5),C1057+(5-D1057)*(C1058-C1057)/(D1058-D1057),"")</f>
        <v/>
      </c>
      <c r="R1058" s="5" t="str">
        <f>IF(AND(D1057&gt;4,D1058&lt;=4),C1057+(4-D1057)*(C1058-C1057)/(D1058-D1057),"")</f>
        <v/>
      </c>
      <c r="S1058" s="5" t="str">
        <f>IF(AND(D1057&gt;3,D1058&lt;=3),C1057+(3-D1057)*(C1058-C1057)/(D1058-D1057),"")</f>
        <v/>
      </c>
    </row>
    <row r="1059" spans="1:19" ht="20.100000000000001" customHeight="1">
      <c r="A1059" t="s">
        <v>4</v>
      </c>
      <c r="B1059">
        <v>714</v>
      </c>
      <c r="C1059" s="5">
        <f>('Raw Data'!C714-'Raw Data'!$C$487)/60</f>
        <v>18.904433333333387</v>
      </c>
      <c r="D1059" s="5">
        <f>'Raw Data'!J714</f>
        <v>3.8337599999999998</v>
      </c>
      <c r="E1059" s="5">
        <f>$D$832-D1059</f>
        <v>3.29467</v>
      </c>
      <c r="F1059" s="8">
        <f>10^(-D1059)</f>
        <v>1.4663579564452742E-4</v>
      </c>
      <c r="G1059" s="5">
        <f>(D1059-D1058)/(C1059-C1058)</f>
        <v>4.1520000000000813E-2</v>
      </c>
      <c r="H1059" s="5">
        <f>$D$9+$D$10*EXP(-$D$11*C1059)</f>
        <v>3.8115549462238594</v>
      </c>
      <c r="I1059" s="5">
        <f>D1059-H1059</f>
        <v>2.220505377614046E-2</v>
      </c>
      <c r="J1059" s="5">
        <f t="shared" si="23"/>
        <v>4.9306441320128968E-4</v>
      </c>
      <c r="K1059" s="5">
        <f>$D$17+$D$16*C1059</f>
        <v>3.3486995064197651</v>
      </c>
      <c r="L1059" s="5">
        <f>(D1059-K1059)^2</f>
        <v>0.23528368243230094</v>
      </c>
      <c r="M1059" s="5">
        <f>$D$40+$D$41*EXP(-$D$42*C1059)</f>
        <v>0</v>
      </c>
      <c r="N1059" s="5">
        <f>(D1059-M1059)^2</f>
        <v>14.697715737599999</v>
      </c>
      <c r="O1059" s="5">
        <f>(C1059+C1058)/2</f>
        <v>18.862766666666722</v>
      </c>
      <c r="P1059" s="5" t="str">
        <f>IF(AND(D1058&gt;6,D1059&lt;=6),C1058+(6-D1058)*(C1059-C1058)/(D1059-D1058),"")</f>
        <v/>
      </c>
      <c r="Q1059" s="5" t="str">
        <f>IF(AND(D1058&gt;5,D1059&lt;=5),C1058+(5-D1058)*(C1059-C1058)/(D1059-D1058),"")</f>
        <v/>
      </c>
      <c r="R1059" s="5" t="str">
        <f>IF(AND(D1058&gt;4,D1059&lt;=4),C1058+(4-D1058)*(C1059-C1058)/(D1059-D1058),"")</f>
        <v/>
      </c>
      <c r="S1059" s="5" t="str">
        <f>IF(AND(D1058&gt;3,D1059&lt;=3),C1058+(3-D1058)*(C1059-C1058)/(D1059-D1058),"")</f>
        <v/>
      </c>
    </row>
    <row r="1060" spans="1:19" ht="20.100000000000001" customHeight="1">
      <c r="A1060" t="s">
        <v>4</v>
      </c>
      <c r="B1060">
        <v>715</v>
      </c>
      <c r="C1060" s="5">
        <f>('Raw Data'!C715-'Raw Data'!$C$487)/60</f>
        <v>18.987766666666722</v>
      </c>
      <c r="D1060" s="5">
        <f>'Raw Data'!J715</f>
        <v>3.8187600000000002</v>
      </c>
      <c r="E1060" s="5">
        <f>$D$832-D1060</f>
        <v>3.3096699999999997</v>
      </c>
      <c r="F1060" s="8">
        <f>10^(-D1060)</f>
        <v>1.5178889521622532E-4</v>
      </c>
      <c r="G1060" s="5">
        <f>(D1060-D1059)/(C1060-C1059)</f>
        <v>-0.17999999999999106</v>
      </c>
      <c r="H1060" s="5">
        <f>$D$9+$D$10*EXP(-$D$11*C1060)</f>
        <v>3.8104014416341521</v>
      </c>
      <c r="I1060" s="5">
        <f>D1060-H1060</f>
        <v>8.35855836584809E-3</v>
      </c>
      <c r="J1060" s="5">
        <f t="shared" si="23"/>
        <v>6.9865497955289086E-5</v>
      </c>
      <c r="K1060" s="5">
        <f>$D$17+$D$16*C1060</f>
        <v>3.3368762451378133</v>
      </c>
      <c r="L1060" s="5">
        <f>(D1060-K1060)^2</f>
        <v>0.23221195320008015</v>
      </c>
      <c r="M1060" s="5">
        <f>$D$40+$D$41*EXP(-$D$42*C1060)</f>
        <v>0</v>
      </c>
      <c r="N1060" s="5">
        <f>(D1060-M1060)^2</f>
        <v>14.582927937600001</v>
      </c>
      <c r="O1060" s="5">
        <f>(C1060+C1059)/2</f>
        <v>18.946100000000055</v>
      </c>
      <c r="P1060" s="5" t="str">
        <f>IF(AND(D1059&gt;6,D1060&lt;=6),C1059+(6-D1059)*(C1060-C1059)/(D1060-D1059),"")</f>
        <v/>
      </c>
      <c r="Q1060" s="5" t="str">
        <f>IF(AND(D1059&gt;5,D1060&lt;=5),C1059+(5-D1059)*(C1060-C1059)/(D1060-D1059),"")</f>
        <v/>
      </c>
      <c r="R1060" s="5" t="str">
        <f>IF(AND(D1059&gt;4,D1060&lt;=4),C1059+(4-D1059)*(C1060-C1059)/(D1060-D1059),"")</f>
        <v/>
      </c>
      <c r="S1060" s="5" t="str">
        <f>IF(AND(D1059&gt;3,D1060&lt;=3),C1059+(3-D1059)*(C1060-C1059)/(D1060-D1059),"")</f>
        <v/>
      </c>
    </row>
    <row r="1061" spans="1:19" ht="20.100000000000001" customHeight="1">
      <c r="A1061" t="s">
        <v>4</v>
      </c>
      <c r="B1061">
        <v>716</v>
      </c>
      <c r="C1061" s="5">
        <f>('Raw Data'!C716-'Raw Data'!$C$487)/60</f>
        <v>19.070833333333336</v>
      </c>
      <c r="D1061" s="5">
        <f>'Raw Data'!J716</f>
        <v>3.8245300000000002</v>
      </c>
      <c r="E1061" s="5">
        <f>$D$832-D1061</f>
        <v>3.3038999999999996</v>
      </c>
      <c r="F1061" s="8">
        <f>10^(-D1061)</f>
        <v>1.4978557812593259E-4</v>
      </c>
      <c r="G1061" s="5">
        <f>(D1061-D1060)/(C1061-C1060)</f>
        <v>6.9462279293784651E-2</v>
      </c>
      <c r="H1061" s="5">
        <f>$D$9+$D$10*EXP(-$D$11*C1061)</f>
        <v>3.8092718924440576</v>
      </c>
      <c r="I1061" s="5">
        <f>D1061-H1061</f>
        <v>1.525810755594259E-2</v>
      </c>
      <c r="J1061" s="5">
        <f t="shared" si="23"/>
        <v>2.3280984618871236E-4</v>
      </c>
      <c r="K1061" s="5">
        <f>$D$17+$D$16*C1061</f>
        <v>3.3250908182919714</v>
      </c>
      <c r="L1061" s="5">
        <f>(D1061-K1061)^2</f>
        <v>0.24943949622518541</v>
      </c>
      <c r="M1061" s="5">
        <f>$D$40+$D$41*EXP(-$D$42*C1061)</f>
        <v>0</v>
      </c>
      <c r="N1061" s="5">
        <f>(D1061-M1061)^2</f>
        <v>14.627029720900001</v>
      </c>
      <c r="O1061" s="5">
        <f>(C1061+C1060)/2</f>
        <v>19.029300000000028</v>
      </c>
      <c r="P1061" s="5" t="str">
        <f>IF(AND(D1060&gt;6,D1061&lt;=6),C1060+(6-D1060)*(C1061-C1060)/(D1061-D1060),"")</f>
        <v/>
      </c>
      <c r="Q1061" s="5" t="str">
        <f>IF(AND(D1060&gt;5,D1061&lt;=5),C1060+(5-D1060)*(C1061-C1060)/(D1061-D1060),"")</f>
        <v/>
      </c>
      <c r="R1061" s="5" t="str">
        <f>IF(AND(D1060&gt;4,D1061&lt;=4),C1060+(4-D1060)*(C1061-C1060)/(D1061-D1060),"")</f>
        <v/>
      </c>
      <c r="S1061" s="5" t="str">
        <f>IF(AND(D1060&gt;3,D1061&lt;=3),C1060+(3-D1060)*(C1061-C1060)/(D1061-D1060),"")</f>
        <v/>
      </c>
    </row>
    <row r="1062" spans="1:19" ht="20.100000000000001" customHeight="1">
      <c r="A1062" t="s">
        <v>4</v>
      </c>
      <c r="B1062">
        <v>717</v>
      </c>
      <c r="C1062" s="5">
        <f>('Raw Data'!C717-'Raw Data'!$C$487)/60</f>
        <v>19.154433333333387</v>
      </c>
      <c r="D1062" s="5">
        <f>'Raw Data'!J717</f>
        <v>3.8256800000000002</v>
      </c>
      <c r="E1062" s="5">
        <f>$D$832-D1062</f>
        <v>3.3027499999999996</v>
      </c>
      <c r="F1062" s="8">
        <f>10^(-D1062)</f>
        <v>1.4938947464777146E-4</v>
      </c>
      <c r="G1062" s="5">
        <f>(D1062-D1061)/(C1062-C1061)</f>
        <v>1.3755980861235556E-2</v>
      </c>
      <c r="H1062" s="5">
        <f>$D$9+$D$10*EXP(-$D$11*C1062)</f>
        <v>3.8081551573357357</v>
      </c>
      <c r="I1062" s="5">
        <f>D1062-H1062</f>
        <v>1.7524842664264462E-2</v>
      </c>
      <c r="J1062" s="5">
        <f t="shared" si="23"/>
        <v>3.0712011040722392E-4</v>
      </c>
      <c r="K1062" s="5">
        <f>$D$17+$D$16*C1062</f>
        <v>3.3132297225739102</v>
      </c>
      <c r="L1062" s="5">
        <f>(D1062-K1062)^2</f>
        <v>0.26260528683407658</v>
      </c>
      <c r="M1062" s="5">
        <f>$D$40+$D$41*EXP(-$D$42*C1062)</f>
        <v>0</v>
      </c>
      <c r="N1062" s="5">
        <f>(D1062-M1062)^2</f>
        <v>14.635827462400002</v>
      </c>
      <c r="O1062" s="5">
        <f>(C1062+C1061)/2</f>
        <v>19.112633333333363</v>
      </c>
      <c r="P1062" s="5" t="str">
        <f>IF(AND(D1061&gt;6,D1062&lt;=6),C1061+(6-D1061)*(C1062-C1061)/(D1062-D1061),"")</f>
        <v/>
      </c>
      <c r="Q1062" s="5" t="str">
        <f>IF(AND(D1061&gt;5,D1062&lt;=5),C1061+(5-D1061)*(C1062-C1061)/(D1062-D1061),"")</f>
        <v/>
      </c>
      <c r="R1062" s="5" t="str">
        <f>IF(AND(D1061&gt;4,D1062&lt;=4),C1061+(4-D1061)*(C1062-C1061)/(D1062-D1061),"")</f>
        <v/>
      </c>
      <c r="S1062" s="5" t="str">
        <f>IF(AND(D1061&gt;3,D1062&lt;=3),C1061+(3-D1061)*(C1062-C1061)/(D1062-D1061),"")</f>
        <v/>
      </c>
    </row>
    <row r="1063" spans="1:19" ht="20.100000000000001" customHeight="1">
      <c r="A1063" t="s">
        <v>4</v>
      </c>
      <c r="B1063">
        <v>718</v>
      </c>
      <c r="C1063" s="5">
        <f>('Raw Data'!C718-'Raw Data'!$C$487)/60</f>
        <v>19.237500000000004</v>
      </c>
      <c r="D1063" s="5">
        <f>'Raw Data'!J718</f>
        <v>3.8256800000000002</v>
      </c>
      <c r="E1063" s="5">
        <f>$D$832-D1063</f>
        <v>3.3027499999999996</v>
      </c>
      <c r="F1063" s="8">
        <f>10^(-D1063)</f>
        <v>1.4938947464777146E-4</v>
      </c>
      <c r="G1063" s="5">
        <f>(D1063-D1062)/(C1063-C1062)</f>
        <v>0</v>
      </c>
      <c r="H1063" s="5">
        <f>$D$9+$D$10*EXP(-$D$11*C1063)</f>
        <v>3.8070651333466525</v>
      </c>
      <c r="I1063" s="5">
        <f>D1063-H1063</f>
        <v>1.8614866653347661E-2</v>
      </c>
      <c r="J1063" s="5">
        <f t="shared" si="23"/>
        <v>3.4651326052191476E-4</v>
      </c>
      <c r="K1063" s="5">
        <f>$D$17+$D$16*C1063</f>
        <v>3.3014442957280679</v>
      </c>
      <c r="L1063" s="5">
        <f>(D1063-K1063)^2</f>
        <v>0.2748230736334889</v>
      </c>
      <c r="M1063" s="5">
        <f>$D$40+$D$41*EXP(-$D$42*C1063)</f>
        <v>0</v>
      </c>
      <c r="N1063" s="5">
        <f>(D1063-M1063)^2</f>
        <v>14.635827462400002</v>
      </c>
      <c r="O1063" s="5">
        <f>(C1063+C1062)/2</f>
        <v>19.195966666666695</v>
      </c>
      <c r="P1063" s="5" t="str">
        <f>IF(AND(D1062&gt;6,D1063&lt;=6),C1062+(6-D1062)*(C1063-C1062)/(D1063-D1062),"")</f>
        <v/>
      </c>
      <c r="Q1063" s="5" t="str">
        <f>IF(AND(D1062&gt;5,D1063&lt;=5),C1062+(5-D1062)*(C1063-C1062)/(D1063-D1062),"")</f>
        <v/>
      </c>
      <c r="R1063" s="5" t="str">
        <f>IF(AND(D1062&gt;4,D1063&lt;=4),C1062+(4-D1062)*(C1063-C1062)/(D1063-D1062),"")</f>
        <v/>
      </c>
      <c r="S1063" s="5" t="str">
        <f>IF(AND(D1062&gt;3,D1063&lt;=3),C1062+(3-D1062)*(C1063-C1062)/(D1063-D1062),"")</f>
        <v/>
      </c>
    </row>
    <row r="1064" spans="1:19" ht="20.100000000000001" customHeight="1">
      <c r="A1064" t="s">
        <v>4</v>
      </c>
      <c r="B1064">
        <v>719</v>
      </c>
      <c r="C1064" s="5">
        <f>('Raw Data'!C719-'Raw Data'!$C$487)/60</f>
        <v>19.320833333333336</v>
      </c>
      <c r="D1064" s="5">
        <f>'Raw Data'!J719</f>
        <v>3.8210700000000002</v>
      </c>
      <c r="E1064" s="5">
        <f>$D$832-D1064</f>
        <v>3.3073599999999996</v>
      </c>
      <c r="F1064" s="8">
        <f>10^(-D1064)</f>
        <v>1.5098367776148524E-4</v>
      </c>
      <c r="G1064" s="5">
        <f>(D1064-D1063)/(C1064-C1063)</f>
        <v>-5.532000000000082E-2</v>
      </c>
      <c r="H1064" s="5">
        <f>$D$9+$D$10*EXP(-$D$11*C1064)</f>
        <v>3.8059908820358639</v>
      </c>
      <c r="I1064" s="5">
        <f>D1064-H1064</f>
        <v>1.5079117964136302E-2</v>
      </c>
      <c r="J1064" s="5">
        <f t="shared" si="23"/>
        <v>2.2737979857633813E-4</v>
      </c>
      <c r="K1064" s="5">
        <f>$D$17+$D$16*C1064</f>
        <v>3.2896210344461165</v>
      </c>
      <c r="L1064" s="5">
        <f>(D1064-K1064)^2</f>
        <v>0.28243800298829302</v>
      </c>
      <c r="M1064" s="5">
        <f>$D$40+$D$41*EXP(-$D$42*C1064)</f>
        <v>0</v>
      </c>
      <c r="N1064" s="5">
        <f>(D1064-M1064)^2</f>
        <v>14.600575944900001</v>
      </c>
      <c r="O1064" s="5">
        <f>(C1064+C1063)/2</f>
        <v>19.279166666666669</v>
      </c>
      <c r="P1064" s="5" t="str">
        <f>IF(AND(D1063&gt;6,D1064&lt;=6),C1063+(6-D1063)*(C1064-C1063)/(D1064-D1063),"")</f>
        <v/>
      </c>
      <c r="Q1064" s="5" t="str">
        <f>IF(AND(D1063&gt;5,D1064&lt;=5),C1063+(5-D1063)*(C1064-C1063)/(D1064-D1063),"")</f>
        <v/>
      </c>
      <c r="R1064" s="5" t="str">
        <f>IF(AND(D1063&gt;4,D1064&lt;=4),C1063+(4-D1063)*(C1064-C1063)/(D1064-D1063),"")</f>
        <v/>
      </c>
      <c r="S1064" s="5" t="str">
        <f>IF(AND(D1063&gt;3,D1064&lt;=3),C1063+(3-D1063)*(C1064-C1063)/(D1064-D1063),"")</f>
        <v/>
      </c>
    </row>
    <row r="1065" spans="1:19" ht="20.100000000000001" customHeight="1">
      <c r="A1065" t="s">
        <v>4</v>
      </c>
      <c r="B1065">
        <v>720</v>
      </c>
      <c r="C1065" s="5">
        <f>('Raw Data'!C720-'Raw Data'!$C$487)/60</f>
        <v>19.403900000000071</v>
      </c>
      <c r="D1065" s="5">
        <f>'Raw Data'!J720</f>
        <v>3.8164500000000001</v>
      </c>
      <c r="E1065" s="5">
        <f>$D$832-D1065</f>
        <v>3.3119799999999997</v>
      </c>
      <c r="F1065" s="8">
        <f>10^(-D1065)</f>
        <v>1.5259840701032095E-4</v>
      </c>
      <c r="G1065" s="5">
        <f>(D1065-D1064)/(C1065-C1064)</f>
        <v>-5.56179775280451E-2</v>
      </c>
      <c r="H1065" s="5">
        <f>$D$9+$D$10*EXP(-$D$11*C1065)</f>
        <v>3.8049389402326947</v>
      </c>
      <c r="I1065" s="5">
        <f>D1065-H1065</f>
        <v>1.1511059767305376E-2</v>
      </c>
      <c r="J1065" s="5">
        <f t="shared" si="23"/>
        <v>1.3250449696647649E-4</v>
      </c>
      <c r="K1065" s="5">
        <f>$D$17+$D$16*C1065</f>
        <v>3.2778356076002577</v>
      </c>
      <c r="L1065" s="5">
        <f>(D1065-K1065)^2</f>
        <v>0.29010546370014367</v>
      </c>
      <c r="M1065" s="5">
        <f>$D$40+$D$41*EXP(-$D$42*C1065)</f>
        <v>0</v>
      </c>
      <c r="N1065" s="5">
        <f>(D1065-M1065)^2</f>
        <v>14.565290602500001</v>
      </c>
      <c r="O1065" s="5">
        <f>(C1065+C1064)/2</f>
        <v>19.362366666666702</v>
      </c>
      <c r="P1065" s="5" t="str">
        <f>IF(AND(D1064&gt;6,D1065&lt;=6),C1064+(6-D1064)*(C1065-C1064)/(D1065-D1064),"")</f>
        <v/>
      </c>
      <c r="Q1065" s="5" t="str">
        <f>IF(AND(D1064&gt;5,D1065&lt;=5),C1064+(5-D1064)*(C1065-C1064)/(D1065-D1064),"")</f>
        <v/>
      </c>
      <c r="R1065" s="5" t="str">
        <f>IF(AND(D1064&gt;4,D1065&lt;=4),C1064+(4-D1064)*(C1065-C1064)/(D1065-D1064),"")</f>
        <v/>
      </c>
      <c r="S1065" s="5" t="str">
        <f>IF(AND(D1064&gt;3,D1065&lt;=3),C1064+(3-D1064)*(C1065-C1064)/(D1065-D1064),"")</f>
        <v/>
      </c>
    </row>
    <row r="1066" spans="1:19" ht="20.100000000000001" customHeight="1">
      <c r="A1066" t="s">
        <v>4</v>
      </c>
      <c r="B1066">
        <v>721</v>
      </c>
      <c r="C1066" s="5">
        <f>('Raw Data'!C721-'Raw Data'!$C$487)/60</f>
        <v>19.487500000000004</v>
      </c>
      <c r="D1066" s="5">
        <f>'Raw Data'!J721</f>
        <v>3.8106900000000001</v>
      </c>
      <c r="E1066" s="5">
        <f>$D$832-D1066</f>
        <v>3.3177399999999997</v>
      </c>
      <c r="F1066" s="8">
        <f>10^(-D1066)</f>
        <v>1.5463578380448342E-4</v>
      </c>
      <c r="G1066" s="5">
        <f>(D1066-D1065)/(C1066-C1065)</f>
        <v>-6.88995215311555E-2</v>
      </c>
      <c r="H1066" s="5">
        <f>$D$9+$D$10*EXP(-$D$11*C1066)</f>
        <v>3.8038989321004162</v>
      </c>
      <c r="I1066" s="5">
        <f>D1066-H1066</f>
        <v>6.7910678995839469E-3</v>
      </c>
      <c r="J1066" s="5">
        <f t="shared" si="23"/>
        <v>4.6118603216759517E-5</v>
      </c>
      <c r="K1066" s="5">
        <f>$D$17+$D$16*C1066</f>
        <v>3.2659745118822134</v>
      </c>
      <c r="L1066" s="5">
        <f>(D1066-K1066)^2</f>
        <v>0.29671496299539862</v>
      </c>
      <c r="M1066" s="5">
        <f>$D$40+$D$41*EXP(-$D$42*C1066)</f>
        <v>0</v>
      </c>
      <c r="N1066" s="5">
        <f>(D1066-M1066)^2</f>
        <v>14.521358276100001</v>
      </c>
      <c r="O1066" s="5">
        <f>(C1066+C1065)/2</f>
        <v>19.445700000000038</v>
      </c>
      <c r="P1066" s="5" t="str">
        <f>IF(AND(D1065&gt;6,D1066&lt;=6),C1065+(6-D1065)*(C1066-C1065)/(D1066-D1065),"")</f>
        <v/>
      </c>
      <c r="Q1066" s="5" t="str">
        <f>IF(AND(D1065&gt;5,D1066&lt;=5),C1065+(5-D1065)*(C1066-C1065)/(D1066-D1065),"")</f>
        <v/>
      </c>
      <c r="R1066" s="5" t="str">
        <f>IF(AND(D1065&gt;4,D1066&lt;=4),C1065+(4-D1065)*(C1066-C1065)/(D1066-D1065),"")</f>
        <v/>
      </c>
      <c r="S1066" s="5" t="str">
        <f>IF(AND(D1065&gt;3,D1066&lt;=3),C1065+(3-D1065)*(C1066-C1065)/(D1066-D1065),"")</f>
        <v/>
      </c>
    </row>
    <row r="1067" spans="1:19" ht="20.100000000000001" customHeight="1">
      <c r="A1067" t="s">
        <v>4</v>
      </c>
      <c r="B1067">
        <v>722</v>
      </c>
      <c r="C1067" s="5">
        <f>('Raw Data'!C722-'Raw Data'!$C$487)/60</f>
        <v>19.570566666666739</v>
      </c>
      <c r="D1067" s="5">
        <f>'Raw Data'!J722</f>
        <v>3.8118400000000001</v>
      </c>
      <c r="E1067" s="5">
        <f>$D$832-D1067</f>
        <v>3.3165899999999997</v>
      </c>
      <c r="F1067" s="8">
        <f>10^(-D1067)</f>
        <v>1.5422685410257559E-4</v>
      </c>
      <c r="G1067" s="5">
        <f>(D1067-D1066)/(C1067-C1066)</f>
        <v>1.3844301765638539E-2</v>
      </c>
      <c r="H1067" s="5">
        <f>$D$9+$D$10*EXP(-$D$11*C1067)</f>
        <v>3.8028837998594924</v>
      </c>
      <c r="I1067" s="5">
        <f>D1067-H1067</f>
        <v>8.9562001405076863E-3</v>
      </c>
      <c r="J1067" s="5">
        <f t="shared" si="23"/>
        <v>8.0213520956829906E-5</v>
      </c>
      <c r="K1067" s="5">
        <f>$D$17+$D$16*C1067</f>
        <v>3.2541890850363542</v>
      </c>
      <c r="L1067" s="5">
        <f>(D1067-K1067)^2</f>
        <v>0.31097454295979149</v>
      </c>
      <c r="M1067" s="5">
        <f>$D$40+$D$41*EXP(-$D$42*C1067)</f>
        <v>0</v>
      </c>
      <c r="N1067" s="5">
        <f>(D1067-M1067)^2</f>
        <v>14.5301241856</v>
      </c>
      <c r="O1067" s="5">
        <f>(C1067+C1066)/2</f>
        <v>19.529033333333373</v>
      </c>
      <c r="P1067" s="5" t="str">
        <f>IF(AND(D1066&gt;6,D1067&lt;=6),C1066+(6-D1066)*(C1067-C1066)/(D1067-D1066),"")</f>
        <v/>
      </c>
      <c r="Q1067" s="5" t="str">
        <f>IF(AND(D1066&gt;5,D1067&lt;=5),C1066+(5-D1066)*(C1067-C1066)/(D1067-D1066),"")</f>
        <v/>
      </c>
      <c r="R1067" s="5" t="str">
        <f>IF(AND(D1066&gt;4,D1067&lt;=4),C1066+(4-D1066)*(C1067-C1066)/(D1067-D1066),"")</f>
        <v/>
      </c>
      <c r="S1067" s="5" t="str">
        <f>IF(AND(D1066&gt;3,D1067&lt;=3),C1066+(3-D1066)*(C1067-C1066)/(D1067-D1066),"")</f>
        <v/>
      </c>
    </row>
    <row r="1068" spans="1:19" ht="20.100000000000001" customHeight="1">
      <c r="A1068" t="s">
        <v>4</v>
      </c>
      <c r="B1068">
        <v>723</v>
      </c>
      <c r="C1068" s="5">
        <f>('Raw Data'!C723-'Raw Data'!$C$487)/60</f>
        <v>19.653900000000071</v>
      </c>
      <c r="D1068" s="5">
        <f>'Raw Data'!J723</f>
        <v>3.8095300000000001</v>
      </c>
      <c r="E1068" s="5">
        <f>$D$832-D1068</f>
        <v>3.3188999999999997</v>
      </c>
      <c r="F1068" s="8">
        <f>10^(-D1068)</f>
        <v>1.5504936787859598E-4</v>
      </c>
      <c r="G1068" s="5">
        <f>(D1068-D1067)/(C1068-C1067)</f>
        <v>-2.7720000000000806E-2</v>
      </c>
      <c r="H1068" s="5">
        <f>$D$9+$D$10*EXP(-$D$11*C1068)</f>
        <v>3.8018833566111274</v>
      </c>
      <c r="I1068" s="5">
        <f>D1068-H1068</f>
        <v>7.6466433888726648E-3</v>
      </c>
      <c r="J1068" s="5">
        <f t="shared" si="23"/>
        <v>5.8471155116590033E-5</v>
      </c>
      <c r="K1068" s="5">
        <f>$D$17+$D$16*C1068</f>
        <v>3.2423658237544029</v>
      </c>
      <c r="L1068" s="5">
        <f>(D1068-K1068)^2</f>
        <v>0.32167520281634687</v>
      </c>
      <c r="M1068" s="5">
        <f>$D$40+$D$41*EXP(-$D$42*C1068)</f>
        <v>0</v>
      </c>
      <c r="N1068" s="5">
        <f>(D1068-M1068)^2</f>
        <v>14.5125188209</v>
      </c>
      <c r="O1068" s="5">
        <f>(C1068+C1067)/2</f>
        <v>19.612233333333407</v>
      </c>
      <c r="P1068" s="5" t="str">
        <f>IF(AND(D1067&gt;6,D1068&lt;=6),C1067+(6-D1067)*(C1068-C1067)/(D1068-D1067),"")</f>
        <v/>
      </c>
      <c r="Q1068" s="5" t="str">
        <f>IF(AND(D1067&gt;5,D1068&lt;=5),C1067+(5-D1067)*(C1068-C1067)/(D1068-D1067),"")</f>
        <v/>
      </c>
      <c r="R1068" s="5" t="str">
        <f>IF(AND(D1067&gt;4,D1068&lt;=4),C1067+(4-D1067)*(C1068-C1067)/(D1068-D1067),"")</f>
        <v/>
      </c>
      <c r="S1068" s="5" t="str">
        <f>IF(AND(D1067&gt;3,D1068&lt;=3),C1067+(3-D1067)*(C1068-C1067)/(D1068-D1067),"")</f>
        <v/>
      </c>
    </row>
    <row r="1069" spans="1:19" ht="20.100000000000001" customHeight="1">
      <c r="A1069" t="s">
        <v>4</v>
      </c>
      <c r="B1069">
        <v>724</v>
      </c>
      <c r="C1069" s="5">
        <f>('Raw Data'!C724-'Raw Data'!$C$487)/60</f>
        <v>19.737233333333403</v>
      </c>
      <c r="D1069" s="5">
        <f>'Raw Data'!J724</f>
        <v>3.80261</v>
      </c>
      <c r="E1069" s="5">
        <f>$D$832-D1069</f>
        <v>3.3258199999999998</v>
      </c>
      <c r="F1069" s="8">
        <f>10^(-D1069)</f>
        <v>1.5753969487981794E-4</v>
      </c>
      <c r="G1069" s="5">
        <f>(D1069-D1068)/(C1069-C1068)</f>
        <v>-8.3040000000001626E-2</v>
      </c>
      <c r="H1069" s="5">
        <f>$D$9+$D$10*EXP(-$D$11*C1069)</f>
        <v>3.8009005729868881</v>
      </c>
      <c r="I1069" s="5">
        <f>D1069-H1069</f>
        <v>1.7094270131119416E-3</v>
      </c>
      <c r="J1069" s="5">
        <f t="shared" si="23"/>
        <v>2.9221407131568139E-6</v>
      </c>
      <c r="K1069" s="5">
        <f>$D$17+$D$16*C1069</f>
        <v>3.2305425624724515</v>
      </c>
      <c r="L1069" s="5">
        <f>(D1069-K1069)^2</f>
        <v>0.32726115307933562</v>
      </c>
      <c r="M1069" s="5">
        <f>$D$40+$D$41*EXP(-$D$42*C1069)</f>
        <v>0</v>
      </c>
      <c r="N1069" s="5">
        <f>(D1069-M1069)^2</f>
        <v>14.4598428121</v>
      </c>
      <c r="O1069" s="5">
        <f>(C1069+C1068)/2</f>
        <v>19.695566666666736</v>
      </c>
      <c r="P1069" s="5" t="str">
        <f>IF(AND(D1068&gt;6,D1069&lt;=6),C1068+(6-D1068)*(C1069-C1068)/(D1069-D1068),"")</f>
        <v/>
      </c>
      <c r="Q1069" s="5" t="str">
        <f>IF(AND(D1068&gt;5,D1069&lt;=5),C1068+(5-D1068)*(C1069-C1068)/(D1069-D1068),"")</f>
        <v/>
      </c>
      <c r="R1069" s="5" t="str">
        <f>IF(AND(D1068&gt;4,D1069&lt;=4),C1068+(4-D1068)*(C1069-C1068)/(D1069-D1068),"")</f>
        <v/>
      </c>
      <c r="S1069" s="5" t="str">
        <f>IF(AND(D1068&gt;3,D1069&lt;=3),C1068+(3-D1068)*(C1069-C1068)/(D1069-D1068),"")</f>
        <v/>
      </c>
    </row>
    <row r="1070" spans="1:19" ht="20.100000000000001" customHeight="1">
      <c r="A1070" t="s">
        <v>4</v>
      </c>
      <c r="B1070">
        <v>725</v>
      </c>
      <c r="C1070" s="5">
        <f>('Raw Data'!C725-'Raw Data'!$C$487)/60</f>
        <v>19.820566666666739</v>
      </c>
      <c r="D1070" s="5">
        <f>'Raw Data'!J725</f>
        <v>3.798</v>
      </c>
      <c r="E1070" s="5">
        <f>$D$832-D1070</f>
        <v>3.3304299999999998</v>
      </c>
      <c r="F1070" s="8">
        <f>10^(-D1070)</f>
        <v>1.5922087270511679E-4</v>
      </c>
      <c r="G1070" s="5">
        <f>(D1070-D1069)/(C1070-C1069)</f>
        <v>-5.5319999999998461E-2</v>
      </c>
      <c r="H1070" s="5">
        <f>$D$9+$D$10*EXP(-$D$11*C1070)</f>
        <v>3.7999351372626209</v>
      </c>
      <c r="I1070" s="5">
        <f>D1070-H1070</f>
        <v>-1.9351372626208452E-3</v>
      </c>
      <c r="J1070" s="5">
        <f t="shared" si="23"/>
        <v>3.7447562251836978E-6</v>
      </c>
      <c r="K1070" s="5">
        <f>$D$17+$D$16*C1070</f>
        <v>3.2187193011904993</v>
      </c>
      <c r="L1070" s="5">
        <f>(D1070-K1070)^2</f>
        <v>0.3355661280132235</v>
      </c>
      <c r="M1070" s="5">
        <f>$D$40+$D$41*EXP(-$D$42*C1070)</f>
        <v>0</v>
      </c>
      <c r="N1070" s="5">
        <f>(D1070-M1070)^2</f>
        <v>14.424804</v>
      </c>
      <c r="O1070" s="5">
        <f>(C1070+C1069)/2</f>
        <v>19.778900000000071</v>
      </c>
      <c r="P1070" s="5" t="str">
        <f>IF(AND(D1069&gt;6,D1070&lt;=6),C1069+(6-D1069)*(C1070-C1069)/(D1070-D1069),"")</f>
        <v/>
      </c>
      <c r="Q1070" s="5" t="str">
        <f>IF(AND(D1069&gt;5,D1070&lt;=5),C1069+(5-D1069)*(C1070-C1069)/(D1070-D1069),"")</f>
        <v/>
      </c>
      <c r="R1070" s="5" t="str">
        <f>IF(AND(D1069&gt;4,D1070&lt;=4),C1069+(4-D1069)*(C1070-C1069)/(D1070-D1069),"")</f>
        <v/>
      </c>
      <c r="S1070" s="5" t="str">
        <f>IF(AND(D1069&gt;3,D1070&lt;=3),C1069+(3-D1069)*(C1070-C1069)/(D1070-D1069),"")</f>
        <v/>
      </c>
    </row>
    <row r="1071" spans="1:19" ht="20.100000000000001" customHeight="1">
      <c r="A1071" t="s">
        <v>4</v>
      </c>
      <c r="B1071">
        <v>726</v>
      </c>
      <c r="C1071" s="5">
        <f>('Raw Data'!C726-'Raw Data'!$C$487)/60</f>
        <v>19.903650000000074</v>
      </c>
      <c r="D1071" s="5">
        <f>'Raw Data'!J726</f>
        <v>3.79569</v>
      </c>
      <c r="E1071" s="5">
        <f>$D$832-D1071</f>
        <v>3.3327399999999998</v>
      </c>
      <c r="F1071" s="8">
        <f>10^(-D1071)</f>
        <v>1.6007002029353151E-4</v>
      </c>
      <c r="G1071" s="5">
        <f>(D1071-D1070)/(C1071-C1070)</f>
        <v>-2.7803410230692095E-2</v>
      </c>
      <c r="H1071" s="5">
        <f>$D$9+$D$10*EXP(-$D$11*C1071)</f>
        <v>3.7989895632137727</v>
      </c>
      <c r="I1071" s="5">
        <f>D1071-H1071</f>
        <v>-3.2995632137726716E-3</v>
      </c>
      <c r="J1071" s="5">
        <f t="shared" si="23"/>
        <v>1.0887117401681841E-5</v>
      </c>
      <c r="K1071" s="5">
        <f>$D$17+$D$16*C1071</f>
        <v>3.2069315096923936</v>
      </c>
      <c r="L1071" s="5">
        <f>(D1071-K1071)^2</f>
        <v>0.34663655990929187</v>
      </c>
      <c r="M1071" s="5">
        <f>$D$40+$D$41*EXP(-$D$42*C1071)</f>
        <v>0</v>
      </c>
      <c r="N1071" s="5">
        <f>(D1071-M1071)^2</f>
        <v>14.407262576100001</v>
      </c>
      <c r="O1071" s="5">
        <f>(C1071+C1070)/2</f>
        <v>19.862108333333406</v>
      </c>
      <c r="P1071" s="5" t="str">
        <f>IF(AND(D1070&gt;6,D1071&lt;=6),C1070+(6-D1070)*(C1071-C1070)/(D1071-D1070),"")</f>
        <v/>
      </c>
      <c r="Q1071" s="5" t="str">
        <f>IF(AND(D1070&gt;5,D1071&lt;=5),C1070+(5-D1070)*(C1071-C1070)/(D1071-D1070),"")</f>
        <v/>
      </c>
      <c r="R1071" s="5" t="str">
        <f>IF(AND(D1070&gt;4,D1071&lt;=4),C1070+(4-D1070)*(C1071-C1070)/(D1071-D1070),"")</f>
        <v/>
      </c>
      <c r="S1071" s="5" t="str">
        <f>IF(AND(D1070&gt;3,D1071&lt;=3),C1070+(3-D1070)*(C1071-C1070)/(D1071-D1070),"")</f>
        <v/>
      </c>
    </row>
    <row r="1072" spans="1:19" ht="20.100000000000001" customHeight="1">
      <c r="A1072" t="s">
        <v>4</v>
      </c>
      <c r="B1072">
        <v>727</v>
      </c>
      <c r="C1072" s="5">
        <f>('Raw Data'!C727-'Raw Data'!$C$487)/60</f>
        <v>19.987233333333403</v>
      </c>
      <c r="D1072" s="5">
        <f>'Raw Data'!J727</f>
        <v>3.79684</v>
      </c>
      <c r="E1072" s="5">
        <f>$D$832-D1072</f>
        <v>3.3315899999999998</v>
      </c>
      <c r="F1072" s="8">
        <f>10^(-D1072)</f>
        <v>1.596467199158791E-4</v>
      </c>
      <c r="G1072" s="5">
        <f>(D1072-D1071)/(C1072-C1071)</f>
        <v>1.3758723828514853E-2</v>
      </c>
      <c r="H1072" s="5">
        <f>$D$9+$D$10*EXP(-$D$11*C1072)</f>
        <v>3.798055090032725</v>
      </c>
      <c r="I1072" s="5">
        <f>D1072-H1072</f>
        <v>-1.2150900327250191E-3</v>
      </c>
      <c r="J1072" s="5">
        <f t="shared" si="23"/>
        <v>1.4764437876276881E-6</v>
      </c>
      <c r="K1072" s="5">
        <f>$D$17+$D$16*C1072</f>
        <v>3.1950727786265967</v>
      </c>
      <c r="L1072" s="5">
        <f>(D1072-K1072)^2</f>
        <v>0.3621237887194666</v>
      </c>
      <c r="M1072" s="5">
        <f>$D$40+$D$41*EXP(-$D$42*C1072)</f>
        <v>0</v>
      </c>
      <c r="N1072" s="5">
        <f>(D1072-M1072)^2</f>
        <v>14.4159939856</v>
      </c>
      <c r="O1072" s="5">
        <f>(C1072+C1071)/2</f>
        <v>19.945441666666738</v>
      </c>
      <c r="P1072" s="5" t="str">
        <f>IF(AND(D1071&gt;6,D1072&lt;=6),C1071+(6-D1071)*(C1072-C1071)/(D1072-D1071),"")</f>
        <v/>
      </c>
      <c r="Q1072" s="5" t="str">
        <f>IF(AND(D1071&gt;5,D1072&lt;=5),C1071+(5-D1071)*(C1072-C1071)/(D1072-D1071),"")</f>
        <v/>
      </c>
      <c r="R1072" s="5" t="str">
        <f>IF(AND(D1071&gt;4,D1072&lt;=4),C1071+(4-D1071)*(C1072-C1071)/(D1072-D1071),"")</f>
        <v/>
      </c>
      <c r="S1072" s="5" t="str">
        <f>IF(AND(D1071&gt;3,D1072&lt;=3),C1071+(3-D1071)*(C1072-C1071)/(D1072-D1071),"")</f>
        <v/>
      </c>
    </row>
    <row r="1073" spans="1:19" ht="20.100000000000001" customHeight="1">
      <c r="A1073" t="s">
        <v>4</v>
      </c>
      <c r="B1073">
        <v>728</v>
      </c>
      <c r="C1073" s="5">
        <f>('Raw Data'!C728-'Raw Data'!$C$487)/60</f>
        <v>20.070316666666738</v>
      </c>
      <c r="D1073" s="5">
        <f>'Raw Data'!J728</f>
        <v>3.78992</v>
      </c>
      <c r="E1073" s="5">
        <f>$D$832-D1073</f>
        <v>3.3385099999999999</v>
      </c>
      <c r="F1073" s="8">
        <f>10^(-D1073)</f>
        <v>1.6221088733366757E-4</v>
      </c>
      <c r="G1073" s="5">
        <f>(D1073-D1072)/(C1073-C1072)</f>
        <v>-8.3289869608825756E-2</v>
      </c>
      <c r="H1073" s="5">
        <f>$D$9+$D$10*EXP(-$D$11*C1073)</f>
        <v>3.79714260352418</v>
      </c>
      <c r="I1073" s="5">
        <f>D1073-H1073</f>
        <v>-7.2226035241800268E-3</v>
      </c>
      <c r="J1073" s="5">
        <f t="shared" si="23"/>
        <v>5.2166001667497746E-5</v>
      </c>
      <c r="K1073" s="5">
        <f>$D$17+$D$16*C1073</f>
        <v>3.1832849871284905</v>
      </c>
      <c r="L1073" s="5">
        <f>(D1073-K1073)^2</f>
        <v>0.36800603884161642</v>
      </c>
      <c r="M1073" s="5">
        <f>$D$40+$D$41*EXP(-$D$42*C1073)</f>
        <v>0</v>
      </c>
      <c r="N1073" s="5">
        <f>(D1073-M1073)^2</f>
        <v>14.363493606400001</v>
      </c>
      <c r="O1073" s="5">
        <f>(C1073+C1072)/2</f>
        <v>20.028775000000071</v>
      </c>
      <c r="P1073" s="5" t="str">
        <f>IF(AND(D1072&gt;6,D1073&lt;=6),C1072+(6-D1072)*(C1073-C1072)/(D1073-D1072),"")</f>
        <v/>
      </c>
      <c r="Q1073" s="5" t="str">
        <f>IF(AND(D1072&gt;5,D1073&lt;=5),C1072+(5-D1072)*(C1073-C1072)/(D1073-D1072),"")</f>
        <v/>
      </c>
      <c r="R1073" s="5" t="str">
        <f>IF(AND(D1072&gt;4,D1073&lt;=4),C1072+(4-D1072)*(C1073-C1072)/(D1073-D1072),"")</f>
        <v/>
      </c>
      <c r="S1073" s="5" t="str">
        <f>IF(AND(D1072&gt;3,D1073&lt;=3),C1072+(3-D1072)*(C1073-C1072)/(D1073-D1072),"")</f>
        <v/>
      </c>
    </row>
    <row r="1074" spans="1:19" ht="20.100000000000001" customHeight="1">
      <c r="A1074" t="s">
        <v>4</v>
      </c>
      <c r="B1074">
        <v>729</v>
      </c>
      <c r="C1074" s="5">
        <f>('Raw Data'!C729-'Raw Data'!$C$487)/60</f>
        <v>20.153650000000074</v>
      </c>
      <c r="D1074" s="5">
        <f>'Raw Data'!J729</f>
        <v>3.8003</v>
      </c>
      <c r="E1074" s="5">
        <f>$D$832-D1074</f>
        <v>3.3281299999999998</v>
      </c>
      <c r="F1074" s="8">
        <f>10^(-D1074)</f>
        <v>1.5837987650747738E-4</v>
      </c>
      <c r="G1074" s="5">
        <f>(D1074-D1073)/(C1074-C1073)</f>
        <v>0.12455999999999713</v>
      </c>
      <c r="H1074" s="5">
        <f>$D$9+$D$10*EXP(-$D$11*C1074)</f>
        <v>3.7962435027252521</v>
      </c>
      <c r="I1074" s="5">
        <f>D1074-H1074</f>
        <v>4.0564972747478834E-3</v>
      </c>
      <c r="J1074" s="5">
        <f t="shared" si="23"/>
        <v>1.6455170140037005E-5</v>
      </c>
      <c r="K1074" s="5">
        <f>$D$17+$D$16*C1074</f>
        <v>3.1714617258465387</v>
      </c>
      <c r="L1074" s="5">
        <f>(D1074-K1074)^2</f>
        <v>0.39543757504030375</v>
      </c>
      <c r="M1074" s="5">
        <f>$D$40+$D$41*EXP(-$D$42*C1074)</f>
        <v>0</v>
      </c>
      <c r="N1074" s="5">
        <f>(D1074-M1074)^2</f>
        <v>14.442280090000001</v>
      </c>
      <c r="O1074" s="5">
        <f>(C1074+C1073)/2</f>
        <v>20.111983333333406</v>
      </c>
      <c r="P1074" s="5" t="str">
        <f>IF(AND(D1073&gt;6,D1074&lt;=6),C1073+(6-D1073)*(C1074-C1073)/(D1074-D1073),"")</f>
        <v/>
      </c>
      <c r="Q1074" s="5" t="str">
        <f>IF(AND(D1073&gt;5,D1074&lt;=5),C1073+(5-D1073)*(C1074-C1073)/(D1074-D1073),"")</f>
        <v/>
      </c>
      <c r="R1074" s="5" t="str">
        <f>IF(AND(D1073&gt;4,D1074&lt;=4),C1073+(4-D1073)*(C1074-C1073)/(D1074-D1073),"")</f>
        <v/>
      </c>
      <c r="S1074" s="5" t="str">
        <f>IF(AND(D1073&gt;3,D1074&lt;=3),C1073+(3-D1073)*(C1074-C1073)/(D1074-D1073),"")</f>
        <v/>
      </c>
    </row>
    <row r="1075" spans="1:19" ht="20.100000000000001" customHeight="1">
      <c r="A1075" t="s">
        <v>5</v>
      </c>
      <c r="B1075">
        <v>4</v>
      </c>
      <c r="C1075" s="5">
        <f>'Raw Data'!O4</f>
        <v>0</v>
      </c>
      <c r="D1075" s="5">
        <f>'Raw Data'!P4</f>
        <v>3.9</v>
      </c>
      <c r="E1075" s="5">
        <f>$D$1075-D1075</f>
        <v>0</v>
      </c>
      <c r="F1075" s="8">
        <f>10^(-D1075)</f>
        <v>1.2589254117941672E-4</v>
      </c>
      <c r="G1075" s="5"/>
      <c r="H1075" s="5">
        <f>$E$9+$E$10*EXP(-$E$11*C1075)</f>
        <v>0</v>
      </c>
      <c r="I1075" s="5">
        <f>D1075-H1075</f>
        <v>3.9</v>
      </c>
      <c r="J1075" s="5">
        <f t="shared" si="23"/>
        <v>15.209999999999999</v>
      </c>
      <c r="K1075" s="5">
        <f>$E$17+$E$16*C1075</f>
        <v>0</v>
      </c>
      <c r="L1075" s="5">
        <f>(D1075-K1075)^2</f>
        <v>15.209999999999999</v>
      </c>
      <c r="M1075" s="5">
        <f>$E$40+$E$41*EXP(-$E$42*C1075)</f>
        <v>0</v>
      </c>
      <c r="N1075" s="5">
        <f>(D1075-M1075)^2</f>
        <v>15.209999999999999</v>
      </c>
      <c r="O1075" s="5"/>
      <c r="P1075" s="5"/>
      <c r="Q1075" s="5"/>
      <c r="R1075" s="5"/>
      <c r="S1075" s="5"/>
    </row>
    <row r="1076" spans="1:19" ht="20.100000000000001" customHeight="1">
      <c r="A1076" t="s">
        <v>5</v>
      </c>
      <c r="B1076">
        <v>5</v>
      </c>
      <c r="C1076" s="5">
        <f>'Raw Data'!O5</f>
        <v>1</v>
      </c>
      <c r="D1076" s="5">
        <f>'Raw Data'!P5</f>
        <v>3.63</v>
      </c>
      <c r="E1076" s="5">
        <f>$D$1075-D1076</f>
        <v>0.27</v>
      </c>
      <c r="F1076" s="8">
        <f>10^(-D1076)</f>
        <v>2.3442288153199204E-4</v>
      </c>
      <c r="G1076" s="5">
        <f>(D1076-D1075)/(C1076-C1075)</f>
        <v>-0.27</v>
      </c>
      <c r="H1076" s="5">
        <f>$E$9+$E$10*EXP(-$E$11*C1076)</f>
        <v>0</v>
      </c>
      <c r="I1076" s="5">
        <f>D1076-H1076</f>
        <v>3.63</v>
      </c>
      <c r="J1076" s="5">
        <f t="shared" si="23"/>
        <v>13.1769</v>
      </c>
      <c r="K1076" s="5">
        <f>$E$17+$E$16*C1076</f>
        <v>0</v>
      </c>
      <c r="L1076" s="5">
        <f>(D1076-K1076)^2</f>
        <v>13.1769</v>
      </c>
      <c r="M1076" s="5">
        <f>$E$40+$E$41*EXP(-$E$42*C1076)</f>
        <v>0</v>
      </c>
      <c r="N1076" s="5">
        <f>(D1076-M1076)^2</f>
        <v>13.1769</v>
      </c>
      <c r="O1076" s="5">
        <f>(C1076+C1075)/2</f>
        <v>0.5</v>
      </c>
      <c r="P1076" s="5" t="str">
        <f>IF(AND(D1075&gt;6,D1076&lt;=6),C1075+(6-D1075)*(C1076-C1075)/(D1076-D1075),"")</f>
        <v/>
      </c>
      <c r="Q1076" s="5" t="str">
        <f>IF(AND(D1075&gt;5,D1076&lt;=5),C1075+(5-D1075)*(C1076-C1075)/(D1076-D1075),"")</f>
        <v/>
      </c>
      <c r="R1076" s="5" t="str">
        <f>IF(AND(D1075&gt;4,D1076&lt;=4),C1075+(4-D1075)*(C1076-C1075)/(D1076-D1075),"")</f>
        <v/>
      </c>
      <c r="S1076" s="5" t="str">
        <f>IF(AND(D1075&gt;3,D1076&lt;=3),C1075+(3-D1075)*(C1076-C1075)/(D1076-D1075),"")</f>
        <v/>
      </c>
    </row>
    <row r="1077" spans="1:19" ht="20.100000000000001" customHeight="1">
      <c r="A1077" t="s">
        <v>5</v>
      </c>
      <c r="B1077">
        <v>6</v>
      </c>
      <c r="C1077" s="5">
        <f>'Raw Data'!O6</f>
        <v>2</v>
      </c>
      <c r="D1077" s="5">
        <f>'Raw Data'!P6</f>
        <v>3.54</v>
      </c>
      <c r="E1077" s="5">
        <f>$D$1075-D1077</f>
        <v>0.35999999999999988</v>
      </c>
      <c r="F1077" s="8">
        <f>10^(-D1077)</f>
        <v>2.8840315031266012E-4</v>
      </c>
      <c r="G1077" s="5">
        <f>(D1077-D1076)/(C1077-C1076)</f>
        <v>-8.9999999999999858E-2</v>
      </c>
      <c r="H1077" s="5">
        <f>$E$9+$E$10*EXP(-$E$11*C1077)</f>
        <v>0</v>
      </c>
      <c r="I1077" s="5">
        <f>D1077-H1077</f>
        <v>3.54</v>
      </c>
      <c r="J1077" s="5">
        <f t="shared" si="23"/>
        <v>12.531600000000001</v>
      </c>
      <c r="K1077" s="5">
        <f>$E$17+$E$16*C1077</f>
        <v>0</v>
      </c>
      <c r="L1077" s="5">
        <f>(D1077-K1077)^2</f>
        <v>12.531600000000001</v>
      </c>
      <c r="M1077" s="5">
        <f>$E$40+$E$41*EXP(-$E$42*C1077)</f>
        <v>0</v>
      </c>
      <c r="N1077" s="5">
        <f>(D1077-M1077)^2</f>
        <v>12.531600000000001</v>
      </c>
      <c r="O1077" s="5">
        <f>(C1077+C1076)/2</f>
        <v>1.5</v>
      </c>
      <c r="P1077" s="5" t="str">
        <f>IF(AND(D1076&gt;6,D1077&lt;=6),C1076+(6-D1076)*(C1077-C1076)/(D1077-D1076),"")</f>
        <v/>
      </c>
      <c r="Q1077" s="5" t="str">
        <f>IF(AND(D1076&gt;5,D1077&lt;=5),C1076+(5-D1076)*(C1077-C1076)/(D1077-D1076),"")</f>
        <v/>
      </c>
      <c r="R1077" s="5" t="str">
        <f>IF(AND(D1076&gt;4,D1077&lt;=4),C1076+(4-D1076)*(C1077-C1076)/(D1077-D1076),"")</f>
        <v/>
      </c>
      <c r="S1077" s="5" t="str">
        <f>IF(AND(D1076&gt;3,D1077&lt;=3),C1076+(3-D1076)*(C1077-C1076)/(D1077-D1076),"")</f>
        <v/>
      </c>
    </row>
    <row r="1078" spans="1:19" ht="20.100000000000001" customHeight="1">
      <c r="A1078" t="s">
        <v>5</v>
      </c>
      <c r="B1078">
        <v>7</v>
      </c>
      <c r="C1078" s="5">
        <f>'Raw Data'!O7</f>
        <v>3</v>
      </c>
      <c r="D1078" s="5">
        <f>'Raw Data'!P7</f>
        <v>3.42</v>
      </c>
      <c r="E1078" s="5">
        <f>$D$1075-D1078</f>
        <v>0.48</v>
      </c>
      <c r="F1078" s="8">
        <f>10^(-D1078)</f>
        <v>3.8018939632056113E-4</v>
      </c>
      <c r="G1078" s="5">
        <f>(D1078-D1077)/(C1078-C1077)</f>
        <v>-0.12000000000000011</v>
      </c>
      <c r="H1078" s="5">
        <f>$E$9+$E$10*EXP(-$E$11*C1078)</f>
        <v>0</v>
      </c>
      <c r="I1078" s="5">
        <f>D1078-H1078</f>
        <v>3.42</v>
      </c>
      <c r="J1078" s="5">
        <f t="shared" si="23"/>
        <v>11.696399999999999</v>
      </c>
      <c r="K1078" s="5">
        <f>$E$17+$E$16*C1078</f>
        <v>0</v>
      </c>
      <c r="L1078" s="5">
        <f>(D1078-K1078)^2</f>
        <v>11.696399999999999</v>
      </c>
      <c r="M1078" s="5">
        <f>$E$40+$E$41*EXP(-$E$42*C1078)</f>
        <v>0</v>
      </c>
      <c r="N1078" s="5">
        <f>(D1078-M1078)^2</f>
        <v>11.696399999999999</v>
      </c>
      <c r="O1078" s="5">
        <f>(C1078+C1077)/2</f>
        <v>2.5</v>
      </c>
      <c r="P1078" s="5" t="str">
        <f>IF(AND(D1077&gt;6,D1078&lt;=6),C1077+(6-D1077)*(C1078-C1077)/(D1078-D1077),"")</f>
        <v/>
      </c>
      <c r="Q1078" s="5" t="str">
        <f>IF(AND(D1077&gt;5,D1078&lt;=5),C1077+(5-D1077)*(C1078-C1077)/(D1078-D1077),"")</f>
        <v/>
      </c>
      <c r="R1078" s="5" t="str">
        <f>IF(AND(D1077&gt;4,D1078&lt;=4),C1077+(4-D1077)*(C1078-C1077)/(D1078-D1077),"")</f>
        <v/>
      </c>
      <c r="S1078" s="5" t="str">
        <f>IF(AND(D1077&gt;3,D1078&lt;=3),C1077+(3-D1077)*(C1078-C1077)/(D1078-D1077),"")</f>
        <v/>
      </c>
    </row>
    <row r="1079" spans="1:19" ht="20.100000000000001" customHeight="1">
      <c r="A1079" t="s">
        <v>5</v>
      </c>
      <c r="B1079">
        <v>8</v>
      </c>
      <c r="C1079" s="5">
        <f>'Raw Data'!O8</f>
        <v>4</v>
      </c>
      <c r="D1079" s="5">
        <f>'Raw Data'!P8</f>
        <v>3.36</v>
      </c>
      <c r="E1079" s="5">
        <f>$D$1075-D1079</f>
        <v>0.54</v>
      </c>
      <c r="F1079" s="8">
        <f>10^(-D1079)</f>
        <v>4.3651583224016562E-4</v>
      </c>
      <c r="G1079" s="5">
        <f>(D1079-D1078)/(C1079-C1078)</f>
        <v>-6.0000000000000053E-2</v>
      </c>
      <c r="H1079" s="5">
        <f>$E$9+$E$10*EXP(-$E$11*C1079)</f>
        <v>0</v>
      </c>
      <c r="I1079" s="5">
        <f>D1079-H1079</f>
        <v>3.36</v>
      </c>
      <c r="J1079" s="5">
        <f t="shared" si="23"/>
        <v>11.289599999999998</v>
      </c>
      <c r="K1079" s="5">
        <f>$E$17+$E$16*C1079</f>
        <v>0</v>
      </c>
      <c r="L1079" s="5">
        <f>(D1079-K1079)^2</f>
        <v>11.289599999999998</v>
      </c>
      <c r="M1079" s="5">
        <f>$E$40+$E$41*EXP(-$E$42*C1079)</f>
        <v>0</v>
      </c>
      <c r="N1079" s="5">
        <f>(D1079-M1079)^2</f>
        <v>11.289599999999998</v>
      </c>
      <c r="O1079" s="5">
        <f>(C1079+C1078)/2</f>
        <v>3.5</v>
      </c>
      <c r="P1079" s="5" t="str">
        <f>IF(AND(D1078&gt;6,D1079&lt;=6),C1078+(6-D1078)*(C1079-C1078)/(D1079-D1078),"")</f>
        <v/>
      </c>
      <c r="Q1079" s="5" t="str">
        <f>IF(AND(D1078&gt;5,D1079&lt;=5),C1078+(5-D1078)*(C1079-C1078)/(D1079-D1078),"")</f>
        <v/>
      </c>
      <c r="R1079" s="5" t="str">
        <f>IF(AND(D1078&gt;4,D1079&lt;=4),C1078+(4-D1078)*(C1079-C1078)/(D1079-D1078),"")</f>
        <v/>
      </c>
      <c r="S1079" s="5" t="str">
        <f>IF(AND(D1078&gt;3,D1079&lt;=3),C1078+(3-D1078)*(C1079-C1078)/(D1079-D1078),"")</f>
        <v/>
      </c>
    </row>
    <row r="1080" spans="1:19" ht="20.100000000000001" customHeight="1">
      <c r="A1080" t="s">
        <v>5</v>
      </c>
      <c r="B1080">
        <v>9</v>
      </c>
      <c r="C1080" s="5">
        <f>'Raw Data'!O9</f>
        <v>5</v>
      </c>
      <c r="D1080" s="5">
        <f>'Raw Data'!P9</f>
        <v>3.32</v>
      </c>
      <c r="E1080" s="5">
        <f>$D$1075-D1080</f>
        <v>0.58000000000000007</v>
      </c>
      <c r="F1080" s="8">
        <f>10^(-D1080)</f>
        <v>4.7863009232263827E-4</v>
      </c>
      <c r="G1080" s="5">
        <f>(D1080-D1079)/(C1080-C1079)</f>
        <v>-4.0000000000000036E-2</v>
      </c>
      <c r="H1080" s="5">
        <f>$E$9+$E$10*EXP(-$E$11*C1080)</f>
        <v>0</v>
      </c>
      <c r="I1080" s="5">
        <f>D1080-H1080</f>
        <v>3.32</v>
      </c>
      <c r="J1080" s="5">
        <f t="shared" si="23"/>
        <v>11.022399999999999</v>
      </c>
      <c r="K1080" s="5">
        <f>$E$17+$E$16*C1080</f>
        <v>0</v>
      </c>
      <c r="L1080" s="5">
        <f>(D1080-K1080)^2</f>
        <v>11.022399999999999</v>
      </c>
      <c r="M1080" s="5">
        <f>$E$40+$E$41*EXP(-$E$42*C1080)</f>
        <v>0</v>
      </c>
      <c r="N1080" s="5">
        <f>(D1080-M1080)^2</f>
        <v>11.022399999999999</v>
      </c>
      <c r="O1080" s="5">
        <f>(C1080+C1079)/2</f>
        <v>4.5</v>
      </c>
      <c r="P1080" s="5" t="str">
        <f>IF(AND(D1079&gt;6,D1080&lt;=6),C1079+(6-D1079)*(C1080-C1079)/(D1080-D1079),"")</f>
        <v/>
      </c>
      <c r="Q1080" s="5" t="str">
        <f>IF(AND(D1079&gt;5,D1080&lt;=5),C1079+(5-D1079)*(C1080-C1079)/(D1080-D1079),"")</f>
        <v/>
      </c>
      <c r="R1080" s="5" t="str">
        <f>IF(AND(D1079&gt;4,D1080&lt;=4),C1079+(4-D1079)*(C1080-C1079)/(D1080-D1079),"")</f>
        <v/>
      </c>
      <c r="S1080" s="5" t="str">
        <f>IF(AND(D1079&gt;3,D1080&lt;=3),C1079+(3-D1079)*(C1080-C1079)/(D1080-D1079),"")</f>
        <v/>
      </c>
    </row>
    <row r="1081" spans="1:19" ht="20.100000000000001" customHeight="1">
      <c r="A1081" t="s">
        <v>5</v>
      </c>
      <c r="B1081">
        <v>10</v>
      </c>
      <c r="C1081" s="5">
        <f>'Raw Data'!O10</f>
        <v>6</v>
      </c>
      <c r="D1081" s="5">
        <f>'Raw Data'!P10</f>
        <v>3.27</v>
      </c>
      <c r="E1081" s="5">
        <f>$D$1075-D1081</f>
        <v>0.62999999999999989</v>
      </c>
      <c r="F1081" s="8">
        <f>10^(-D1081)</f>
        <v>5.3703179637025239E-4</v>
      </c>
      <c r="G1081" s="5">
        <f>(D1081-D1080)/(C1081-C1080)</f>
        <v>-4.9999999999999822E-2</v>
      </c>
      <c r="H1081" s="5">
        <f>$E$9+$E$10*EXP(-$E$11*C1081)</f>
        <v>0</v>
      </c>
      <c r="I1081" s="5">
        <f>D1081-H1081</f>
        <v>3.27</v>
      </c>
      <c r="J1081" s="5">
        <f t="shared" si="23"/>
        <v>10.6929</v>
      </c>
      <c r="K1081" s="5">
        <f>$E$17+$E$16*C1081</f>
        <v>0</v>
      </c>
      <c r="L1081" s="5">
        <f>(D1081-K1081)^2</f>
        <v>10.6929</v>
      </c>
      <c r="M1081" s="5">
        <f>$E$40+$E$41*EXP(-$E$42*C1081)</f>
        <v>0</v>
      </c>
      <c r="N1081" s="5">
        <f>(D1081-M1081)^2</f>
        <v>10.6929</v>
      </c>
      <c r="O1081" s="5">
        <f>(C1081+C1080)/2</f>
        <v>5.5</v>
      </c>
      <c r="P1081" s="5" t="str">
        <f>IF(AND(D1080&gt;6,D1081&lt;=6),C1080+(6-D1080)*(C1081-C1080)/(D1081-D1080),"")</f>
        <v/>
      </c>
      <c r="Q1081" s="5" t="str">
        <f>IF(AND(D1080&gt;5,D1081&lt;=5),C1080+(5-D1080)*(C1081-C1080)/(D1081-D1080),"")</f>
        <v/>
      </c>
      <c r="R1081" s="5" t="str">
        <f>IF(AND(D1080&gt;4,D1081&lt;=4),C1080+(4-D1080)*(C1081-C1080)/(D1081-D1080),"")</f>
        <v/>
      </c>
      <c r="S1081" s="5" t="str">
        <f>IF(AND(D1080&gt;3,D1081&lt;=3),C1080+(3-D1080)*(C1081-C1080)/(D1081-D1080),"")</f>
        <v/>
      </c>
    </row>
    <row r="1082" spans="1:19" ht="20.100000000000001" customHeight="1">
      <c r="A1082" t="s">
        <v>5</v>
      </c>
      <c r="B1082">
        <v>11</v>
      </c>
      <c r="C1082" s="5">
        <f>'Raw Data'!O11</f>
        <v>7</v>
      </c>
      <c r="D1082" s="5">
        <f>'Raw Data'!P11</f>
        <v>3.24</v>
      </c>
      <c r="E1082" s="5">
        <f>$D$1075-D1082</f>
        <v>0.6599999999999997</v>
      </c>
      <c r="F1082" s="8">
        <f>10^(-D1082)</f>
        <v>5.7543993733715632E-4</v>
      </c>
      <c r="G1082" s="5">
        <f>(D1082-D1081)/(C1082-C1081)</f>
        <v>-2.9999999999999805E-2</v>
      </c>
      <c r="H1082" s="5">
        <f>$E$9+$E$10*EXP(-$E$11*C1082)</f>
        <v>0</v>
      </c>
      <c r="I1082" s="5">
        <f>D1082-H1082</f>
        <v>3.24</v>
      </c>
      <c r="J1082" s="5">
        <f t="shared" si="23"/>
        <v>10.497600000000002</v>
      </c>
      <c r="K1082" s="5">
        <f>$E$17+$E$16*C1082</f>
        <v>0</v>
      </c>
      <c r="L1082" s="5">
        <f>(D1082-K1082)^2</f>
        <v>10.497600000000002</v>
      </c>
      <c r="M1082" s="5">
        <f>$E$40+$E$41*EXP(-$E$42*C1082)</f>
        <v>0</v>
      </c>
      <c r="N1082" s="5">
        <f>(D1082-M1082)^2</f>
        <v>10.497600000000002</v>
      </c>
      <c r="O1082" s="5">
        <f>(C1082+C1081)/2</f>
        <v>6.5</v>
      </c>
      <c r="P1082" s="5" t="str">
        <f>IF(AND(D1081&gt;6,D1082&lt;=6),C1081+(6-D1081)*(C1082-C1081)/(D1082-D1081),"")</f>
        <v/>
      </c>
      <c r="Q1082" s="5" t="str">
        <f>IF(AND(D1081&gt;5,D1082&lt;=5),C1081+(5-D1081)*(C1082-C1081)/(D1082-D1081),"")</f>
        <v/>
      </c>
      <c r="R1082" s="5" t="str">
        <f>IF(AND(D1081&gt;4,D1082&lt;=4),C1081+(4-D1081)*(C1082-C1081)/(D1082-D1081),"")</f>
        <v/>
      </c>
      <c r="S1082" s="5" t="str">
        <f>IF(AND(D1081&gt;3,D1082&lt;=3),C1081+(3-D1081)*(C1082-C1081)/(D1082-D1081),"")</f>
        <v/>
      </c>
    </row>
    <row r="1083" spans="1:19" ht="20.100000000000001" customHeight="1">
      <c r="A1083" t="s">
        <v>5</v>
      </c>
      <c r="B1083">
        <v>12</v>
      </c>
      <c r="C1083" s="5">
        <f>'Raw Data'!O12</f>
        <v>8</v>
      </c>
      <c r="D1083" s="5">
        <f>'Raw Data'!P12</f>
        <v>3.21</v>
      </c>
      <c r="E1083" s="5">
        <f>$D$1075-D1083</f>
        <v>0.69</v>
      </c>
      <c r="F1083" s="8">
        <f>10^(-D1083)</f>
        <v>6.1659500186148184E-4</v>
      </c>
      <c r="G1083" s="5">
        <f>(D1083-D1082)/(C1083-C1082)</f>
        <v>-3.0000000000000249E-2</v>
      </c>
      <c r="H1083" s="5">
        <f>$E$9+$E$10*EXP(-$E$11*C1083)</f>
        <v>0</v>
      </c>
      <c r="I1083" s="5">
        <f>D1083-H1083</f>
        <v>3.21</v>
      </c>
      <c r="J1083" s="5">
        <f t="shared" si="23"/>
        <v>10.3041</v>
      </c>
      <c r="K1083" s="5">
        <f>$E$17+$E$16*C1083</f>
        <v>0</v>
      </c>
      <c r="L1083" s="5">
        <f>(D1083-K1083)^2</f>
        <v>10.3041</v>
      </c>
      <c r="M1083" s="5">
        <f>$E$40+$E$41*EXP(-$E$42*C1083)</f>
        <v>0</v>
      </c>
      <c r="N1083" s="5">
        <f>(D1083-M1083)^2</f>
        <v>10.3041</v>
      </c>
      <c r="O1083" s="5">
        <f>(C1083+C1082)/2</f>
        <v>7.5</v>
      </c>
      <c r="P1083" s="5" t="str">
        <f>IF(AND(D1082&gt;6,D1083&lt;=6),C1082+(6-D1082)*(C1083-C1082)/(D1083-D1082),"")</f>
        <v/>
      </c>
      <c r="Q1083" s="5" t="str">
        <f>IF(AND(D1082&gt;5,D1083&lt;=5),C1082+(5-D1082)*(C1083-C1082)/(D1083-D1082),"")</f>
        <v/>
      </c>
      <c r="R1083" s="5" t="str">
        <f>IF(AND(D1082&gt;4,D1083&lt;=4),C1082+(4-D1082)*(C1083-C1082)/(D1083-D1082),"")</f>
        <v/>
      </c>
      <c r="S1083" s="5" t="str">
        <f>IF(AND(D1082&gt;3,D1083&lt;=3),C1082+(3-D1082)*(C1083-C1082)/(D1083-D1082),"")</f>
        <v/>
      </c>
    </row>
    <row r="1084" spans="1:19" ht="20.100000000000001" customHeight="1">
      <c r="A1084" t="s">
        <v>5</v>
      </c>
      <c r="B1084">
        <v>13</v>
      </c>
      <c r="C1084" s="5">
        <f>'Raw Data'!O13</f>
        <v>9</v>
      </c>
      <c r="D1084" s="5">
        <f>'Raw Data'!P13</f>
        <v>3.19</v>
      </c>
      <c r="E1084" s="5">
        <f>$D$1075-D1084</f>
        <v>0.71</v>
      </c>
      <c r="F1084" s="8">
        <f>10^(-D1084)</f>
        <v>6.4565422903465513E-4</v>
      </c>
      <c r="G1084" s="5">
        <f>(D1084-D1083)/(C1084-C1083)</f>
        <v>-2.0000000000000018E-2</v>
      </c>
      <c r="H1084" s="5">
        <f>$E$9+$E$10*EXP(-$E$11*C1084)</f>
        <v>0</v>
      </c>
      <c r="I1084" s="5">
        <f>D1084-H1084</f>
        <v>3.19</v>
      </c>
      <c r="J1084" s="5">
        <f t="shared" si="23"/>
        <v>10.1761</v>
      </c>
      <c r="K1084" s="5">
        <f>$E$17+$E$16*C1084</f>
        <v>0</v>
      </c>
      <c r="L1084" s="5">
        <f>(D1084-K1084)^2</f>
        <v>10.1761</v>
      </c>
      <c r="M1084" s="5">
        <f>$E$40+$E$41*EXP(-$E$42*C1084)</f>
        <v>0</v>
      </c>
      <c r="N1084" s="5">
        <f>(D1084-M1084)^2</f>
        <v>10.1761</v>
      </c>
      <c r="O1084" s="5">
        <f>(C1084+C1083)/2</f>
        <v>8.5</v>
      </c>
      <c r="P1084" s="5" t="str">
        <f>IF(AND(D1083&gt;6,D1084&lt;=6),C1083+(6-D1083)*(C1084-C1083)/(D1084-D1083),"")</f>
        <v/>
      </c>
      <c r="Q1084" s="5" t="str">
        <f>IF(AND(D1083&gt;5,D1084&lt;=5),C1083+(5-D1083)*(C1084-C1083)/(D1084-D1083),"")</f>
        <v/>
      </c>
      <c r="R1084" s="5" t="str">
        <f>IF(AND(D1083&gt;4,D1084&lt;=4),C1083+(4-D1083)*(C1084-C1083)/(D1084-D1083),"")</f>
        <v/>
      </c>
      <c r="S1084" s="5" t="str">
        <f>IF(AND(D1083&gt;3,D1084&lt;=3),C1083+(3-D1083)*(C1084-C1083)/(D1084-D1083),"")</f>
        <v/>
      </c>
    </row>
    <row r="1085" spans="1:19" ht="20.100000000000001" customHeight="1">
      <c r="A1085" t="s">
        <v>5</v>
      </c>
      <c r="B1085">
        <v>14</v>
      </c>
      <c r="C1085" s="5">
        <f>'Raw Data'!O14</f>
        <v>10</v>
      </c>
      <c r="D1085" s="5">
        <f>'Raw Data'!P14</f>
        <v>3.17</v>
      </c>
      <c r="E1085" s="5">
        <f>$D$1075-D1085</f>
        <v>0.73</v>
      </c>
      <c r="F1085" s="8">
        <f>10^(-D1085)</f>
        <v>6.7608297539198121E-4</v>
      </c>
      <c r="G1085" s="5">
        <f>(D1085-D1084)/(C1085-C1084)</f>
        <v>-2.0000000000000018E-2</v>
      </c>
      <c r="H1085" s="5">
        <f>$E$9+$E$10*EXP(-$E$11*C1085)</f>
        <v>0</v>
      </c>
      <c r="I1085" s="5">
        <f>D1085-H1085</f>
        <v>3.17</v>
      </c>
      <c r="J1085" s="5">
        <f t="shared" si="23"/>
        <v>10.0489</v>
      </c>
      <c r="K1085" s="5">
        <f>$E$17+$E$16*C1085</f>
        <v>0</v>
      </c>
      <c r="L1085" s="5">
        <f>(D1085-K1085)^2</f>
        <v>10.0489</v>
      </c>
      <c r="M1085" s="5">
        <f>$E$40+$E$41*EXP(-$E$42*C1085)</f>
        <v>0</v>
      </c>
      <c r="N1085" s="5">
        <f>(D1085-M1085)^2</f>
        <v>10.0489</v>
      </c>
      <c r="O1085" s="5">
        <f>(C1085+C1084)/2</f>
        <v>9.5</v>
      </c>
      <c r="P1085" s="5" t="str">
        <f>IF(AND(D1084&gt;6,D1085&lt;=6),C1084+(6-D1084)*(C1085-C1084)/(D1085-D1084),"")</f>
        <v/>
      </c>
      <c r="Q1085" s="5" t="str">
        <f>IF(AND(D1084&gt;5,D1085&lt;=5),C1084+(5-D1084)*(C1085-C1084)/(D1085-D1084),"")</f>
        <v/>
      </c>
      <c r="R1085" s="5" t="str">
        <f>IF(AND(D1084&gt;4,D1085&lt;=4),C1084+(4-D1084)*(C1085-C1084)/(D1085-D1084),"")</f>
        <v/>
      </c>
      <c r="S1085" s="5" t="str">
        <f>IF(AND(D1084&gt;3,D1085&lt;=3),C1084+(3-D1084)*(C1085-C1084)/(D1085-D1084),"")</f>
        <v/>
      </c>
    </row>
    <row r="1086" spans="1:19" ht="20.100000000000001" customHeight="1">
      <c r="A1086" t="s">
        <v>5</v>
      </c>
      <c r="B1086">
        <v>15</v>
      </c>
      <c r="C1086" s="5">
        <f>'Raw Data'!O15</f>
        <v>11</v>
      </c>
      <c r="D1086" s="5">
        <f>'Raw Data'!P15</f>
        <v>3.16</v>
      </c>
      <c r="E1086" s="5">
        <f>$D$1075-D1086</f>
        <v>0.73999999999999977</v>
      </c>
      <c r="F1086" s="8">
        <f>10^(-D1086)</f>
        <v>6.9183097091893579E-4</v>
      </c>
      <c r="G1086" s="5">
        <f>(D1086-D1085)/(C1086-C1085)</f>
        <v>-9.9999999999997868E-3</v>
      </c>
      <c r="H1086" s="5">
        <f>$E$9+$E$10*EXP(-$E$11*C1086)</f>
        <v>0</v>
      </c>
      <c r="I1086" s="5">
        <f>D1086-H1086</f>
        <v>3.16</v>
      </c>
      <c r="J1086" s="5">
        <f t="shared" si="23"/>
        <v>9.9856000000000016</v>
      </c>
      <c r="K1086" s="5">
        <f>$E$17+$E$16*C1086</f>
        <v>0</v>
      </c>
      <c r="L1086" s="5">
        <f>(D1086-K1086)^2</f>
        <v>9.9856000000000016</v>
      </c>
      <c r="M1086" s="5">
        <f>$E$40+$E$41*EXP(-$E$42*C1086)</f>
        <v>0</v>
      </c>
      <c r="N1086" s="5">
        <f>(D1086-M1086)^2</f>
        <v>9.9856000000000016</v>
      </c>
      <c r="O1086" s="5">
        <f>(C1086+C1085)/2</f>
        <v>10.5</v>
      </c>
      <c r="P1086" s="5" t="str">
        <f>IF(AND(D1085&gt;6,D1086&lt;=6),C1085+(6-D1085)*(C1086-C1085)/(D1086-D1085),"")</f>
        <v/>
      </c>
      <c r="Q1086" s="5" t="str">
        <f>IF(AND(D1085&gt;5,D1086&lt;=5),C1085+(5-D1085)*(C1086-C1085)/(D1086-D1085),"")</f>
        <v/>
      </c>
      <c r="R1086" s="5" t="str">
        <f>IF(AND(D1085&gt;4,D1086&lt;=4),C1085+(4-D1085)*(C1086-C1085)/(D1086-D1085),"")</f>
        <v/>
      </c>
      <c r="S1086" s="5" t="str">
        <f>IF(AND(D1085&gt;3,D1086&lt;=3),C1085+(3-D1085)*(C1086-C1085)/(D1086-D1085),"")</f>
        <v/>
      </c>
    </row>
    <row r="1087" spans="1:19" ht="20.100000000000001" customHeight="1">
      <c r="A1087" t="s">
        <v>5</v>
      </c>
      <c r="B1087">
        <v>16</v>
      </c>
      <c r="C1087" s="5">
        <f>'Raw Data'!O16</f>
        <v>12</v>
      </c>
      <c r="D1087" s="5">
        <f>'Raw Data'!P16</f>
        <v>3.15</v>
      </c>
      <c r="E1087" s="5">
        <f>$D$1075-D1087</f>
        <v>0.75</v>
      </c>
      <c r="F1087" s="8">
        <f>10^(-D1087)</f>
        <v>7.079457843841378E-4</v>
      </c>
      <c r="G1087" s="5">
        <f>(D1087-D1086)/(C1087-C1086)</f>
        <v>-1.0000000000000231E-2</v>
      </c>
      <c r="H1087" s="5">
        <f>$E$9+$E$10*EXP(-$E$11*C1087)</f>
        <v>0</v>
      </c>
      <c r="I1087" s="5">
        <f>D1087-H1087</f>
        <v>3.15</v>
      </c>
      <c r="J1087" s="5">
        <f t="shared" si="23"/>
        <v>9.9224999999999994</v>
      </c>
      <c r="K1087" s="5">
        <f>$E$17+$E$16*C1087</f>
        <v>0</v>
      </c>
      <c r="L1087" s="5">
        <f>(D1087-K1087)^2</f>
        <v>9.9224999999999994</v>
      </c>
      <c r="M1087" s="5">
        <f>$E$40+$E$41*EXP(-$E$42*C1087)</f>
        <v>0</v>
      </c>
      <c r="N1087" s="5">
        <f>(D1087-M1087)^2</f>
        <v>9.9224999999999994</v>
      </c>
      <c r="O1087" s="5">
        <f>(C1087+C1086)/2</f>
        <v>11.5</v>
      </c>
      <c r="P1087" s="5" t="str">
        <f>IF(AND(D1086&gt;6,D1087&lt;=6),C1086+(6-D1086)*(C1087-C1086)/(D1087-D1086),"")</f>
        <v/>
      </c>
      <c r="Q1087" s="5" t="str">
        <f>IF(AND(D1086&gt;5,D1087&lt;=5),C1086+(5-D1086)*(C1087-C1086)/(D1087-D1086),"")</f>
        <v/>
      </c>
      <c r="R1087" s="5" t="str">
        <f>IF(AND(D1086&gt;4,D1087&lt;=4),C1086+(4-D1086)*(C1087-C1086)/(D1087-D1086),"")</f>
        <v/>
      </c>
      <c r="S1087" s="5" t="str">
        <f>IF(AND(D1086&gt;3,D1087&lt;=3),C1086+(3-D1086)*(C1087-C1086)/(D1087-D1086),"")</f>
        <v/>
      </c>
    </row>
    <row r="1088" spans="1:19" ht="20.100000000000001" customHeight="1">
      <c r="A1088" t="s">
        <v>6</v>
      </c>
      <c r="B1088">
        <v>4</v>
      </c>
      <c r="C1088" s="5">
        <f>'Raw Data'!R4</f>
        <v>0</v>
      </c>
      <c r="D1088" s="5">
        <f>'Raw Data'!S4</f>
        <v>6.73</v>
      </c>
      <c r="E1088" s="5">
        <f>$D$1088-D1088</f>
        <v>0</v>
      </c>
      <c r="F1088" s="8">
        <f>10^(-D1088)</f>
        <v>1.8620871366628614E-7</v>
      </c>
      <c r="G1088" s="5"/>
      <c r="H1088" s="5">
        <f>$F$9+$F$10*EXP(-$F$11*C1088)</f>
        <v>0</v>
      </c>
      <c r="I1088" s="5">
        <f>D1088-H1088</f>
        <v>6.73</v>
      </c>
      <c r="J1088" s="5">
        <f t="shared" si="23"/>
        <v>45.292900000000003</v>
      </c>
      <c r="K1088" s="5">
        <f>$F$17+$F$16*C1088</f>
        <v>0</v>
      </c>
      <c r="L1088" s="5">
        <f>(D1088-K1088)^2</f>
        <v>45.292900000000003</v>
      </c>
      <c r="M1088" s="5">
        <f>$F$40+$F$41*EXP(-$F$42*C1088)</f>
        <v>0</v>
      </c>
      <c r="N1088" s="5">
        <f>(D1088-M1088)^2</f>
        <v>45.292900000000003</v>
      </c>
      <c r="O1088" s="5"/>
      <c r="P1088" s="5"/>
      <c r="Q1088" s="5"/>
      <c r="R1088" s="5"/>
      <c r="S1088" s="5"/>
    </row>
    <row r="1089" spans="1:19" ht="20.100000000000001" customHeight="1">
      <c r="A1089" t="s">
        <v>6</v>
      </c>
      <c r="B1089">
        <v>5</v>
      </c>
      <c r="C1089" s="5">
        <f>'Raw Data'!R5</f>
        <v>1</v>
      </c>
      <c r="D1089" s="5">
        <f>'Raw Data'!S5</f>
        <v>6.21</v>
      </c>
      <c r="E1089" s="5">
        <f>$D$1088-D1089</f>
        <v>0.52000000000000046</v>
      </c>
      <c r="F1089" s="8">
        <f>10^(-D1089)</f>
        <v>6.1659500186148145E-7</v>
      </c>
      <c r="G1089" s="5">
        <f>(D1089-D1088)/(C1089-C1088)</f>
        <v>-0.52000000000000046</v>
      </c>
      <c r="H1089" s="5">
        <f>$F$9+$F$10*EXP(-$F$11*C1089)</f>
        <v>0</v>
      </c>
      <c r="I1089" s="5">
        <f>D1089-H1089</f>
        <v>6.21</v>
      </c>
      <c r="J1089" s="5">
        <f t="shared" si="23"/>
        <v>38.564099999999996</v>
      </c>
      <c r="K1089" s="5">
        <f>$F$17+$F$16*C1089</f>
        <v>0</v>
      </c>
      <c r="L1089" s="5">
        <f>(D1089-K1089)^2</f>
        <v>38.564099999999996</v>
      </c>
      <c r="M1089" s="5">
        <f>$F$40+$F$41*EXP(-$F$42*C1089)</f>
        <v>0</v>
      </c>
      <c r="N1089" s="5">
        <f>(D1089-M1089)^2</f>
        <v>38.564099999999996</v>
      </c>
      <c r="O1089" s="5">
        <f>(C1089+C1088)/2</f>
        <v>0.5</v>
      </c>
      <c r="P1089" s="5" t="str">
        <f>IF(AND(D1088&gt;6,D1089&lt;=6),C1088+(6-D1088)*(C1089-C1088)/(D1089-D1088),"")</f>
        <v/>
      </c>
      <c r="Q1089" s="5" t="str">
        <f>IF(AND(D1088&gt;5,D1089&lt;=5),C1088+(5-D1088)*(C1089-C1088)/(D1089-D1088),"")</f>
        <v/>
      </c>
      <c r="R1089" s="5" t="str">
        <f>IF(AND(D1088&gt;4,D1089&lt;=4),C1088+(4-D1088)*(C1089-C1088)/(D1089-D1088),"")</f>
        <v/>
      </c>
      <c r="S1089" s="5" t="str">
        <f>IF(AND(D1088&gt;3,D1089&lt;=3),C1088+(3-D1088)*(C1089-C1088)/(D1089-D1088),"")</f>
        <v/>
      </c>
    </row>
    <row r="1090" spans="1:19" ht="20.100000000000001" customHeight="1">
      <c r="A1090" t="s">
        <v>6</v>
      </c>
      <c r="B1090">
        <v>6</v>
      </c>
      <c r="C1090" s="5">
        <f>'Raw Data'!R6</f>
        <v>2</v>
      </c>
      <c r="D1090" s="5">
        <f>'Raw Data'!S6</f>
        <v>5.49</v>
      </c>
      <c r="E1090" s="5">
        <f>$D$1088-D1090</f>
        <v>1.2400000000000002</v>
      </c>
      <c r="F1090" s="8">
        <f>10^(-D1090)</f>
        <v>3.2359365692962801E-6</v>
      </c>
      <c r="G1090" s="5">
        <f>(D1090-D1089)/(C1090-C1089)</f>
        <v>-0.71999999999999975</v>
      </c>
      <c r="H1090" s="5">
        <f>$F$9+$F$10*EXP(-$F$11*C1090)</f>
        <v>0</v>
      </c>
      <c r="I1090" s="5">
        <f>D1090-H1090</f>
        <v>5.49</v>
      </c>
      <c r="J1090" s="5">
        <f t="shared" si="23"/>
        <v>30.140100000000004</v>
      </c>
      <c r="K1090" s="5">
        <f>$F$17+$F$16*C1090</f>
        <v>0</v>
      </c>
      <c r="L1090" s="5">
        <f>(D1090-K1090)^2</f>
        <v>30.140100000000004</v>
      </c>
      <c r="M1090" s="5">
        <f>$F$40+$F$41*EXP(-$F$42*C1090)</f>
        <v>0</v>
      </c>
      <c r="N1090" s="5">
        <f>(D1090-M1090)^2</f>
        <v>30.140100000000004</v>
      </c>
      <c r="O1090" s="5">
        <f>(C1090+C1089)/2</f>
        <v>1.5</v>
      </c>
      <c r="P1090" s="5">
        <f>IF(AND(D1089&gt;6,D1090&lt;=6),C1089+(6-D1089)*(C1090-C1089)/(D1090-D1089),"")</f>
        <v>1.2916666666666667</v>
      </c>
      <c r="Q1090" s="5" t="str">
        <f>IF(AND(D1089&gt;5,D1090&lt;=5),C1089+(5-D1089)*(C1090-C1089)/(D1090-D1089),"")</f>
        <v/>
      </c>
      <c r="R1090" s="5" t="str">
        <f>IF(AND(D1089&gt;4,D1090&lt;=4),C1089+(4-D1089)*(C1090-C1089)/(D1090-D1089),"")</f>
        <v/>
      </c>
      <c r="S1090" s="5" t="str">
        <f>IF(AND(D1089&gt;3,D1090&lt;=3),C1089+(3-D1089)*(C1090-C1089)/(D1090-D1089),"")</f>
        <v/>
      </c>
    </row>
    <row r="1091" spans="1:19" ht="20.100000000000001" customHeight="1">
      <c r="A1091" t="s">
        <v>6</v>
      </c>
      <c r="B1091">
        <v>7</v>
      </c>
      <c r="C1091" s="5">
        <f>'Raw Data'!R7</f>
        <v>3</v>
      </c>
      <c r="D1091" s="5">
        <f>'Raw Data'!S7</f>
        <v>4.28</v>
      </c>
      <c r="E1091" s="5">
        <f>$D$1088-D1091</f>
        <v>2.4500000000000002</v>
      </c>
      <c r="F1091" s="8">
        <f>10^(-D1091)</f>
        <v>5.2480746024977172E-5</v>
      </c>
      <c r="G1091" s="5">
        <f>(D1091-D1090)/(C1091-C1090)</f>
        <v>-1.21</v>
      </c>
      <c r="H1091" s="5">
        <f>$F$9+$F$10*EXP(-$F$11*C1091)</f>
        <v>0</v>
      </c>
      <c r="I1091" s="5">
        <f>D1091-H1091</f>
        <v>4.28</v>
      </c>
      <c r="J1091" s="5">
        <f t="shared" si="23"/>
        <v>18.3184</v>
      </c>
      <c r="K1091" s="5">
        <f>$F$17+$F$16*C1091</f>
        <v>0</v>
      </c>
      <c r="L1091" s="5">
        <f>(D1091-K1091)^2</f>
        <v>18.3184</v>
      </c>
      <c r="M1091" s="5">
        <f>$F$40+$F$41*EXP(-$F$42*C1091)</f>
        <v>0</v>
      </c>
      <c r="N1091" s="5">
        <f>(D1091-M1091)^2</f>
        <v>18.3184</v>
      </c>
      <c r="O1091" s="5">
        <f>(C1091+C1090)/2</f>
        <v>2.5</v>
      </c>
      <c r="P1091" s="5" t="str">
        <f>IF(AND(D1090&gt;6,D1091&lt;=6),C1090+(6-D1090)*(C1091-C1090)/(D1091-D1090),"")</f>
        <v/>
      </c>
      <c r="Q1091" s="5">
        <f>IF(AND(D1090&gt;5,D1091&lt;=5),C1090+(5-D1090)*(C1091-C1090)/(D1091-D1090),"")</f>
        <v>2.4049586776859506</v>
      </c>
      <c r="R1091" s="5" t="str">
        <f>IF(AND(D1090&gt;4,D1091&lt;=4),C1090+(4-D1090)*(C1091-C1090)/(D1091-D1090),"")</f>
        <v/>
      </c>
      <c r="S1091" s="5" t="str">
        <f>IF(AND(D1090&gt;3,D1091&lt;=3),C1090+(3-D1090)*(C1091-C1090)/(D1091-D1090),"")</f>
        <v/>
      </c>
    </row>
    <row r="1092" spans="1:19" ht="20.100000000000001" customHeight="1">
      <c r="A1092" t="s">
        <v>6</v>
      </c>
      <c r="B1092">
        <v>8</v>
      </c>
      <c r="C1092" s="5">
        <f>'Raw Data'!R8</f>
        <v>4</v>
      </c>
      <c r="D1092" s="5">
        <f>'Raw Data'!S8</f>
        <v>3.89</v>
      </c>
      <c r="E1092" s="5">
        <f>$D$1088-D1092</f>
        <v>2.8400000000000003</v>
      </c>
      <c r="F1092" s="8">
        <f>10^(-D1092)</f>
        <v>1.2882495516931315E-4</v>
      </c>
      <c r="G1092" s="5">
        <f>(D1092-D1091)/(C1092-C1091)</f>
        <v>-0.39000000000000012</v>
      </c>
      <c r="H1092" s="5">
        <f>$F$9+$F$10*EXP(-$F$11*C1092)</f>
        <v>0</v>
      </c>
      <c r="I1092" s="5">
        <f>D1092-H1092</f>
        <v>3.89</v>
      </c>
      <c r="J1092" s="5">
        <f t="shared" si="23"/>
        <v>15.132100000000001</v>
      </c>
      <c r="K1092" s="5">
        <f>$F$17+$F$16*C1092</f>
        <v>0</v>
      </c>
      <c r="L1092" s="5">
        <f>(D1092-K1092)^2</f>
        <v>15.132100000000001</v>
      </c>
      <c r="M1092" s="5">
        <f>$F$40+$F$41*EXP(-$F$42*C1092)</f>
        <v>0</v>
      </c>
      <c r="N1092" s="5">
        <f>(D1092-M1092)^2</f>
        <v>15.132100000000001</v>
      </c>
      <c r="O1092" s="5">
        <f>(C1092+C1091)/2</f>
        <v>3.5</v>
      </c>
      <c r="P1092" s="5" t="str">
        <f>IF(AND(D1091&gt;6,D1092&lt;=6),C1091+(6-D1091)*(C1092-C1091)/(D1092-D1091),"")</f>
        <v/>
      </c>
      <c r="Q1092" s="5" t="str">
        <f>IF(AND(D1091&gt;5,D1092&lt;=5),C1091+(5-D1091)*(C1092-C1091)/(D1092-D1091),"")</f>
        <v/>
      </c>
      <c r="R1092" s="5">
        <f>IF(AND(D1091&gt;4,D1092&lt;=4),C1091+(4-D1091)*(C1092-C1091)/(D1092-D1091),"")</f>
        <v>3.7179487179487185</v>
      </c>
      <c r="S1092" s="5" t="str">
        <f>IF(AND(D1091&gt;3,D1092&lt;=3),C1091+(3-D1091)*(C1092-C1091)/(D1092-D1091),"")</f>
        <v/>
      </c>
    </row>
    <row r="1093" spans="1:19" ht="20.100000000000001" customHeight="1">
      <c r="A1093" t="s">
        <v>6</v>
      </c>
      <c r="B1093">
        <v>9</v>
      </c>
      <c r="C1093" s="5">
        <f>'Raw Data'!R9</f>
        <v>5</v>
      </c>
      <c r="D1093" s="5">
        <f>'Raw Data'!S9</f>
        <v>3.73</v>
      </c>
      <c r="E1093" s="5">
        <f>$D$1088-D1093</f>
        <v>3.0000000000000004</v>
      </c>
      <c r="F1093" s="8">
        <f>10^(-D1093)</f>
        <v>1.8620871366628676E-4</v>
      </c>
      <c r="G1093" s="5">
        <f>(D1093-D1092)/(C1093-C1092)</f>
        <v>-0.16000000000000014</v>
      </c>
      <c r="H1093" s="5">
        <f>$F$9+$F$10*EXP(-$F$11*C1093)</f>
        <v>0</v>
      </c>
      <c r="I1093" s="5">
        <f>D1093-H1093</f>
        <v>3.73</v>
      </c>
      <c r="J1093" s="5">
        <f t="shared" si="23"/>
        <v>13.9129</v>
      </c>
      <c r="K1093" s="5">
        <f>$F$17+$F$16*C1093</f>
        <v>0</v>
      </c>
      <c r="L1093" s="5">
        <f>(D1093-K1093)^2</f>
        <v>13.9129</v>
      </c>
      <c r="M1093" s="5">
        <f>$F$40+$F$41*EXP(-$F$42*C1093)</f>
        <v>0</v>
      </c>
      <c r="N1093" s="5">
        <f>(D1093-M1093)^2</f>
        <v>13.9129</v>
      </c>
      <c r="O1093" s="5">
        <f>(C1093+C1092)/2</f>
        <v>4.5</v>
      </c>
      <c r="P1093" s="5" t="str">
        <f>IF(AND(D1092&gt;6,D1093&lt;=6),C1092+(6-D1092)*(C1093-C1092)/(D1093-D1092),"")</f>
        <v/>
      </c>
      <c r="Q1093" s="5" t="str">
        <f>IF(AND(D1092&gt;5,D1093&lt;=5),C1092+(5-D1092)*(C1093-C1092)/(D1093-D1092),"")</f>
        <v/>
      </c>
      <c r="R1093" s="5" t="str">
        <f>IF(AND(D1092&gt;4,D1093&lt;=4),C1092+(4-D1092)*(C1093-C1092)/(D1093-D1092),"")</f>
        <v/>
      </c>
      <c r="S1093" s="5" t="str">
        <f>IF(AND(D1092&gt;3,D1093&lt;=3),C1092+(3-D1092)*(C1093-C1092)/(D1093-D1092),"")</f>
        <v/>
      </c>
    </row>
    <row r="1094" spans="1:19" ht="20.100000000000001" customHeight="1">
      <c r="A1094" t="s">
        <v>6</v>
      </c>
      <c r="B1094">
        <v>10</v>
      </c>
      <c r="C1094" s="5">
        <f>'Raw Data'!R10</f>
        <v>6</v>
      </c>
      <c r="D1094" s="5">
        <f>'Raw Data'!S10</f>
        <v>3.61</v>
      </c>
      <c r="E1094" s="5">
        <f>$D$1088-D1094</f>
        <v>3.1200000000000006</v>
      </c>
      <c r="F1094" s="8">
        <f>10^(-D1094)</f>
        <v>2.4547089156850275E-4</v>
      </c>
      <c r="G1094" s="5">
        <f>(D1094-D1093)/(C1094-C1093)</f>
        <v>-0.12000000000000011</v>
      </c>
      <c r="H1094" s="5">
        <f>$F$9+$F$10*EXP(-$F$11*C1094)</f>
        <v>0</v>
      </c>
      <c r="I1094" s="5">
        <f>D1094-H1094</f>
        <v>3.61</v>
      </c>
      <c r="J1094" s="5">
        <f t="shared" si="23"/>
        <v>13.0321</v>
      </c>
      <c r="K1094" s="5">
        <f>$F$17+$F$16*C1094</f>
        <v>0</v>
      </c>
      <c r="L1094" s="5">
        <f>(D1094-K1094)^2</f>
        <v>13.0321</v>
      </c>
      <c r="M1094" s="5">
        <f>$F$40+$F$41*EXP(-$F$42*C1094)</f>
        <v>0</v>
      </c>
      <c r="N1094" s="5">
        <f>(D1094-M1094)^2</f>
        <v>13.0321</v>
      </c>
      <c r="O1094" s="5">
        <f>(C1094+C1093)/2</f>
        <v>5.5</v>
      </c>
      <c r="P1094" s="5" t="str">
        <f>IF(AND(D1093&gt;6,D1094&lt;=6),C1093+(6-D1093)*(C1094-C1093)/(D1094-D1093),"")</f>
        <v/>
      </c>
      <c r="Q1094" s="5" t="str">
        <f>IF(AND(D1093&gt;5,D1094&lt;=5),C1093+(5-D1093)*(C1094-C1093)/(D1094-D1093),"")</f>
        <v/>
      </c>
      <c r="R1094" s="5" t="str">
        <f>IF(AND(D1093&gt;4,D1094&lt;=4),C1093+(4-D1093)*(C1094-C1093)/(D1094-D1093),"")</f>
        <v/>
      </c>
      <c r="S1094" s="5" t="str">
        <f>IF(AND(D1093&gt;3,D1094&lt;=3),C1093+(3-D1093)*(C1094-C1093)/(D1094-D1093),"")</f>
        <v/>
      </c>
    </row>
    <row r="1095" spans="1:19" ht="20.100000000000001" customHeight="1">
      <c r="A1095" t="s">
        <v>6</v>
      </c>
      <c r="B1095">
        <v>11</v>
      </c>
      <c r="C1095" s="5">
        <f>'Raw Data'!R11</f>
        <v>7</v>
      </c>
      <c r="D1095" s="5">
        <f>'Raw Data'!S11</f>
        <v>3.52</v>
      </c>
      <c r="E1095" s="5">
        <f>$D$1088-D1095</f>
        <v>3.2100000000000004</v>
      </c>
      <c r="F1095" s="8">
        <f>10^(-D1095)</f>
        <v>3.0199517204020158E-4</v>
      </c>
      <c r="G1095" s="5">
        <f>(D1095-D1094)/(C1095-C1094)</f>
        <v>-8.9999999999999858E-2</v>
      </c>
      <c r="H1095" s="5">
        <f>$F$9+$F$10*EXP(-$F$11*C1095)</f>
        <v>0</v>
      </c>
      <c r="I1095" s="5">
        <f>D1095-H1095</f>
        <v>3.52</v>
      </c>
      <c r="J1095" s="5">
        <f t="shared" si="23"/>
        <v>12.3904</v>
      </c>
      <c r="K1095" s="5">
        <f>$F$17+$F$16*C1095</f>
        <v>0</v>
      </c>
      <c r="L1095" s="5">
        <f>(D1095-K1095)^2</f>
        <v>12.3904</v>
      </c>
      <c r="M1095" s="5">
        <f>$F$40+$F$41*EXP(-$F$42*C1095)</f>
        <v>0</v>
      </c>
      <c r="N1095" s="5">
        <f>(D1095-M1095)^2</f>
        <v>12.3904</v>
      </c>
      <c r="O1095" s="5">
        <f>(C1095+C1094)/2</f>
        <v>6.5</v>
      </c>
      <c r="P1095" s="5" t="str">
        <f>IF(AND(D1094&gt;6,D1095&lt;=6),C1094+(6-D1094)*(C1095-C1094)/(D1095-D1094),"")</f>
        <v/>
      </c>
      <c r="Q1095" s="5" t="str">
        <f>IF(AND(D1094&gt;5,D1095&lt;=5),C1094+(5-D1094)*(C1095-C1094)/(D1095-D1094),"")</f>
        <v/>
      </c>
      <c r="R1095" s="5" t="str">
        <f>IF(AND(D1094&gt;4,D1095&lt;=4),C1094+(4-D1094)*(C1095-C1094)/(D1095-D1094),"")</f>
        <v/>
      </c>
      <c r="S1095" s="5" t="str">
        <f>IF(AND(D1094&gt;3,D1095&lt;=3),C1094+(3-D1094)*(C1095-C1094)/(D1095-D1094),"")</f>
        <v/>
      </c>
    </row>
    <row r="1096" spans="1:19" ht="20.100000000000001" customHeight="1">
      <c r="A1096" t="s">
        <v>6</v>
      </c>
      <c r="B1096">
        <v>12</v>
      </c>
      <c r="C1096" s="5">
        <f>'Raw Data'!R12</f>
        <v>8</v>
      </c>
      <c r="D1096" s="5">
        <f>'Raw Data'!S12</f>
        <v>3.48</v>
      </c>
      <c r="E1096" s="5">
        <f>$D$1088-D1096</f>
        <v>3.2500000000000004</v>
      </c>
      <c r="F1096" s="8">
        <f>10^(-D1096)</f>
        <v>3.3113112148259094E-4</v>
      </c>
      <c r="G1096" s="5">
        <f>(D1096-D1095)/(C1096-C1095)</f>
        <v>-4.0000000000000036E-2</v>
      </c>
      <c r="H1096" s="5">
        <f>$F$9+$F$10*EXP(-$F$11*C1096)</f>
        <v>0</v>
      </c>
      <c r="I1096" s="5">
        <f>D1096-H1096</f>
        <v>3.48</v>
      </c>
      <c r="J1096" s="5">
        <f t="shared" si="23"/>
        <v>12.1104</v>
      </c>
      <c r="K1096" s="5">
        <f>$F$17+$F$16*C1096</f>
        <v>0</v>
      </c>
      <c r="L1096" s="5">
        <f>(D1096-K1096)^2</f>
        <v>12.1104</v>
      </c>
      <c r="M1096" s="5">
        <f>$F$40+$F$41*EXP(-$F$42*C1096)</f>
        <v>0</v>
      </c>
      <c r="N1096" s="5">
        <f>(D1096-M1096)^2</f>
        <v>12.1104</v>
      </c>
      <c r="O1096" s="5">
        <f>(C1096+C1095)/2</f>
        <v>7.5</v>
      </c>
      <c r="P1096" s="5" t="str">
        <f>IF(AND(D1095&gt;6,D1096&lt;=6),C1095+(6-D1095)*(C1096-C1095)/(D1096-D1095),"")</f>
        <v/>
      </c>
      <c r="Q1096" s="5" t="str">
        <f>IF(AND(D1095&gt;5,D1096&lt;=5),C1095+(5-D1095)*(C1096-C1095)/(D1096-D1095),"")</f>
        <v/>
      </c>
      <c r="R1096" s="5" t="str">
        <f>IF(AND(D1095&gt;4,D1096&lt;=4),C1095+(4-D1095)*(C1096-C1095)/(D1096-D1095),"")</f>
        <v/>
      </c>
      <c r="S1096" s="5" t="str">
        <f>IF(AND(D1095&gt;3,D1096&lt;=3),C1095+(3-D1095)*(C1096-C1095)/(D1096-D1095),"")</f>
        <v/>
      </c>
    </row>
    <row r="1097" spans="1:19" ht="20.100000000000001" customHeight="1">
      <c r="A1097" t="s">
        <v>6</v>
      </c>
      <c r="B1097">
        <v>13</v>
      </c>
      <c r="C1097" s="5">
        <f>'Raw Data'!R13</f>
        <v>9</v>
      </c>
      <c r="D1097" s="5">
        <f>'Raw Data'!S13</f>
        <v>3.36</v>
      </c>
      <c r="E1097" s="5">
        <f>$D$1088-D1097</f>
        <v>3.3700000000000006</v>
      </c>
      <c r="F1097" s="8">
        <f>10^(-D1097)</f>
        <v>4.3651583224016562E-4</v>
      </c>
      <c r="G1097" s="5">
        <f>(D1097-D1096)/(C1097-C1096)</f>
        <v>-0.12000000000000011</v>
      </c>
      <c r="H1097" s="5">
        <f>$F$9+$F$10*EXP(-$F$11*C1097)</f>
        <v>0</v>
      </c>
      <c r="I1097" s="5">
        <f>D1097-H1097</f>
        <v>3.36</v>
      </c>
      <c r="J1097" s="5">
        <f t="shared" si="23"/>
        <v>11.289599999999998</v>
      </c>
      <c r="K1097" s="5">
        <f>$F$17+$F$16*C1097</f>
        <v>0</v>
      </c>
      <c r="L1097" s="5">
        <f>(D1097-K1097)^2</f>
        <v>11.289599999999998</v>
      </c>
      <c r="M1097" s="5">
        <f>$F$40+$F$41*EXP(-$F$42*C1097)</f>
        <v>0</v>
      </c>
      <c r="N1097" s="5">
        <f>(D1097-M1097)^2</f>
        <v>11.289599999999998</v>
      </c>
      <c r="O1097" s="5">
        <f>(C1097+C1096)/2</f>
        <v>8.5</v>
      </c>
      <c r="P1097" s="5" t="str">
        <f>IF(AND(D1096&gt;6,D1097&lt;=6),C1096+(6-D1096)*(C1097-C1096)/(D1097-D1096),"")</f>
        <v/>
      </c>
      <c r="Q1097" s="5" t="str">
        <f>IF(AND(D1096&gt;5,D1097&lt;=5),C1096+(5-D1096)*(C1097-C1096)/(D1097-D1096),"")</f>
        <v/>
      </c>
      <c r="R1097" s="5" t="str">
        <f>IF(AND(D1096&gt;4,D1097&lt;=4),C1096+(4-D1096)*(C1097-C1096)/(D1097-D1096),"")</f>
        <v/>
      </c>
      <c r="S1097" s="5" t="str">
        <f>IF(AND(D1096&gt;3,D1097&lt;=3),C1096+(3-D1096)*(C1097-C1096)/(D1097-D1096),"")</f>
        <v/>
      </c>
    </row>
    <row r="1098" spans="1:19" ht="20.100000000000001" customHeight="1">
      <c r="A1098" t="s">
        <v>6</v>
      </c>
      <c r="B1098">
        <v>14</v>
      </c>
      <c r="C1098" s="5">
        <f>'Raw Data'!R14</f>
        <v>10</v>
      </c>
      <c r="D1098" s="5">
        <f>'Raw Data'!S14</f>
        <v>3.31</v>
      </c>
      <c r="E1098" s="5">
        <f>$D$1088-D1098</f>
        <v>3.4200000000000004</v>
      </c>
      <c r="F1098" s="8">
        <f>10^(-D1098)</f>
        <v>4.8977881936844566E-4</v>
      </c>
      <c r="G1098" s="5">
        <f>(D1098-D1097)/(C1098-C1097)</f>
        <v>-4.9999999999999822E-2</v>
      </c>
      <c r="H1098" s="5">
        <f>$F$9+$F$10*EXP(-$F$11*C1098)</f>
        <v>0</v>
      </c>
      <c r="I1098" s="5">
        <f>D1098-H1098</f>
        <v>3.31</v>
      </c>
      <c r="J1098" s="5">
        <f t="shared" si="23"/>
        <v>10.956100000000001</v>
      </c>
      <c r="K1098" s="5">
        <f>$F$17+$F$16*C1098</f>
        <v>0</v>
      </c>
      <c r="L1098" s="5">
        <f>(D1098-K1098)^2</f>
        <v>10.956100000000001</v>
      </c>
      <c r="M1098" s="5">
        <f>$F$40+$F$41*EXP(-$F$42*C1098)</f>
        <v>0</v>
      </c>
      <c r="N1098" s="5">
        <f>(D1098-M1098)^2</f>
        <v>10.956100000000001</v>
      </c>
      <c r="O1098" s="5">
        <f>(C1098+C1097)/2</f>
        <v>9.5</v>
      </c>
      <c r="P1098" s="5" t="str">
        <f>IF(AND(D1097&gt;6,D1098&lt;=6),C1097+(6-D1097)*(C1098-C1097)/(D1098-D1097),"")</f>
        <v/>
      </c>
      <c r="Q1098" s="5" t="str">
        <f>IF(AND(D1097&gt;5,D1098&lt;=5),C1097+(5-D1097)*(C1098-C1097)/(D1098-D1097),"")</f>
        <v/>
      </c>
      <c r="R1098" s="5" t="str">
        <f>IF(AND(D1097&gt;4,D1098&lt;=4),C1097+(4-D1097)*(C1098-C1097)/(D1098-D1097),"")</f>
        <v/>
      </c>
      <c r="S1098" s="5" t="str">
        <f>IF(AND(D1097&gt;3,D1098&lt;=3),C1097+(3-D1097)*(C1098-C1097)/(D1098-D1097),"")</f>
        <v/>
      </c>
    </row>
    <row r="1099" spans="1:19" ht="20.100000000000001" customHeight="1">
      <c r="A1099" t="s">
        <v>6</v>
      </c>
      <c r="B1099">
        <v>15</v>
      </c>
      <c r="C1099" s="5">
        <f>'Raw Data'!R15</f>
        <v>11</v>
      </c>
      <c r="D1099" s="5">
        <f>'Raw Data'!S15</f>
        <v>3.28</v>
      </c>
      <c r="E1099" s="5">
        <f>$D$1088-D1099</f>
        <v>3.4500000000000006</v>
      </c>
      <c r="F1099" s="8">
        <f>10^(-D1099)</f>
        <v>5.2480746024977229E-4</v>
      </c>
      <c r="G1099" s="5">
        <f>(D1099-D1098)/(C1099-C1098)</f>
        <v>-3.0000000000000249E-2</v>
      </c>
      <c r="H1099" s="5">
        <f>$F$9+$F$10*EXP(-$F$11*C1099)</f>
        <v>0</v>
      </c>
      <c r="I1099" s="5">
        <f>D1099-H1099</f>
        <v>3.28</v>
      </c>
      <c r="J1099" s="5">
        <f t="shared" si="23"/>
        <v>10.758399999999998</v>
      </c>
      <c r="K1099" s="5">
        <f>$F$17+$F$16*C1099</f>
        <v>0</v>
      </c>
      <c r="L1099" s="5">
        <f>(D1099-K1099)^2</f>
        <v>10.758399999999998</v>
      </c>
      <c r="M1099" s="5">
        <f>$F$40+$F$41*EXP(-$F$42*C1099)</f>
        <v>0</v>
      </c>
      <c r="N1099" s="5">
        <f>(D1099-M1099)^2</f>
        <v>10.758399999999998</v>
      </c>
      <c r="O1099" s="5">
        <f>(C1099+C1098)/2</f>
        <v>10.5</v>
      </c>
      <c r="P1099" s="5" t="str">
        <f>IF(AND(D1098&gt;6,D1099&lt;=6),C1098+(6-D1098)*(C1099-C1098)/(D1099-D1098),"")</f>
        <v/>
      </c>
      <c r="Q1099" s="5" t="str">
        <f>IF(AND(D1098&gt;5,D1099&lt;=5),C1098+(5-D1098)*(C1099-C1098)/(D1099-D1098),"")</f>
        <v/>
      </c>
      <c r="R1099" s="5" t="str">
        <f>IF(AND(D1098&gt;4,D1099&lt;=4),C1098+(4-D1098)*(C1099-C1098)/(D1099-D1098),"")</f>
        <v/>
      </c>
      <c r="S1099" s="5" t="str">
        <f>IF(AND(D1098&gt;3,D1099&lt;=3),C1098+(3-D1098)*(C1099-C1098)/(D1099-D1098),"")</f>
        <v/>
      </c>
    </row>
    <row r="1100" spans="1:19" ht="20.100000000000001" customHeight="1">
      <c r="A1100" t="s">
        <v>6</v>
      </c>
      <c r="B1100">
        <v>16</v>
      </c>
      <c r="C1100" s="5">
        <f>'Raw Data'!R16</f>
        <v>12</v>
      </c>
      <c r="D1100" s="5">
        <f>'Raw Data'!S16</f>
        <v>3.25</v>
      </c>
      <c r="E1100" s="5">
        <f>$D$1088-D1100</f>
        <v>3.4800000000000004</v>
      </c>
      <c r="F1100" s="8">
        <f>10^(-D1100)</f>
        <v>5.6234132519034856E-4</v>
      </c>
      <c r="G1100" s="5">
        <f>(D1100-D1099)/(C1100-C1099)</f>
        <v>-2.9999999999999805E-2</v>
      </c>
      <c r="H1100" s="5">
        <f>$F$9+$F$10*EXP(-$F$11*C1100)</f>
        <v>0</v>
      </c>
      <c r="I1100" s="5">
        <f>D1100-H1100</f>
        <v>3.25</v>
      </c>
      <c r="J1100" s="5">
        <f t="shared" si="23"/>
        <v>10.5625</v>
      </c>
      <c r="K1100" s="5">
        <f>$F$17+$F$16*C1100</f>
        <v>0</v>
      </c>
      <c r="L1100" s="5">
        <f>(D1100-K1100)^2</f>
        <v>10.5625</v>
      </c>
      <c r="M1100" s="5">
        <f>$F$40+$F$41*EXP(-$F$42*C1100)</f>
        <v>0</v>
      </c>
      <c r="N1100" s="5">
        <f>(D1100-M1100)^2</f>
        <v>10.5625</v>
      </c>
      <c r="O1100" s="5">
        <f>(C1100+C1099)/2</f>
        <v>11.5</v>
      </c>
      <c r="P1100" s="5" t="str">
        <f>IF(AND(D1099&gt;6,D1100&lt;=6),C1099+(6-D1099)*(C1100-C1099)/(D1100-D1099),"")</f>
        <v/>
      </c>
      <c r="Q1100" s="5" t="str">
        <f>IF(AND(D1099&gt;5,D1100&lt;=5),C1099+(5-D1099)*(C1100-C1099)/(D1100-D1099),"")</f>
        <v/>
      </c>
      <c r="R1100" s="5" t="str">
        <f>IF(AND(D1099&gt;4,D1100&lt;=4),C1099+(4-D1099)*(C1100-C1099)/(D1100-D1099),"")</f>
        <v/>
      </c>
      <c r="S1100" s="5" t="str">
        <f>IF(AND(D1099&gt;3,D1100&lt;=3),C1099+(3-D1099)*(C1100-C1099)/(D1100-D1099),"")</f>
        <v/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29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4" customWidth="1"/>
    <col min="2" max="2" width="35" customWidth="1"/>
    <col min="3" max="13" width="19" customWidth="1"/>
    <col min="15" max="15" width="31" customWidth="1"/>
    <col min="16" max="16" width="52" customWidth="1"/>
    <col min="17" max="19" width="19" customWidth="1"/>
  </cols>
  <sheetData>
    <row r="1" spans="1:19" ht="42" customHeight="1">
      <c r="A1" s="3" t="s">
        <v>35</v>
      </c>
      <c r="B1" s="3" t="s">
        <v>62</v>
      </c>
      <c r="C1" s="3" t="s">
        <v>63</v>
      </c>
      <c r="D1" s="3" t="s">
        <v>64</v>
      </c>
      <c r="E1" s="3" t="s">
        <v>65</v>
      </c>
      <c r="F1" s="3" t="s">
        <v>66</v>
      </c>
      <c r="G1" s="3" t="s">
        <v>67</v>
      </c>
      <c r="H1" s="3" t="s">
        <v>68</v>
      </c>
      <c r="I1" s="3" t="s">
        <v>69</v>
      </c>
      <c r="J1" s="3" t="s">
        <v>70</v>
      </c>
      <c r="K1" s="3" t="s">
        <v>71</v>
      </c>
      <c r="L1" s="3" t="s">
        <v>72</v>
      </c>
      <c r="M1" s="3" t="s">
        <v>73</v>
      </c>
      <c r="O1" t="s">
        <v>74</v>
      </c>
    </row>
    <row r="2" spans="1:19" ht="15">
      <c r="A2" t="s">
        <v>2</v>
      </c>
      <c r="B2" s="4">
        <v>46311.61220797454</v>
      </c>
      <c r="C2" s="5">
        <v>0.28099999999540159</v>
      </c>
      <c r="D2" s="5">
        <v>4.6833333332566944E-3</v>
      </c>
      <c r="E2" s="5">
        <v>1</v>
      </c>
      <c r="F2" s="5">
        <v>704538</v>
      </c>
      <c r="G2" s="5">
        <v>313</v>
      </c>
      <c r="H2" s="5">
        <v>0.56599999999999995</v>
      </c>
      <c r="I2" s="5">
        <v>1.529814</v>
      </c>
      <c r="J2" s="5">
        <v>7.4064500000000004</v>
      </c>
      <c r="K2" s="5">
        <v>0</v>
      </c>
      <c r="L2" s="5">
        <v>0</v>
      </c>
      <c r="M2" s="5"/>
      <c r="O2" s="2" t="s">
        <v>5</v>
      </c>
      <c r="P2" s="2"/>
      <c r="Q2" s="2"/>
      <c r="R2" s="2" t="s">
        <v>6</v>
      </c>
      <c r="S2" s="2"/>
    </row>
    <row r="3" spans="1:19">
      <c r="A3" t="s">
        <v>2</v>
      </c>
      <c r="B3" s="4">
        <v>46311.612265752316</v>
      </c>
      <c r="C3" s="5">
        <v>5.2809999999954016</v>
      </c>
      <c r="D3" s="5">
        <v>8.8016666666590027E-2</v>
      </c>
      <c r="E3" s="5">
        <v>2</v>
      </c>
      <c r="F3" s="5">
        <v>709537</v>
      </c>
      <c r="G3" s="5">
        <v>312.36</v>
      </c>
      <c r="H3" s="5">
        <v>0.49209999999999998</v>
      </c>
      <c r="I3" s="5">
        <v>1.526686</v>
      </c>
      <c r="J3" s="5">
        <v>7.4249099999999997</v>
      </c>
      <c r="K3" s="5">
        <v>1.8459999999999251E-2</v>
      </c>
      <c r="L3" s="5">
        <v>1.8459999999999251E-2</v>
      </c>
      <c r="M3" s="5">
        <v>0.22151999999999111</v>
      </c>
      <c r="O3" t="s">
        <v>38</v>
      </c>
      <c r="P3" t="s">
        <v>75</v>
      </c>
      <c r="R3" t="s">
        <v>38</v>
      </c>
      <c r="S3" t="s">
        <v>75</v>
      </c>
    </row>
    <row r="4" spans="1:19">
      <c r="A4" t="s">
        <v>2</v>
      </c>
      <c r="B4" s="4">
        <v>46311.612323530091</v>
      </c>
      <c r="C4" s="5">
        <v>10.26499999999942</v>
      </c>
      <c r="D4" s="5">
        <v>0.1710833333333236</v>
      </c>
      <c r="E4" s="5">
        <v>3</v>
      </c>
      <c r="F4" s="5">
        <v>714536</v>
      </c>
      <c r="G4" s="5">
        <v>312.92</v>
      </c>
      <c r="H4" s="5">
        <v>0.55200000000000005</v>
      </c>
      <c r="I4" s="5">
        <v>1.529423</v>
      </c>
      <c r="J4" s="5">
        <v>7.40876</v>
      </c>
      <c r="K4" s="5">
        <v>2.3099999999995902E-3</v>
      </c>
      <c r="L4" s="5">
        <v>-1.6149999999999661E-2</v>
      </c>
      <c r="M4" s="5">
        <v>-0.19442215088266429</v>
      </c>
      <c r="O4">
        <v>0</v>
      </c>
      <c r="P4">
        <v>3.9</v>
      </c>
      <c r="R4">
        <v>0</v>
      </c>
      <c r="S4">
        <v>6.73</v>
      </c>
    </row>
    <row r="5" spans="1:19">
      <c r="A5" t="s">
        <v>2</v>
      </c>
      <c r="B5" s="4">
        <v>46311.612381493054</v>
      </c>
      <c r="C5" s="5">
        <v>15.2809999999954</v>
      </c>
      <c r="D5" s="5">
        <v>0.25468333333325671</v>
      </c>
      <c r="E5" s="5">
        <v>4</v>
      </c>
      <c r="F5" s="5">
        <v>719537</v>
      </c>
      <c r="G5" s="5">
        <v>313.36</v>
      </c>
      <c r="H5" s="5">
        <v>0.49209999999999998</v>
      </c>
      <c r="I5" s="5">
        <v>1.531574</v>
      </c>
      <c r="J5" s="5">
        <v>7.3960699999999999</v>
      </c>
      <c r="K5" s="5">
        <v>-1.03800000000005E-2</v>
      </c>
      <c r="L5" s="5">
        <v>-1.269000000000009E-2</v>
      </c>
      <c r="M5" s="5">
        <v>-0.15179425837332841</v>
      </c>
      <c r="O5">
        <v>1</v>
      </c>
      <c r="P5">
        <v>3.63</v>
      </c>
      <c r="R5">
        <v>1</v>
      </c>
      <c r="S5">
        <v>6.21</v>
      </c>
    </row>
    <row r="6" spans="1:19">
      <c r="A6" t="s">
        <v>2</v>
      </c>
      <c r="B6" s="4">
        <v>46311.61243927083</v>
      </c>
      <c r="C6" s="5">
        <v>20.264999999999421</v>
      </c>
      <c r="D6" s="5">
        <v>0.33774999999999028</v>
      </c>
      <c r="E6" s="5">
        <v>5</v>
      </c>
      <c r="F6" s="5">
        <v>724537</v>
      </c>
      <c r="G6" s="5">
        <v>314.04000000000002</v>
      </c>
      <c r="H6" s="5">
        <v>0.17680000000000001</v>
      </c>
      <c r="I6" s="5">
        <v>1.534897</v>
      </c>
      <c r="J6" s="5">
        <v>7.3764599999999998</v>
      </c>
      <c r="K6" s="5">
        <v>-2.9990000000000631E-2</v>
      </c>
      <c r="L6" s="5">
        <v>-1.9610000000000131E-2</v>
      </c>
      <c r="M6" s="5">
        <v>-0.2360754414123313</v>
      </c>
      <c r="O6">
        <v>2</v>
      </c>
      <c r="P6">
        <v>3.54</v>
      </c>
      <c r="R6">
        <v>2</v>
      </c>
      <c r="S6">
        <v>5.49</v>
      </c>
    </row>
    <row r="7" spans="1:19">
      <c r="A7" t="s">
        <v>2</v>
      </c>
      <c r="B7" s="4">
        <v>46311.612497037037</v>
      </c>
      <c r="C7" s="5">
        <v>25.264999999999421</v>
      </c>
      <c r="D7" s="5">
        <v>0.42108333333332371</v>
      </c>
      <c r="E7" s="5">
        <v>6</v>
      </c>
      <c r="F7" s="5">
        <v>729537</v>
      </c>
      <c r="G7" s="5">
        <v>315.27999999999997</v>
      </c>
      <c r="H7" s="5">
        <v>0.45069999999999999</v>
      </c>
      <c r="I7" s="5">
        <v>1.540958</v>
      </c>
      <c r="J7" s="5">
        <v>7.3406900000000004</v>
      </c>
      <c r="K7" s="5">
        <v>-6.5760000000000041E-2</v>
      </c>
      <c r="L7" s="5">
        <v>-3.5769999999999413E-2</v>
      </c>
      <c r="M7" s="5">
        <v>-0.42923999999999302</v>
      </c>
      <c r="O7">
        <v>3</v>
      </c>
      <c r="P7">
        <v>3.42</v>
      </c>
      <c r="R7">
        <v>3</v>
      </c>
      <c r="S7">
        <v>4.28</v>
      </c>
    </row>
    <row r="8" spans="1:19">
      <c r="A8" t="s">
        <v>2</v>
      </c>
      <c r="B8" s="4">
        <v>46311.612555</v>
      </c>
      <c r="C8" s="5">
        <v>30.264999999999421</v>
      </c>
      <c r="D8" s="5">
        <v>0.50441666666665697</v>
      </c>
      <c r="E8" s="5">
        <v>7</v>
      </c>
      <c r="F8" s="5">
        <v>734537</v>
      </c>
      <c r="G8" s="5">
        <v>316.12</v>
      </c>
      <c r="H8" s="5">
        <v>0.51539999999999997</v>
      </c>
      <c r="I8" s="5">
        <v>1.5450630000000001</v>
      </c>
      <c r="J8" s="5">
        <v>7.3164699999999998</v>
      </c>
      <c r="K8" s="5">
        <v>-8.9980000000000615E-2</v>
      </c>
      <c r="L8" s="5">
        <v>-2.4220000000000571E-2</v>
      </c>
      <c r="M8" s="5">
        <v>-0.29064000000000689</v>
      </c>
      <c r="O8">
        <v>4</v>
      </c>
      <c r="P8">
        <v>3.36</v>
      </c>
      <c r="R8">
        <v>4</v>
      </c>
      <c r="S8">
        <v>3.89</v>
      </c>
    </row>
    <row r="9" spans="1:19">
      <c r="A9" t="s">
        <v>2</v>
      </c>
      <c r="B9" s="4">
        <v>46311.612612777775</v>
      </c>
      <c r="C9" s="5">
        <v>35.264999999999418</v>
      </c>
      <c r="D9" s="5">
        <v>0.58774999999999034</v>
      </c>
      <c r="E9" s="5">
        <v>8</v>
      </c>
      <c r="F9" s="5">
        <v>739537</v>
      </c>
      <c r="G9" s="5">
        <v>316.92</v>
      </c>
      <c r="H9" s="5">
        <v>0.47599999999999998</v>
      </c>
      <c r="I9" s="5">
        <v>1.5489740000000001</v>
      </c>
      <c r="J9" s="5">
        <v>7.2934000000000001</v>
      </c>
      <c r="K9" s="5">
        <v>-0.1130500000000003</v>
      </c>
      <c r="L9" s="5">
        <v>-2.3069999999999698E-2</v>
      </c>
      <c r="M9" s="5">
        <v>-0.27683999999999642</v>
      </c>
      <c r="O9">
        <v>5</v>
      </c>
      <c r="P9">
        <v>3.32</v>
      </c>
      <c r="R9">
        <v>5</v>
      </c>
      <c r="S9">
        <v>3.73</v>
      </c>
    </row>
    <row r="10" spans="1:19">
      <c r="A10" t="s">
        <v>2</v>
      </c>
      <c r="B10" s="4">
        <v>46311.612670543982</v>
      </c>
      <c r="C10" s="5">
        <v>40.25</v>
      </c>
      <c r="D10" s="5">
        <v>0.67083333333333328</v>
      </c>
      <c r="E10" s="5">
        <v>9</v>
      </c>
      <c r="F10" s="5">
        <v>744537</v>
      </c>
      <c r="G10" s="5">
        <v>318.32</v>
      </c>
      <c r="H10" s="5">
        <v>0.4677</v>
      </c>
      <c r="I10" s="5">
        <v>1.5558160000000001</v>
      </c>
      <c r="J10" s="5">
        <v>7.2530200000000002</v>
      </c>
      <c r="K10" s="5">
        <v>-0.15343000000000021</v>
      </c>
      <c r="L10" s="5">
        <v>-4.037999999999986E-2</v>
      </c>
      <c r="M10" s="5">
        <v>-0.48601805416242899</v>
      </c>
      <c r="O10">
        <v>6</v>
      </c>
      <c r="P10">
        <v>3.27</v>
      </c>
      <c r="R10">
        <v>6</v>
      </c>
      <c r="S10">
        <v>3.61</v>
      </c>
    </row>
    <row r="11" spans="1:19">
      <c r="A11" t="s">
        <v>2</v>
      </c>
      <c r="B11" s="4">
        <v>46311.612728483793</v>
      </c>
      <c r="C11" s="5">
        <v>45.264999999999418</v>
      </c>
      <c r="D11" s="5">
        <v>0.75441666666665697</v>
      </c>
      <c r="E11" s="5">
        <v>10</v>
      </c>
      <c r="F11" s="5">
        <v>749537</v>
      </c>
      <c r="G11" s="5">
        <v>319.64</v>
      </c>
      <c r="H11" s="5">
        <v>0.4677</v>
      </c>
      <c r="I11" s="5">
        <v>1.562268</v>
      </c>
      <c r="J11" s="5">
        <v>7.21495</v>
      </c>
      <c r="K11" s="5">
        <v>-0.19150000000000039</v>
      </c>
      <c r="L11" s="5">
        <v>-3.807000000000027E-2</v>
      </c>
      <c r="M11" s="5">
        <v>-0.4554735792622695</v>
      </c>
      <c r="O11">
        <v>7</v>
      </c>
      <c r="P11">
        <v>3.24</v>
      </c>
      <c r="R11">
        <v>7</v>
      </c>
      <c r="S11">
        <v>3.52</v>
      </c>
    </row>
    <row r="12" spans="1:19">
      <c r="A12" t="s">
        <v>2</v>
      </c>
      <c r="B12" s="4">
        <v>46311.612786284721</v>
      </c>
      <c r="C12" s="5">
        <v>50.25</v>
      </c>
      <c r="D12" s="5">
        <v>0.83750000000000002</v>
      </c>
      <c r="E12" s="5">
        <v>11</v>
      </c>
      <c r="F12" s="5">
        <v>754537</v>
      </c>
      <c r="G12" s="5">
        <v>320.72000000000003</v>
      </c>
      <c r="H12" s="5">
        <v>0.53029999999999999</v>
      </c>
      <c r="I12" s="5">
        <v>1.5675460000000001</v>
      </c>
      <c r="J12" s="5">
        <v>7.1838100000000003</v>
      </c>
      <c r="K12" s="5">
        <v>-0.2226400000000002</v>
      </c>
      <c r="L12" s="5">
        <v>-3.113999999999972E-2</v>
      </c>
      <c r="M12" s="5">
        <v>-0.37480441323967212</v>
      </c>
      <c r="O12">
        <v>8</v>
      </c>
      <c r="P12">
        <v>3.21</v>
      </c>
      <c r="R12">
        <v>8</v>
      </c>
      <c r="S12">
        <v>3.48</v>
      </c>
    </row>
    <row r="13" spans="1:19">
      <c r="A13" t="s">
        <v>2</v>
      </c>
      <c r="B13" s="4">
        <v>46311.612844039351</v>
      </c>
      <c r="C13" s="5">
        <v>55.25</v>
      </c>
      <c r="D13" s="5">
        <v>0.92083333333333328</v>
      </c>
      <c r="E13" s="5">
        <v>12</v>
      </c>
      <c r="F13" s="5">
        <v>759537</v>
      </c>
      <c r="G13" s="5">
        <v>322.27999999999997</v>
      </c>
      <c r="H13" s="5">
        <v>0.45069999999999999</v>
      </c>
      <c r="I13" s="5">
        <v>1.5751710000000001</v>
      </c>
      <c r="J13" s="5">
        <v>7.1388100000000003</v>
      </c>
      <c r="K13" s="5">
        <v>-0.2676400000000001</v>
      </c>
      <c r="L13" s="5">
        <v>-4.4999999999999929E-2</v>
      </c>
      <c r="M13" s="5">
        <v>-0.53999999999999915</v>
      </c>
      <c r="O13">
        <v>9</v>
      </c>
      <c r="P13">
        <v>3.19</v>
      </c>
      <c r="R13">
        <v>9</v>
      </c>
      <c r="S13">
        <v>3.36</v>
      </c>
    </row>
    <row r="14" spans="1:19">
      <c r="A14" t="s">
        <v>2</v>
      </c>
      <c r="B14" s="4">
        <v>46311.612901990738</v>
      </c>
      <c r="C14" s="5">
        <v>60.25</v>
      </c>
      <c r="D14" s="5">
        <v>1.0041666666666671</v>
      </c>
      <c r="E14" s="5">
        <v>13</v>
      </c>
      <c r="F14" s="5">
        <v>764537</v>
      </c>
      <c r="G14" s="5">
        <v>323.83999999999997</v>
      </c>
      <c r="H14" s="5">
        <v>0.3644</v>
      </c>
      <c r="I14" s="5">
        <v>1.5827960000000001</v>
      </c>
      <c r="J14" s="5">
        <v>7.09382</v>
      </c>
      <c r="K14" s="5">
        <v>-0.31263000000000041</v>
      </c>
      <c r="L14" s="5">
        <v>-4.4990000000000308E-2</v>
      </c>
      <c r="M14" s="5">
        <v>-0.53988000000000369</v>
      </c>
      <c r="O14">
        <v>10</v>
      </c>
      <c r="P14">
        <v>3.17</v>
      </c>
      <c r="R14">
        <v>10</v>
      </c>
      <c r="S14">
        <v>3.31</v>
      </c>
    </row>
    <row r="15" spans="1:19">
      <c r="A15" t="s">
        <v>2</v>
      </c>
      <c r="B15" s="4">
        <v>46311.612959791666</v>
      </c>
      <c r="C15" s="5">
        <v>65.25</v>
      </c>
      <c r="D15" s="5">
        <v>1.0874999999999999</v>
      </c>
      <c r="E15" s="5">
        <v>14</v>
      </c>
      <c r="F15" s="5">
        <v>769537</v>
      </c>
      <c r="G15" s="5">
        <v>325</v>
      </c>
      <c r="H15" s="5">
        <v>0.39529999999999998</v>
      </c>
      <c r="I15" s="5">
        <v>1.588465</v>
      </c>
      <c r="J15" s="5">
        <v>7.0603699999999998</v>
      </c>
      <c r="K15" s="5">
        <v>-0.34608000000000061</v>
      </c>
      <c r="L15" s="5">
        <v>-3.3450000000000202E-2</v>
      </c>
      <c r="M15" s="5">
        <v>-0.40140000000000242</v>
      </c>
      <c r="O15">
        <v>11</v>
      </c>
      <c r="P15">
        <v>3.16</v>
      </c>
      <c r="R15">
        <v>11</v>
      </c>
      <c r="S15">
        <v>3.28</v>
      </c>
    </row>
    <row r="16" spans="1:19">
      <c r="A16" t="s">
        <v>2</v>
      </c>
      <c r="B16" s="4">
        <v>46311.613017569442</v>
      </c>
      <c r="C16" s="5">
        <v>70.23399999999674</v>
      </c>
      <c r="D16" s="5">
        <v>1.1705666666666119</v>
      </c>
      <c r="E16" s="5">
        <v>15</v>
      </c>
      <c r="F16" s="5">
        <v>774537</v>
      </c>
      <c r="G16" s="5">
        <v>326.39999999999998</v>
      </c>
      <c r="H16" s="5">
        <v>0.5</v>
      </c>
      <c r="I16" s="5">
        <v>1.5953079999999999</v>
      </c>
      <c r="J16" s="5">
        <v>7.01999</v>
      </c>
      <c r="K16" s="5">
        <v>-0.38646000000000053</v>
      </c>
      <c r="L16" s="5">
        <v>-4.037999999999986E-2</v>
      </c>
      <c r="M16" s="5">
        <v>-0.4861155698237512</v>
      </c>
      <c r="O16">
        <v>12</v>
      </c>
      <c r="P16">
        <v>3.15</v>
      </c>
      <c r="R16">
        <v>12</v>
      </c>
      <c r="S16">
        <v>3.25</v>
      </c>
    </row>
    <row r="17" spans="1:16">
      <c r="A17" t="s">
        <v>2</v>
      </c>
      <c r="B17" s="4">
        <v>46311.613075324072</v>
      </c>
      <c r="C17" s="5">
        <v>75.23399999999674</v>
      </c>
      <c r="D17" s="5">
        <v>1.2538999999999461</v>
      </c>
      <c r="E17" s="5">
        <v>16</v>
      </c>
      <c r="F17" s="5">
        <v>779537</v>
      </c>
      <c r="G17" s="5">
        <v>327.84</v>
      </c>
      <c r="H17" s="5">
        <v>0.61240000000000006</v>
      </c>
      <c r="I17" s="5">
        <v>1.602346</v>
      </c>
      <c r="J17" s="5">
        <v>6.9784600000000001</v>
      </c>
      <c r="K17" s="5">
        <v>-0.42799000000000031</v>
      </c>
      <c r="L17" s="5">
        <v>-4.1529999999999838E-2</v>
      </c>
      <c r="M17" s="5">
        <v>-0.49835999999999808</v>
      </c>
    </row>
    <row r="18" spans="1:16" ht="15">
      <c r="A18" t="s">
        <v>2</v>
      </c>
      <c r="B18" s="4">
        <v>46311.613133298612</v>
      </c>
      <c r="C18" s="5">
        <v>80.23399999999674</v>
      </c>
      <c r="D18" s="5">
        <v>1.3372333333332791</v>
      </c>
      <c r="E18" s="5">
        <v>17</v>
      </c>
      <c r="F18" s="5">
        <v>784537</v>
      </c>
      <c r="G18" s="5">
        <v>328.92</v>
      </c>
      <c r="H18" s="5">
        <v>0.61870000000000003</v>
      </c>
      <c r="I18" s="5">
        <v>1.6076250000000001</v>
      </c>
      <c r="J18" s="5">
        <v>6.9473200000000004</v>
      </c>
      <c r="K18" s="5">
        <v>-0.45912999999999998</v>
      </c>
      <c r="L18" s="5">
        <v>-3.113999999999972E-2</v>
      </c>
      <c r="M18" s="5">
        <v>-0.37367999999999668</v>
      </c>
      <c r="O18" s="2" t="s">
        <v>76</v>
      </c>
    </row>
    <row r="19" spans="1:16">
      <c r="A19" t="s">
        <v>2</v>
      </c>
      <c r="B19" s="4">
        <v>46311.613191064818</v>
      </c>
      <c r="C19" s="5">
        <v>85.23399999999674</v>
      </c>
      <c r="D19" s="5">
        <v>1.4205666666666119</v>
      </c>
      <c r="E19" s="5">
        <v>18</v>
      </c>
      <c r="F19" s="5">
        <v>789537</v>
      </c>
      <c r="G19" s="5">
        <v>330.64</v>
      </c>
      <c r="H19" s="5">
        <v>0.54490000000000005</v>
      </c>
      <c r="I19" s="5">
        <v>1.616031</v>
      </c>
      <c r="J19" s="5">
        <v>6.89771</v>
      </c>
      <c r="K19" s="5">
        <v>-0.50874000000000041</v>
      </c>
      <c r="L19" s="5">
        <v>-4.9610000000000383E-2</v>
      </c>
      <c r="M19" s="5">
        <v>-0.59532000000000451</v>
      </c>
    </row>
    <row r="20" spans="1:16" ht="15">
      <c r="A20" t="s">
        <v>2</v>
      </c>
      <c r="B20" s="4">
        <v>46311.613248842594</v>
      </c>
      <c r="C20" s="5">
        <v>90.218999999997322</v>
      </c>
      <c r="D20" s="5">
        <v>1.5036499999999551</v>
      </c>
      <c r="E20" s="5">
        <v>19</v>
      </c>
      <c r="F20" s="5">
        <v>794536</v>
      </c>
      <c r="G20" s="5">
        <v>331.44</v>
      </c>
      <c r="H20" s="5">
        <v>0.49209999999999998</v>
      </c>
      <c r="I20" s="5">
        <v>1.6199410000000001</v>
      </c>
      <c r="J20" s="5">
        <v>6.8746400000000003</v>
      </c>
      <c r="K20" s="5">
        <v>-0.53181000000000012</v>
      </c>
      <c r="L20" s="5">
        <v>-2.3069999999999698E-2</v>
      </c>
      <c r="M20" s="5">
        <v>-0.27767301905713548</v>
      </c>
      <c r="O20" s="2" t="s">
        <v>2</v>
      </c>
      <c r="P20" s="2" t="s">
        <v>77</v>
      </c>
    </row>
    <row r="21" spans="1:16">
      <c r="A21" t="s">
        <v>2</v>
      </c>
      <c r="B21" s="4">
        <v>46311.613306793981</v>
      </c>
      <c r="C21" s="5">
        <v>95.218999999997322</v>
      </c>
      <c r="D21" s="5">
        <v>1.586983333333289</v>
      </c>
      <c r="E21" s="5">
        <v>20</v>
      </c>
      <c r="F21" s="5">
        <v>799537</v>
      </c>
      <c r="G21" s="5">
        <v>333.04</v>
      </c>
      <c r="H21" s="5">
        <v>0.52290000000000003</v>
      </c>
      <c r="I21" s="5">
        <v>1.6277619999999999</v>
      </c>
      <c r="J21" s="5">
        <v>6.8285</v>
      </c>
      <c r="K21" s="5">
        <v>-0.57795000000000041</v>
      </c>
      <c r="L21" s="5">
        <v>-4.6140000000000292E-2</v>
      </c>
      <c r="M21" s="5">
        <v>-0.5536800000000035</v>
      </c>
      <c r="O21" t="s">
        <v>78</v>
      </c>
      <c r="P21" t="s">
        <v>79</v>
      </c>
    </row>
    <row r="22" spans="1:16">
      <c r="A22" t="s">
        <v>2</v>
      </c>
      <c r="B22" s="4">
        <v>46311.613364571756</v>
      </c>
      <c r="C22" s="5">
        <v>100.21899999999729</v>
      </c>
      <c r="D22" s="5">
        <v>1.670316666666622</v>
      </c>
      <c r="E22" s="5">
        <v>21</v>
      </c>
      <c r="F22" s="5">
        <v>804537</v>
      </c>
      <c r="G22" s="5">
        <v>334.44</v>
      </c>
      <c r="H22" s="5">
        <v>0.49209999999999998</v>
      </c>
      <c r="I22" s="5">
        <v>1.6346039999999999</v>
      </c>
      <c r="J22" s="5">
        <v>6.7881200000000002</v>
      </c>
      <c r="K22" s="5">
        <v>-0.61833000000000027</v>
      </c>
      <c r="L22" s="5">
        <v>-4.037999999999986E-2</v>
      </c>
      <c r="M22" s="5">
        <v>-0.48455999999999833</v>
      </c>
      <c r="O22" t="s">
        <v>80</v>
      </c>
      <c r="P22" s="6">
        <v>46311.612199074072</v>
      </c>
    </row>
    <row r="23" spans="1:16">
      <c r="A23" t="s">
        <v>2</v>
      </c>
      <c r="B23" s="4">
        <v>46311.613422337963</v>
      </c>
      <c r="C23" s="5">
        <v>105.20299999999411</v>
      </c>
      <c r="D23" s="5">
        <v>1.753383333333234</v>
      </c>
      <c r="E23" s="5">
        <v>22</v>
      </c>
      <c r="F23" s="5">
        <v>809537</v>
      </c>
      <c r="G23" s="5">
        <v>335.24</v>
      </c>
      <c r="H23" s="5">
        <v>0.433</v>
      </c>
      <c r="I23" s="5">
        <v>1.638514</v>
      </c>
      <c r="J23" s="5">
        <v>6.7650499999999996</v>
      </c>
      <c r="K23" s="5">
        <v>-0.64140000000000086</v>
      </c>
      <c r="L23" s="5">
        <v>-2.307000000000059E-2</v>
      </c>
      <c r="M23" s="5">
        <v>-0.27772873194240377</v>
      </c>
      <c r="O23" t="s">
        <v>81</v>
      </c>
      <c r="P23" s="6">
        <v>46311.626180555555</v>
      </c>
    </row>
    <row r="24" spans="1:16">
      <c r="A24" t="s">
        <v>2</v>
      </c>
      <c r="B24" s="4">
        <v>46311.613480312502</v>
      </c>
      <c r="C24" s="5">
        <v>110.21899999999729</v>
      </c>
      <c r="D24" s="5">
        <v>1.836983333333289</v>
      </c>
      <c r="E24" s="5">
        <v>23</v>
      </c>
      <c r="F24" s="5">
        <v>814537</v>
      </c>
      <c r="G24" s="5">
        <v>336.32</v>
      </c>
      <c r="H24" s="5">
        <v>0.45929999999999999</v>
      </c>
      <c r="I24" s="5">
        <v>1.6437930000000001</v>
      </c>
      <c r="J24" s="5">
        <v>6.7339000000000002</v>
      </c>
      <c r="K24" s="5">
        <v>-0.6725500000000002</v>
      </c>
      <c r="L24" s="5">
        <v>-3.1149999999999341E-2</v>
      </c>
      <c r="M24" s="5">
        <v>-0.37260765550214242</v>
      </c>
      <c r="O24" t="s">
        <v>82</v>
      </c>
      <c r="P24" t="s">
        <v>83</v>
      </c>
    </row>
    <row r="25" spans="1:16">
      <c r="A25" t="s">
        <v>2</v>
      </c>
      <c r="B25" s="4">
        <v>46311.613538078702</v>
      </c>
      <c r="C25" s="5">
        <v>115.20299999999411</v>
      </c>
      <c r="D25" s="5">
        <v>1.920049999999901</v>
      </c>
      <c r="E25" s="5">
        <v>24</v>
      </c>
      <c r="F25" s="5">
        <v>819537</v>
      </c>
      <c r="G25" s="5">
        <v>337.52</v>
      </c>
      <c r="H25" s="5">
        <v>0.50780000000000003</v>
      </c>
      <c r="I25" s="5">
        <v>1.6496580000000001</v>
      </c>
      <c r="J25" s="5">
        <v>6.6992900000000004</v>
      </c>
      <c r="K25" s="5">
        <v>-0.70716000000000001</v>
      </c>
      <c r="L25" s="5">
        <v>-3.4609999999999808E-2</v>
      </c>
      <c r="M25" s="5">
        <v>-0.41665329052996519</v>
      </c>
      <c r="O25" t="s">
        <v>84</v>
      </c>
      <c r="P25" t="s">
        <v>85</v>
      </c>
    </row>
    <row r="26" spans="1:16">
      <c r="A26" t="s">
        <v>2</v>
      </c>
      <c r="B26" s="4">
        <v>46311.613595856485</v>
      </c>
      <c r="C26" s="5">
        <v>120.20299999999411</v>
      </c>
      <c r="D26" s="5">
        <v>2.0033833333332338</v>
      </c>
      <c r="E26" s="5">
        <v>25</v>
      </c>
      <c r="F26" s="5">
        <v>824537</v>
      </c>
      <c r="G26" s="5">
        <v>338.36</v>
      </c>
      <c r="H26" s="5">
        <v>0.49209999999999998</v>
      </c>
      <c r="I26" s="5">
        <v>1.6537630000000001</v>
      </c>
      <c r="J26" s="5">
        <v>6.6750699999999998</v>
      </c>
      <c r="K26" s="5">
        <v>-0.73138000000000059</v>
      </c>
      <c r="L26" s="5">
        <v>-2.4220000000000571E-2</v>
      </c>
      <c r="M26" s="5">
        <v>-0.29064000000000689</v>
      </c>
      <c r="O26" t="s">
        <v>86</v>
      </c>
      <c r="P26" t="s">
        <v>87</v>
      </c>
    </row>
    <row r="27" spans="1:16">
      <c r="A27" t="s">
        <v>2</v>
      </c>
      <c r="B27" s="4">
        <v>46311.613653796296</v>
      </c>
      <c r="C27" s="5">
        <v>125.20299999999411</v>
      </c>
      <c r="D27" s="5">
        <v>2.0867166666665682</v>
      </c>
      <c r="E27" s="5">
        <v>26</v>
      </c>
      <c r="F27" s="5">
        <v>829537</v>
      </c>
      <c r="G27" s="5">
        <v>339.8</v>
      </c>
      <c r="H27" s="5">
        <v>0.5</v>
      </c>
      <c r="I27" s="5">
        <v>1.660801</v>
      </c>
      <c r="J27" s="5">
        <v>6.63354</v>
      </c>
      <c r="K27" s="5">
        <v>-0.77291000000000043</v>
      </c>
      <c r="L27" s="5">
        <v>-4.1529999999999838E-2</v>
      </c>
      <c r="M27" s="5">
        <v>-0.49835999999999808</v>
      </c>
      <c r="O27" t="s">
        <v>88</v>
      </c>
      <c r="P27">
        <v>5</v>
      </c>
    </row>
    <row r="28" spans="1:16">
      <c r="A28" t="s">
        <v>2</v>
      </c>
      <c r="B28" s="4">
        <v>46311.613711585647</v>
      </c>
      <c r="C28" s="5">
        <v>130.20299999999409</v>
      </c>
      <c r="D28" s="5">
        <v>2.1700499999999008</v>
      </c>
      <c r="E28" s="5">
        <v>27</v>
      </c>
      <c r="F28" s="5">
        <v>834537</v>
      </c>
      <c r="G28" s="5">
        <v>340.92</v>
      </c>
      <c r="H28" s="5">
        <v>0.38529999999999998</v>
      </c>
      <c r="I28" s="5">
        <v>1.6662760000000001</v>
      </c>
      <c r="J28" s="5">
        <v>6.6012399999999998</v>
      </c>
      <c r="K28" s="5">
        <v>-0.80521000000000065</v>
      </c>
      <c r="L28" s="5">
        <v>-3.2300000000000217E-2</v>
      </c>
      <c r="M28" s="5">
        <v>-0.38760000000000261</v>
      </c>
      <c r="O28" t="s">
        <v>89</v>
      </c>
      <c r="P28">
        <v>60</v>
      </c>
    </row>
    <row r="29" spans="1:16">
      <c r="A29" t="s">
        <v>2</v>
      </c>
      <c r="B29" s="4">
        <v>46311.613769363423</v>
      </c>
      <c r="C29" s="5">
        <v>135.18699999999811</v>
      </c>
      <c r="D29" s="5">
        <v>2.2531166666666351</v>
      </c>
      <c r="E29" s="5">
        <v>28</v>
      </c>
      <c r="F29" s="5">
        <v>839537</v>
      </c>
      <c r="G29" s="5">
        <v>341.84</v>
      </c>
      <c r="H29" s="5">
        <v>0.45929999999999999</v>
      </c>
      <c r="I29" s="5">
        <v>1.6707719999999999</v>
      </c>
      <c r="J29" s="5">
        <v>6.5747099999999996</v>
      </c>
      <c r="K29" s="5">
        <v>-0.83174000000000081</v>
      </c>
      <c r="L29" s="5">
        <v>-2.6530000000000161E-2</v>
      </c>
      <c r="M29" s="5">
        <v>-0.3193820224716547</v>
      </c>
      <c r="O29" t="s">
        <v>7</v>
      </c>
      <c r="P29">
        <v>242</v>
      </c>
    </row>
    <row r="30" spans="1:16">
      <c r="A30" t="s">
        <v>2</v>
      </c>
      <c r="B30" s="4">
        <v>46311.613827314817</v>
      </c>
      <c r="C30" s="5">
        <v>140.20299999999409</v>
      </c>
      <c r="D30" s="5">
        <v>2.3367166666665682</v>
      </c>
      <c r="E30" s="5">
        <v>29</v>
      </c>
      <c r="F30" s="5">
        <v>844537</v>
      </c>
      <c r="G30" s="5">
        <v>342.68</v>
      </c>
      <c r="H30" s="5">
        <v>0.4677</v>
      </c>
      <c r="I30" s="5">
        <v>1.6748780000000001</v>
      </c>
      <c r="J30" s="5">
        <v>6.5504800000000003</v>
      </c>
      <c r="K30" s="5">
        <v>-0.85597000000000012</v>
      </c>
      <c r="L30" s="5">
        <v>-2.4229999999999311E-2</v>
      </c>
      <c r="M30" s="5">
        <v>-0.28983253588539132</v>
      </c>
      <c r="O30" t="s">
        <v>9</v>
      </c>
      <c r="P30">
        <v>7.4064500000000004</v>
      </c>
    </row>
    <row r="31" spans="1:16">
      <c r="A31" t="s">
        <v>2</v>
      </c>
      <c r="B31" s="4">
        <v>46311.613885092593</v>
      </c>
      <c r="C31" s="5">
        <v>145.18699999999811</v>
      </c>
      <c r="D31" s="5">
        <v>2.4197833333333012</v>
      </c>
      <c r="E31" s="5">
        <v>30</v>
      </c>
      <c r="F31" s="5">
        <v>849537</v>
      </c>
      <c r="G31" s="5">
        <v>343.6</v>
      </c>
      <c r="H31" s="5">
        <v>0.49209999999999998</v>
      </c>
      <c r="I31" s="5">
        <v>1.6793739999999999</v>
      </c>
      <c r="J31" s="5">
        <v>6.5239500000000001</v>
      </c>
      <c r="K31" s="5">
        <v>-0.88250000000000028</v>
      </c>
      <c r="L31" s="5">
        <v>-2.6530000000000161E-2</v>
      </c>
      <c r="M31" s="5">
        <v>-0.3193820224716547</v>
      </c>
      <c r="O31" t="s">
        <v>10</v>
      </c>
      <c r="P31">
        <v>3.8902800000000002</v>
      </c>
    </row>
    <row r="32" spans="1:16">
      <c r="A32" t="s">
        <v>2</v>
      </c>
      <c r="B32" s="4">
        <v>46311.613942870368</v>
      </c>
      <c r="C32" s="5">
        <v>150.18699999999811</v>
      </c>
      <c r="D32" s="5">
        <v>2.5031166666666351</v>
      </c>
      <c r="E32" s="5">
        <v>31</v>
      </c>
      <c r="F32" s="5">
        <v>854538</v>
      </c>
      <c r="G32" s="5">
        <v>344.6</v>
      </c>
      <c r="H32" s="5">
        <v>0.48409999999999997</v>
      </c>
      <c r="I32" s="5">
        <v>1.6842619999999999</v>
      </c>
      <c r="J32" s="5">
        <v>6.4951100000000004</v>
      </c>
      <c r="K32" s="5">
        <v>-0.91134000000000004</v>
      </c>
      <c r="L32" s="5">
        <v>-2.8839999999999751E-2</v>
      </c>
      <c r="M32" s="5">
        <v>-0.34607999999999711</v>
      </c>
      <c r="O32" t="s">
        <v>90</v>
      </c>
      <c r="P32">
        <v>-3.5161699999999998</v>
      </c>
    </row>
    <row r="33" spans="1:16">
      <c r="A33" t="s">
        <v>2</v>
      </c>
      <c r="B33" s="4">
        <v>46311.614000833331</v>
      </c>
      <c r="C33" s="5">
        <v>155.18699999999811</v>
      </c>
      <c r="D33" s="5">
        <v>2.5864499999999682</v>
      </c>
      <c r="E33" s="5">
        <v>32</v>
      </c>
      <c r="F33" s="5">
        <v>859537</v>
      </c>
      <c r="G33" s="5">
        <v>345.2</v>
      </c>
      <c r="H33" s="5">
        <v>0.48409999999999997</v>
      </c>
      <c r="I33" s="5">
        <v>1.6871940000000001</v>
      </c>
      <c r="J33" s="5">
        <v>6.4778000000000002</v>
      </c>
      <c r="K33" s="5">
        <v>-0.9286500000000002</v>
      </c>
      <c r="L33" s="5">
        <v>-1.7310000000000159E-2</v>
      </c>
      <c r="M33" s="5">
        <v>-0.2077200000000019</v>
      </c>
      <c r="O33" t="s">
        <v>91</v>
      </c>
      <c r="P33">
        <v>3.8902800000000002</v>
      </c>
    </row>
    <row r="34" spans="1:16">
      <c r="A34" t="s">
        <v>2</v>
      </c>
      <c r="B34" s="4">
        <v>46311.614058599538</v>
      </c>
      <c r="C34" s="5">
        <v>160.18699999999811</v>
      </c>
      <c r="D34" s="5">
        <v>2.6697833333333012</v>
      </c>
      <c r="E34" s="5">
        <v>33</v>
      </c>
      <c r="F34" s="5">
        <v>864537</v>
      </c>
      <c r="G34" s="5">
        <v>346.6</v>
      </c>
      <c r="H34" s="5">
        <v>0.48409999999999997</v>
      </c>
      <c r="I34" s="5">
        <v>1.694037</v>
      </c>
      <c r="J34" s="5">
        <v>6.43743</v>
      </c>
      <c r="K34" s="5">
        <v>-0.96902000000000044</v>
      </c>
      <c r="L34" s="5">
        <v>-4.0370000000000239E-2</v>
      </c>
      <c r="M34" s="5">
        <v>-0.48444000000000292</v>
      </c>
      <c r="O34" t="s">
        <v>92</v>
      </c>
      <c r="P34">
        <v>7.4249099999999997</v>
      </c>
    </row>
    <row r="35" spans="1:16">
      <c r="A35" t="s">
        <v>2</v>
      </c>
      <c r="B35" s="4">
        <v>46311.614116365738</v>
      </c>
      <c r="C35" s="5">
        <v>165.17199999999869</v>
      </c>
      <c r="D35" s="5">
        <v>2.7528666666666441</v>
      </c>
      <c r="E35" s="5">
        <v>34</v>
      </c>
      <c r="F35" s="5">
        <v>869538</v>
      </c>
      <c r="G35" s="5">
        <v>347.4</v>
      </c>
      <c r="H35" s="5">
        <v>0.49209999999999998</v>
      </c>
      <c r="I35" s="5">
        <v>1.6979470000000001</v>
      </c>
      <c r="J35" s="5">
        <v>6.4143600000000003</v>
      </c>
      <c r="K35" s="5">
        <v>-0.99209000000000014</v>
      </c>
      <c r="L35" s="5">
        <v>-2.3069999999999698E-2</v>
      </c>
      <c r="M35" s="5">
        <v>-0.27767301905713548</v>
      </c>
      <c r="O35" t="s">
        <v>93</v>
      </c>
      <c r="P35">
        <v>4.8972221900826449</v>
      </c>
    </row>
    <row r="36" spans="1:16">
      <c r="A36" t="s">
        <v>2</v>
      </c>
      <c r="B36" s="4">
        <v>46311.614174328701</v>
      </c>
      <c r="C36" s="5">
        <v>170.18699999999811</v>
      </c>
      <c r="D36" s="5">
        <v>2.8364499999999682</v>
      </c>
      <c r="E36" s="5">
        <v>35</v>
      </c>
      <c r="F36" s="5">
        <v>874536</v>
      </c>
      <c r="G36" s="5">
        <v>348.08</v>
      </c>
      <c r="H36" s="5">
        <v>0.56599999999999995</v>
      </c>
      <c r="I36" s="5">
        <v>1.701271</v>
      </c>
      <c r="J36" s="5">
        <v>6.3947399999999996</v>
      </c>
      <c r="K36" s="5">
        <v>-1.011710000000001</v>
      </c>
      <c r="L36" s="5">
        <v>-1.962000000000064E-2</v>
      </c>
      <c r="M36" s="5">
        <v>-0.23473579262216851</v>
      </c>
      <c r="O36" t="s">
        <v>94</v>
      </c>
      <c r="P36">
        <v>1.0656702514908689</v>
      </c>
    </row>
    <row r="37" spans="1:16">
      <c r="A37" t="s">
        <v>2</v>
      </c>
      <c r="B37" s="4">
        <v>46311.614232106484</v>
      </c>
      <c r="C37" s="5">
        <v>175.17199999999869</v>
      </c>
      <c r="D37" s="5">
        <v>2.9195333333333111</v>
      </c>
      <c r="E37" s="5">
        <v>36</v>
      </c>
      <c r="F37" s="5">
        <v>879537</v>
      </c>
      <c r="G37" s="5">
        <v>349.28</v>
      </c>
      <c r="H37" s="5">
        <v>0.45069999999999999</v>
      </c>
      <c r="I37" s="5">
        <v>1.707136</v>
      </c>
      <c r="J37" s="5">
        <v>6.3601400000000003</v>
      </c>
      <c r="K37" s="5">
        <v>-1.0463100000000001</v>
      </c>
      <c r="L37" s="5">
        <v>-3.4599999999999298E-2</v>
      </c>
      <c r="M37" s="5">
        <v>-0.41644934804407541</v>
      </c>
      <c r="O37" t="s">
        <v>95</v>
      </c>
      <c r="P37">
        <v>-0.16848988005128149</v>
      </c>
    </row>
    <row r="38" spans="1:16">
      <c r="A38" t="s">
        <v>2</v>
      </c>
      <c r="B38" s="4">
        <v>46311.614289884259</v>
      </c>
      <c r="C38" s="5">
        <v>180.17199999999869</v>
      </c>
      <c r="D38" s="5">
        <v>3.0028666666666441</v>
      </c>
      <c r="E38" s="5">
        <v>37</v>
      </c>
      <c r="F38" s="5">
        <v>884537</v>
      </c>
      <c r="G38" s="5">
        <v>350.12</v>
      </c>
      <c r="H38" s="5">
        <v>0.44190000000000002</v>
      </c>
      <c r="I38" s="5">
        <v>1.711241</v>
      </c>
      <c r="J38" s="5">
        <v>6.3359100000000002</v>
      </c>
      <c r="K38" s="5">
        <v>-1.07054</v>
      </c>
      <c r="L38" s="5">
        <v>-2.4230000000000199E-2</v>
      </c>
      <c r="M38" s="5">
        <v>-0.29076000000000229</v>
      </c>
      <c r="O38" t="s">
        <v>96</v>
      </c>
      <c r="P38">
        <v>-2.8839940000000001E-2</v>
      </c>
    </row>
    <row r="39" spans="1:16">
      <c r="A39" t="s">
        <v>2</v>
      </c>
      <c r="B39" s="4">
        <v>46311.614347847222</v>
      </c>
      <c r="C39" s="5">
        <v>185.17199999999869</v>
      </c>
      <c r="D39" s="5">
        <v>3.0861999999999781</v>
      </c>
      <c r="E39" s="5">
        <v>38</v>
      </c>
      <c r="F39" s="5">
        <v>889537</v>
      </c>
      <c r="G39" s="5">
        <v>350.68</v>
      </c>
      <c r="H39" s="5">
        <v>0.4677</v>
      </c>
      <c r="I39" s="5">
        <v>1.713978</v>
      </c>
      <c r="J39" s="5">
        <v>6.3197599999999996</v>
      </c>
      <c r="K39" s="5">
        <v>-1.086690000000001</v>
      </c>
      <c r="L39" s="5">
        <v>-1.6150000000000549E-2</v>
      </c>
      <c r="M39" s="5">
        <v>-0.19380000000000661</v>
      </c>
      <c r="O39" t="s">
        <v>97</v>
      </c>
      <c r="P39">
        <v>16.433351510000001</v>
      </c>
    </row>
    <row r="40" spans="1:16">
      <c r="A40" t="s">
        <v>2</v>
      </c>
      <c r="B40" s="4">
        <v>46311.614405624998</v>
      </c>
      <c r="C40" s="5">
        <v>190.17199999999869</v>
      </c>
      <c r="D40" s="5">
        <v>3.1695333333333111</v>
      </c>
      <c r="E40" s="5">
        <v>39</v>
      </c>
      <c r="F40" s="5">
        <v>894538</v>
      </c>
      <c r="G40" s="5">
        <v>351.96</v>
      </c>
      <c r="H40" s="5">
        <v>0.45069999999999999</v>
      </c>
      <c r="I40" s="5">
        <v>1.720234</v>
      </c>
      <c r="J40" s="5">
        <v>6.2828499999999998</v>
      </c>
      <c r="K40" s="5">
        <v>-1.123600000000001</v>
      </c>
      <c r="L40" s="5">
        <v>-3.6909999999999783E-2</v>
      </c>
      <c r="M40" s="5">
        <v>-0.44291999999999732</v>
      </c>
      <c r="O40" t="s">
        <v>98</v>
      </c>
      <c r="P40">
        <v>0.999977</v>
      </c>
    </row>
    <row r="41" spans="1:16">
      <c r="A41" t="s">
        <v>2</v>
      </c>
      <c r="B41" s="4">
        <v>46311.614463379628</v>
      </c>
      <c r="C41" s="5">
        <v>195.1559999999954</v>
      </c>
      <c r="D41" s="5">
        <v>3.2525999999999229</v>
      </c>
      <c r="E41" s="5">
        <v>40</v>
      </c>
      <c r="F41" s="5">
        <v>899537</v>
      </c>
      <c r="G41" s="5">
        <v>352.88</v>
      </c>
      <c r="H41" s="5">
        <v>0.4239</v>
      </c>
      <c r="I41" s="5">
        <v>1.724731</v>
      </c>
      <c r="J41" s="5">
        <v>6.25631</v>
      </c>
      <c r="K41" s="5">
        <v>-1.1501399999999999</v>
      </c>
      <c r="L41" s="5">
        <v>-2.6539999999999789E-2</v>
      </c>
      <c r="M41" s="5">
        <v>-0.31950240770486132</v>
      </c>
      <c r="O41" t="s">
        <v>99</v>
      </c>
      <c r="P41">
        <v>3</v>
      </c>
    </row>
    <row r="42" spans="1:16">
      <c r="A42" t="s">
        <v>2</v>
      </c>
      <c r="B42" s="4">
        <v>46311.614521157404</v>
      </c>
      <c r="C42" s="5">
        <v>200.13999999999939</v>
      </c>
      <c r="D42" s="5">
        <v>3.3356666666666568</v>
      </c>
      <c r="E42" s="5">
        <v>41</v>
      </c>
      <c r="F42" s="5">
        <v>904537</v>
      </c>
      <c r="G42" s="5">
        <v>353.44</v>
      </c>
      <c r="H42" s="5">
        <v>0.49209999999999998</v>
      </c>
      <c r="I42" s="5">
        <v>1.727468</v>
      </c>
      <c r="J42" s="5">
        <v>6.2401600000000004</v>
      </c>
      <c r="K42" s="5">
        <v>-1.16629</v>
      </c>
      <c r="L42" s="5">
        <v>-1.6149999999999661E-2</v>
      </c>
      <c r="M42" s="5">
        <v>-0.19442215088266429</v>
      </c>
    </row>
    <row r="43" spans="1:16" ht="15">
      <c r="A43" t="s">
        <v>2</v>
      </c>
      <c r="B43" s="4">
        <v>46311.614579120367</v>
      </c>
      <c r="C43" s="5">
        <v>205.1559999999954</v>
      </c>
      <c r="D43" s="5">
        <v>3.4192666666665898</v>
      </c>
      <c r="E43" s="5">
        <v>42</v>
      </c>
      <c r="F43" s="5">
        <v>909537</v>
      </c>
      <c r="G43" s="5">
        <v>354.8</v>
      </c>
      <c r="H43" s="5">
        <v>0.5</v>
      </c>
      <c r="I43" s="5">
        <v>1.7341150000000001</v>
      </c>
      <c r="J43" s="5">
        <v>6.2009400000000001</v>
      </c>
      <c r="K43" s="5">
        <v>-1.2055100000000001</v>
      </c>
      <c r="L43" s="5">
        <v>-3.9220000000000248E-2</v>
      </c>
      <c r="M43" s="5">
        <v>-0.46913875598123989</v>
      </c>
      <c r="O43" s="2" t="s">
        <v>3</v>
      </c>
      <c r="P43" s="2" t="s">
        <v>100</v>
      </c>
    </row>
    <row r="44" spans="1:16">
      <c r="A44" t="s">
        <v>2</v>
      </c>
      <c r="B44" s="4">
        <v>46311.61463689815</v>
      </c>
      <c r="C44" s="5">
        <v>210.13999999999939</v>
      </c>
      <c r="D44" s="5">
        <v>3.5023333333333242</v>
      </c>
      <c r="E44" s="5">
        <v>43</v>
      </c>
      <c r="F44" s="5">
        <v>914538</v>
      </c>
      <c r="G44" s="5">
        <v>355.52</v>
      </c>
      <c r="H44" s="5">
        <v>0.50780000000000003</v>
      </c>
      <c r="I44" s="5">
        <v>1.7376339999999999</v>
      </c>
      <c r="J44" s="5">
        <v>6.18018</v>
      </c>
      <c r="K44" s="5">
        <v>-1.22627</v>
      </c>
      <c r="L44" s="5">
        <v>-2.0760000000000112E-2</v>
      </c>
      <c r="M44" s="5">
        <v>-0.24991974317797011</v>
      </c>
      <c r="O44" t="s">
        <v>78</v>
      </c>
      <c r="P44" t="s">
        <v>79</v>
      </c>
    </row>
    <row r="45" spans="1:16">
      <c r="A45" t="s">
        <v>2</v>
      </c>
      <c r="B45" s="4">
        <v>46311.614694664349</v>
      </c>
      <c r="C45" s="5">
        <v>215.13999999999939</v>
      </c>
      <c r="D45" s="5">
        <v>3.5856666666666568</v>
      </c>
      <c r="E45" s="5">
        <v>44</v>
      </c>
      <c r="F45" s="5">
        <v>919538</v>
      </c>
      <c r="G45" s="5">
        <v>356.28</v>
      </c>
      <c r="H45" s="5">
        <v>0.59950000000000003</v>
      </c>
      <c r="I45" s="5">
        <v>1.741349</v>
      </c>
      <c r="J45" s="5">
        <v>6.1582600000000003</v>
      </c>
      <c r="K45" s="5">
        <v>-1.2481899999999999</v>
      </c>
      <c r="L45" s="5">
        <v>-2.1919999999999721E-2</v>
      </c>
      <c r="M45" s="5">
        <v>-0.26303999999999661</v>
      </c>
      <c r="O45" t="s">
        <v>80</v>
      </c>
      <c r="P45" s="6">
        <v>46311.629583333335</v>
      </c>
    </row>
    <row r="46" spans="1:16">
      <c r="A46" t="s">
        <v>2</v>
      </c>
      <c r="B46" s="4">
        <v>46311.614752615744</v>
      </c>
      <c r="C46" s="5">
        <v>220.13999999999939</v>
      </c>
      <c r="D46" s="5">
        <v>3.6689999999999898</v>
      </c>
      <c r="E46" s="5">
        <v>45</v>
      </c>
      <c r="F46" s="5">
        <v>924538</v>
      </c>
      <c r="G46" s="5">
        <v>357.32</v>
      </c>
      <c r="H46" s="5">
        <v>0.54490000000000005</v>
      </c>
      <c r="I46" s="5">
        <v>1.746432</v>
      </c>
      <c r="J46" s="5">
        <v>6.12826</v>
      </c>
      <c r="K46" s="5">
        <v>-1.2781899999999999</v>
      </c>
      <c r="L46" s="5">
        <v>-3.0000000000000249E-2</v>
      </c>
      <c r="M46" s="5">
        <v>-0.36000000000000298</v>
      </c>
      <c r="O46" t="s">
        <v>81</v>
      </c>
      <c r="P46" s="6">
        <v>46311.643599537034</v>
      </c>
    </row>
    <row r="47" spans="1:16">
      <c r="A47" t="s">
        <v>2</v>
      </c>
      <c r="B47" s="4">
        <v>46311.614810405095</v>
      </c>
      <c r="C47" s="5">
        <v>225.13999999999939</v>
      </c>
      <c r="D47" s="5">
        <v>3.7523333333333242</v>
      </c>
      <c r="E47" s="5">
        <v>46</v>
      </c>
      <c r="F47" s="5">
        <v>929538</v>
      </c>
      <c r="G47" s="5">
        <v>358.32</v>
      </c>
      <c r="H47" s="5">
        <v>0.54490000000000005</v>
      </c>
      <c r="I47" s="5">
        <v>1.75132</v>
      </c>
      <c r="J47" s="5">
        <v>6.0994200000000003</v>
      </c>
      <c r="K47" s="5">
        <v>-1.3070299999999999</v>
      </c>
      <c r="L47" s="5">
        <v>-2.8839999999999751E-2</v>
      </c>
      <c r="M47" s="5">
        <v>-0.34607999999999711</v>
      </c>
      <c r="O47" t="s">
        <v>82</v>
      </c>
      <c r="P47" t="s">
        <v>83</v>
      </c>
    </row>
    <row r="48" spans="1:16">
      <c r="A48" t="s">
        <v>2</v>
      </c>
      <c r="B48" s="4">
        <v>46311.614868182871</v>
      </c>
      <c r="C48" s="5">
        <v>230.125</v>
      </c>
      <c r="D48" s="5">
        <v>3.8354166666666671</v>
      </c>
      <c r="E48" s="5">
        <v>47</v>
      </c>
      <c r="F48" s="5">
        <v>934538</v>
      </c>
      <c r="G48" s="5">
        <v>358.92</v>
      </c>
      <c r="H48" s="5">
        <v>0.375</v>
      </c>
      <c r="I48" s="5">
        <v>1.7542519999999999</v>
      </c>
      <c r="J48" s="5">
        <v>6.0821199999999997</v>
      </c>
      <c r="K48" s="5">
        <v>-1.3243300000000009</v>
      </c>
      <c r="L48" s="5">
        <v>-1.7300000000000541E-2</v>
      </c>
      <c r="M48" s="5">
        <v>-0.20822467402204839</v>
      </c>
      <c r="O48" t="s">
        <v>84</v>
      </c>
      <c r="P48" t="s">
        <v>85</v>
      </c>
    </row>
    <row r="49" spans="1:16">
      <c r="A49" t="s">
        <v>2</v>
      </c>
      <c r="B49" s="4">
        <v>46311.614926134258</v>
      </c>
      <c r="C49" s="5">
        <v>235.13999999999939</v>
      </c>
      <c r="D49" s="5">
        <v>3.9189999999999898</v>
      </c>
      <c r="E49" s="5">
        <v>48</v>
      </c>
      <c r="F49" s="5">
        <v>939537</v>
      </c>
      <c r="G49" s="5">
        <v>360.2</v>
      </c>
      <c r="H49" s="5">
        <v>0.39529999999999998</v>
      </c>
      <c r="I49" s="5">
        <v>1.760508</v>
      </c>
      <c r="J49" s="5">
        <v>6.0452000000000004</v>
      </c>
      <c r="K49" s="5">
        <v>-1.3612500000000001</v>
      </c>
      <c r="L49" s="5">
        <v>-3.6919999999999398E-2</v>
      </c>
      <c r="M49" s="5">
        <v>-0.441714855433743</v>
      </c>
      <c r="O49" t="s">
        <v>86</v>
      </c>
      <c r="P49" t="s">
        <v>87</v>
      </c>
    </row>
    <row r="50" spans="1:16">
      <c r="A50" t="s">
        <v>2</v>
      </c>
      <c r="B50" s="4">
        <v>46311.614983900465</v>
      </c>
      <c r="C50" s="5">
        <v>240.125</v>
      </c>
      <c r="D50" s="5">
        <v>4.0020833333333332</v>
      </c>
      <c r="E50" s="5">
        <v>49</v>
      </c>
      <c r="F50" s="5">
        <v>944538</v>
      </c>
      <c r="G50" s="5">
        <v>361.28</v>
      </c>
      <c r="H50" s="5">
        <v>0.45069999999999999</v>
      </c>
      <c r="I50" s="5">
        <v>1.765787</v>
      </c>
      <c r="J50" s="5">
        <v>6.0140599999999997</v>
      </c>
      <c r="K50" s="5">
        <v>-1.3923900000000009</v>
      </c>
      <c r="L50" s="5">
        <v>-3.1140000000000612E-2</v>
      </c>
      <c r="M50" s="5">
        <v>-0.37480441323968278</v>
      </c>
      <c r="O50" t="s">
        <v>88</v>
      </c>
      <c r="P50">
        <v>5</v>
      </c>
    </row>
    <row r="51" spans="1:16">
      <c r="A51" t="s">
        <v>2</v>
      </c>
      <c r="B51" s="4">
        <v>46311.61504167824</v>
      </c>
      <c r="C51" s="5">
        <v>245.125</v>
      </c>
      <c r="D51" s="5">
        <v>4.0854166666666663</v>
      </c>
      <c r="E51" s="5">
        <v>50</v>
      </c>
      <c r="F51" s="5">
        <v>949537</v>
      </c>
      <c r="G51" s="5">
        <v>362.08</v>
      </c>
      <c r="H51" s="5">
        <v>0.39529999999999998</v>
      </c>
      <c r="I51" s="5">
        <v>1.7696970000000001</v>
      </c>
      <c r="J51" s="5">
        <v>5.99099</v>
      </c>
      <c r="K51" s="5">
        <v>-1.4154599999999999</v>
      </c>
      <c r="L51" s="5">
        <v>-2.3069999999999698E-2</v>
      </c>
      <c r="M51" s="5">
        <v>-0.27683999999999642</v>
      </c>
      <c r="O51" t="s">
        <v>89</v>
      </c>
      <c r="P51">
        <v>60</v>
      </c>
    </row>
    <row r="52" spans="1:16">
      <c r="A52" t="s">
        <v>2</v>
      </c>
      <c r="B52" s="4">
        <v>46311.615099641203</v>
      </c>
      <c r="C52" s="5">
        <v>250.125</v>
      </c>
      <c r="D52" s="5">
        <v>4.1687500000000002</v>
      </c>
      <c r="E52" s="5">
        <v>51</v>
      </c>
      <c r="F52" s="5">
        <v>954536</v>
      </c>
      <c r="G52" s="5">
        <v>363.2</v>
      </c>
      <c r="H52" s="5">
        <v>0.39529999999999998</v>
      </c>
      <c r="I52" s="5">
        <v>1.7751710000000001</v>
      </c>
      <c r="J52" s="5">
        <v>5.9586800000000002</v>
      </c>
      <c r="K52" s="5">
        <v>-1.44777</v>
      </c>
      <c r="L52" s="5">
        <v>-3.2309999999999839E-2</v>
      </c>
      <c r="M52" s="5">
        <v>-0.38771999999999812</v>
      </c>
      <c r="O52" t="s">
        <v>7</v>
      </c>
      <c r="P52">
        <v>243</v>
      </c>
    </row>
    <row r="53" spans="1:16">
      <c r="A53" t="s">
        <v>2</v>
      </c>
      <c r="B53" s="4">
        <v>46311.61515740741</v>
      </c>
      <c r="C53" s="5">
        <v>255.125</v>
      </c>
      <c r="D53" s="5">
        <v>4.2520833333333332</v>
      </c>
      <c r="E53" s="5">
        <v>52</v>
      </c>
      <c r="F53" s="5">
        <v>959537</v>
      </c>
      <c r="G53" s="5">
        <v>364.36</v>
      </c>
      <c r="H53" s="5">
        <v>0.48409999999999997</v>
      </c>
      <c r="I53" s="5">
        <v>1.7808409999999999</v>
      </c>
      <c r="J53" s="5">
        <v>5.92523</v>
      </c>
      <c r="K53" s="5">
        <v>-1.48122</v>
      </c>
      <c r="L53" s="5">
        <v>-3.3450000000000202E-2</v>
      </c>
      <c r="M53" s="5">
        <v>-0.40140000000000242</v>
      </c>
      <c r="O53" t="s">
        <v>9</v>
      </c>
      <c r="P53">
        <v>7.2622499999999999</v>
      </c>
    </row>
    <row r="54" spans="1:16">
      <c r="A54" t="s">
        <v>2</v>
      </c>
      <c r="B54" s="4">
        <v>46311.615215185186</v>
      </c>
      <c r="C54" s="5">
        <v>260.10899999999668</v>
      </c>
      <c r="D54" s="5">
        <v>4.3351499999999454</v>
      </c>
      <c r="E54" s="5">
        <v>53</v>
      </c>
      <c r="F54" s="5">
        <v>964537</v>
      </c>
      <c r="G54" s="5">
        <v>365.28</v>
      </c>
      <c r="H54" s="5">
        <v>0.45069999999999999</v>
      </c>
      <c r="I54" s="5">
        <v>1.785337</v>
      </c>
      <c r="J54" s="5">
        <v>5.8986999999999998</v>
      </c>
      <c r="K54" s="5">
        <v>-1.507750000000001</v>
      </c>
      <c r="L54" s="5">
        <v>-2.6530000000000161E-2</v>
      </c>
      <c r="M54" s="5">
        <v>-0.31938202247212089</v>
      </c>
      <c r="O54" t="s">
        <v>10</v>
      </c>
      <c r="P54">
        <v>3.4553799999999999</v>
      </c>
    </row>
    <row r="55" spans="1:16">
      <c r="A55" t="s">
        <v>2</v>
      </c>
      <c r="B55" s="4">
        <v>46311.615273148149</v>
      </c>
      <c r="C55" s="5">
        <v>265.125</v>
      </c>
      <c r="D55" s="5">
        <v>4.4187500000000002</v>
      </c>
      <c r="E55" s="5">
        <v>54</v>
      </c>
      <c r="F55" s="5">
        <v>969537</v>
      </c>
      <c r="G55" s="5">
        <v>366.16</v>
      </c>
      <c r="H55" s="5">
        <v>0.54490000000000005</v>
      </c>
      <c r="I55" s="5">
        <v>1.7896380000000001</v>
      </c>
      <c r="J55" s="5">
        <v>5.8733199999999997</v>
      </c>
      <c r="K55" s="5">
        <v>-1.533130000000001</v>
      </c>
      <c r="L55" s="5">
        <v>-2.538000000000018E-2</v>
      </c>
      <c r="M55" s="5">
        <v>-0.30358851674621629</v>
      </c>
      <c r="O55" t="s">
        <v>90</v>
      </c>
      <c r="P55">
        <v>-3.80687</v>
      </c>
    </row>
    <row r="56" spans="1:16">
      <c r="A56" t="s">
        <v>2</v>
      </c>
      <c r="B56" s="4">
        <v>46311.615330925924</v>
      </c>
      <c r="C56" s="5">
        <v>270.10899999999668</v>
      </c>
      <c r="D56" s="5">
        <v>4.5018166666666124</v>
      </c>
      <c r="E56" s="5">
        <v>55</v>
      </c>
      <c r="F56" s="5">
        <v>974537</v>
      </c>
      <c r="G56" s="5">
        <v>367.64</v>
      </c>
      <c r="H56" s="5">
        <v>0.4677</v>
      </c>
      <c r="I56" s="5">
        <v>1.796872</v>
      </c>
      <c r="J56" s="5">
        <v>5.8306300000000002</v>
      </c>
      <c r="K56" s="5">
        <v>-1.57582</v>
      </c>
      <c r="L56" s="5">
        <v>-4.2689999999999451E-2</v>
      </c>
      <c r="M56" s="5">
        <v>-0.51392455858780939</v>
      </c>
      <c r="O56" t="s">
        <v>91</v>
      </c>
      <c r="P56">
        <v>3.4472999999999998</v>
      </c>
    </row>
    <row r="57" spans="1:16">
      <c r="A57" t="s">
        <v>2</v>
      </c>
      <c r="B57" s="4">
        <v>46311.615388692131</v>
      </c>
      <c r="C57" s="5">
        <v>275.10899999999668</v>
      </c>
      <c r="D57" s="5">
        <v>4.5851499999999454</v>
      </c>
      <c r="E57" s="5">
        <v>56</v>
      </c>
      <c r="F57" s="5">
        <v>979537</v>
      </c>
      <c r="G57" s="5">
        <v>368.48</v>
      </c>
      <c r="H57" s="5">
        <v>0.5</v>
      </c>
      <c r="I57" s="5">
        <v>1.800978</v>
      </c>
      <c r="J57" s="5">
        <v>5.8064099999999996</v>
      </c>
      <c r="K57" s="5">
        <v>-1.600040000000001</v>
      </c>
      <c r="L57" s="5">
        <v>-2.4220000000000571E-2</v>
      </c>
      <c r="M57" s="5">
        <v>-0.29064000000000689</v>
      </c>
      <c r="O57" t="s">
        <v>92</v>
      </c>
      <c r="P57">
        <v>7.2772500000000004</v>
      </c>
    </row>
    <row r="58" spans="1:16">
      <c r="A58" t="s">
        <v>2</v>
      </c>
      <c r="B58" s="4">
        <v>46311.615446666663</v>
      </c>
      <c r="C58" s="5">
        <v>280.10899999999668</v>
      </c>
      <c r="D58" s="5">
        <v>4.6684833333332794</v>
      </c>
      <c r="E58" s="5">
        <v>57</v>
      </c>
      <c r="F58" s="5">
        <v>984537</v>
      </c>
      <c r="G58" s="5">
        <v>369.4</v>
      </c>
      <c r="H58" s="5">
        <v>0.48409999999999997</v>
      </c>
      <c r="I58" s="5">
        <v>1.805474</v>
      </c>
      <c r="J58" s="5">
        <v>5.7798800000000004</v>
      </c>
      <c r="K58" s="5">
        <v>-1.6265700000000001</v>
      </c>
      <c r="L58" s="5">
        <v>-2.652999999999928E-2</v>
      </c>
      <c r="M58" s="5">
        <v>-0.31835999999999132</v>
      </c>
      <c r="O58" t="s">
        <v>93</v>
      </c>
      <c r="P58">
        <v>4.243920987654322</v>
      </c>
    </row>
    <row r="59" spans="1:16">
      <c r="A59" t="s">
        <v>2</v>
      </c>
      <c r="B59" s="4">
        <v>46311.615504421294</v>
      </c>
      <c r="C59" s="5">
        <v>285.09399999999732</v>
      </c>
      <c r="D59" s="5">
        <v>4.7515666666666219</v>
      </c>
      <c r="E59" s="5">
        <v>58</v>
      </c>
      <c r="F59" s="5">
        <v>989537</v>
      </c>
      <c r="G59" s="5">
        <v>370.84</v>
      </c>
      <c r="H59" s="5">
        <v>0.54490000000000005</v>
      </c>
      <c r="I59" s="5">
        <v>1.8125119999999999</v>
      </c>
      <c r="J59" s="5">
        <v>5.7383499999999996</v>
      </c>
      <c r="K59" s="5">
        <v>-1.668100000000001</v>
      </c>
      <c r="L59" s="5">
        <v>-4.1530000000000733E-2</v>
      </c>
      <c r="M59" s="5">
        <v>-0.4998595787361591</v>
      </c>
      <c r="O59" t="s">
        <v>94</v>
      </c>
      <c r="P59">
        <v>1.0556044523453929</v>
      </c>
    </row>
    <row r="60" spans="1:16">
      <c r="A60" t="s">
        <v>2</v>
      </c>
      <c r="B60" s="4">
        <v>46311.615562210645</v>
      </c>
      <c r="C60" s="5">
        <v>290.09399999999732</v>
      </c>
      <c r="D60" s="5">
        <v>4.8348999999999558</v>
      </c>
      <c r="E60" s="5">
        <v>59</v>
      </c>
      <c r="F60" s="5">
        <v>994537</v>
      </c>
      <c r="G60" s="5">
        <v>371.44</v>
      </c>
      <c r="H60" s="5">
        <v>0.5</v>
      </c>
      <c r="I60" s="5">
        <v>1.815445</v>
      </c>
      <c r="J60" s="5">
        <v>5.7210400000000003</v>
      </c>
      <c r="K60" s="5">
        <v>-1.6854100000000001</v>
      </c>
      <c r="L60" s="5">
        <v>-1.730999999999927E-2</v>
      </c>
      <c r="M60" s="5">
        <v>-0.20771999999999119</v>
      </c>
      <c r="O60" t="s">
        <v>95</v>
      </c>
      <c r="P60">
        <v>-0.1493098518072635</v>
      </c>
    </row>
    <row r="61" spans="1:16">
      <c r="A61" t="s">
        <v>2</v>
      </c>
      <c r="B61" s="4">
        <v>46311.615620150464</v>
      </c>
      <c r="C61" s="5">
        <v>295.09399999999732</v>
      </c>
      <c r="D61" s="5">
        <v>4.9182333333332888</v>
      </c>
      <c r="E61" s="5">
        <v>60</v>
      </c>
      <c r="F61" s="5">
        <v>999537</v>
      </c>
      <c r="G61" s="5">
        <v>372.32</v>
      </c>
      <c r="H61" s="5">
        <v>0.4677</v>
      </c>
      <c r="I61" s="5">
        <v>1.8197460000000001</v>
      </c>
      <c r="J61" s="5">
        <v>5.6956600000000002</v>
      </c>
      <c r="K61" s="5">
        <v>-1.71079</v>
      </c>
      <c r="L61" s="5">
        <v>-2.538000000000018E-2</v>
      </c>
      <c r="M61" s="5">
        <v>-0.30456000000000222</v>
      </c>
      <c r="O61" t="s">
        <v>96</v>
      </c>
      <c r="P61">
        <v>-2.8839940000000001E-2</v>
      </c>
    </row>
    <row r="62" spans="1:16">
      <c r="A62" t="s">
        <v>2</v>
      </c>
      <c r="B62" s="4">
        <v>46311.615677928239</v>
      </c>
      <c r="C62" s="5">
        <v>300.09399999999732</v>
      </c>
      <c r="D62" s="5">
        <v>5.0015666666666219</v>
      </c>
      <c r="E62" s="5">
        <v>61</v>
      </c>
      <c r="F62" s="5">
        <v>1004537</v>
      </c>
      <c r="G62" s="5">
        <v>374.04</v>
      </c>
      <c r="H62" s="5">
        <v>0.71809999999999996</v>
      </c>
      <c r="I62" s="5">
        <v>1.8281529999999999</v>
      </c>
      <c r="J62" s="5">
        <v>5.6460600000000003</v>
      </c>
      <c r="K62" s="5">
        <v>-1.7603899999999999</v>
      </c>
      <c r="L62" s="5">
        <v>-4.9599999999999873E-2</v>
      </c>
      <c r="M62" s="5">
        <v>-0.5951999999999984</v>
      </c>
      <c r="O62" t="s">
        <v>97</v>
      </c>
      <c r="P62">
        <v>16.433351510000001</v>
      </c>
    </row>
    <row r="63" spans="1:16">
      <c r="A63" t="s">
        <v>2</v>
      </c>
      <c r="B63" s="4">
        <v>46311.615735706022</v>
      </c>
      <c r="C63" s="5">
        <v>305.07799999999412</v>
      </c>
      <c r="D63" s="5">
        <v>5.0846333333332341</v>
      </c>
      <c r="E63" s="5">
        <v>62</v>
      </c>
      <c r="F63" s="5">
        <v>1009537</v>
      </c>
      <c r="G63" s="5">
        <v>374.6</v>
      </c>
      <c r="H63" s="5">
        <v>0.48409999999999997</v>
      </c>
      <c r="I63" s="5">
        <v>1.8308899999999999</v>
      </c>
      <c r="J63" s="5">
        <v>5.6299099999999997</v>
      </c>
      <c r="K63" s="5">
        <v>-1.7765400000000009</v>
      </c>
      <c r="L63" s="5">
        <v>-1.6150000000000549E-2</v>
      </c>
      <c r="M63" s="5">
        <v>-0.19442215088295881</v>
      </c>
      <c r="O63" t="s">
        <v>98</v>
      </c>
      <c r="P63">
        <v>0.999977</v>
      </c>
    </row>
    <row r="64" spans="1:16">
      <c r="A64" t="s">
        <v>2</v>
      </c>
      <c r="B64" s="4">
        <v>46311.615793668978</v>
      </c>
      <c r="C64" s="5">
        <v>310.09399999999732</v>
      </c>
      <c r="D64" s="5">
        <v>5.1682333333332888</v>
      </c>
      <c r="E64" s="5">
        <v>63</v>
      </c>
      <c r="F64" s="5">
        <v>1014537</v>
      </c>
      <c r="G64" s="5">
        <v>375.96</v>
      </c>
      <c r="H64" s="5">
        <v>0.53029999999999999</v>
      </c>
      <c r="I64" s="5">
        <v>1.837537</v>
      </c>
      <c r="J64" s="5">
        <v>5.5906900000000004</v>
      </c>
      <c r="K64" s="5">
        <v>-1.81576</v>
      </c>
      <c r="L64" s="5">
        <v>-3.9219999999999373E-2</v>
      </c>
      <c r="M64" s="5">
        <v>-0.46913875598054883</v>
      </c>
      <c r="O64" t="s">
        <v>99</v>
      </c>
      <c r="P64">
        <v>3</v>
      </c>
    </row>
    <row r="65" spans="1:16">
      <c r="A65" t="s">
        <v>2</v>
      </c>
      <c r="B65" s="4">
        <v>46311.615851446761</v>
      </c>
      <c r="C65" s="5">
        <v>315.07799999999412</v>
      </c>
      <c r="D65" s="5">
        <v>5.251299999999901</v>
      </c>
      <c r="E65" s="5">
        <v>64</v>
      </c>
      <c r="F65" s="5">
        <v>1019537</v>
      </c>
      <c r="G65" s="5">
        <v>376.88</v>
      </c>
      <c r="H65" s="5">
        <v>0.433</v>
      </c>
      <c r="I65" s="5">
        <v>1.842033</v>
      </c>
      <c r="J65" s="5">
        <v>5.5641499999999997</v>
      </c>
      <c r="K65" s="5">
        <v>-1.8423000000000009</v>
      </c>
      <c r="L65" s="5">
        <v>-2.6540000000000671E-2</v>
      </c>
      <c r="M65" s="5">
        <v>-0.31950240770487193</v>
      </c>
    </row>
    <row r="66" spans="1:16" ht="15">
      <c r="A66" t="s">
        <v>2</v>
      </c>
      <c r="B66" s="4">
        <v>46311.61590921296</v>
      </c>
      <c r="C66" s="5">
        <v>320.07799999999412</v>
      </c>
      <c r="D66" s="5">
        <v>5.3346333333332341</v>
      </c>
      <c r="E66" s="5">
        <v>65</v>
      </c>
      <c r="F66" s="5">
        <v>1024537</v>
      </c>
      <c r="G66" s="5">
        <v>378.12</v>
      </c>
      <c r="H66" s="5">
        <v>0.51539999999999997</v>
      </c>
      <c r="I66" s="5">
        <v>1.8480939999999999</v>
      </c>
      <c r="J66" s="5">
        <v>5.5283899999999999</v>
      </c>
      <c r="K66" s="5">
        <v>-1.878060000000001</v>
      </c>
      <c r="L66" s="5">
        <v>-3.5759999999999792E-2</v>
      </c>
      <c r="M66" s="5">
        <v>-0.4291199999999975</v>
      </c>
      <c r="O66" s="2" t="s">
        <v>4</v>
      </c>
      <c r="P66" s="2" t="s">
        <v>101</v>
      </c>
    </row>
    <row r="67" spans="1:16">
      <c r="A67" t="s">
        <v>2</v>
      </c>
      <c r="B67" s="4">
        <v>46311.615967175923</v>
      </c>
      <c r="C67" s="5">
        <v>325.07799999999412</v>
      </c>
      <c r="D67" s="5">
        <v>5.417966666666568</v>
      </c>
      <c r="E67" s="5">
        <v>66</v>
      </c>
      <c r="F67" s="5">
        <v>1029537</v>
      </c>
      <c r="G67" s="5">
        <v>378.72</v>
      </c>
      <c r="H67" s="5">
        <v>0.45069999999999999</v>
      </c>
      <c r="I67" s="5">
        <v>1.8510260000000001</v>
      </c>
      <c r="J67" s="5">
        <v>5.5110900000000003</v>
      </c>
      <c r="K67" s="5">
        <v>-1.8953599999999999</v>
      </c>
      <c r="L67" s="5">
        <v>-1.7299999999999649E-2</v>
      </c>
      <c r="M67" s="5">
        <v>-0.20759999999999579</v>
      </c>
      <c r="O67" t="s">
        <v>78</v>
      </c>
      <c r="P67" t="s">
        <v>79</v>
      </c>
    </row>
    <row r="68" spans="1:16">
      <c r="A68" t="s">
        <v>2</v>
      </c>
      <c r="B68" s="4">
        <v>46311.616024953706</v>
      </c>
      <c r="C68" s="5">
        <v>330.07799999999412</v>
      </c>
      <c r="D68" s="5">
        <v>5.501299999999901</v>
      </c>
      <c r="E68" s="5">
        <v>67</v>
      </c>
      <c r="F68" s="5">
        <v>1034536</v>
      </c>
      <c r="G68" s="5">
        <v>380.24</v>
      </c>
      <c r="H68" s="5">
        <v>0.433</v>
      </c>
      <c r="I68" s="5">
        <v>1.858455</v>
      </c>
      <c r="J68" s="5">
        <v>5.4672499999999999</v>
      </c>
      <c r="K68" s="5">
        <v>-1.9392</v>
      </c>
      <c r="L68" s="5">
        <v>-4.3840000000000323E-2</v>
      </c>
      <c r="M68" s="5">
        <v>-0.52608000000000388</v>
      </c>
      <c r="O68" t="s">
        <v>80</v>
      </c>
      <c r="P68" s="6">
        <v>46311.645474537036</v>
      </c>
    </row>
    <row r="69" spans="1:16">
      <c r="A69" t="s">
        <v>2</v>
      </c>
      <c r="B69" s="4">
        <v>46311.616082731482</v>
      </c>
      <c r="C69" s="5">
        <v>335.06199999999808</v>
      </c>
      <c r="D69" s="5">
        <v>5.5843666666666349</v>
      </c>
      <c r="E69" s="5">
        <v>68</v>
      </c>
      <c r="F69" s="5">
        <v>1039537</v>
      </c>
      <c r="G69" s="5">
        <v>381.08</v>
      </c>
      <c r="H69" s="5">
        <v>0.57279999999999998</v>
      </c>
      <c r="I69" s="5">
        <v>1.8625609999999999</v>
      </c>
      <c r="J69" s="5">
        <v>5.4430300000000003</v>
      </c>
      <c r="K69" s="5">
        <v>-1.9634199999999999</v>
      </c>
      <c r="L69" s="5">
        <v>-2.421999999999969E-2</v>
      </c>
      <c r="M69" s="5">
        <v>-0.29157303370762638</v>
      </c>
      <c r="O69" t="s">
        <v>81</v>
      </c>
      <c r="P69" s="6">
        <v>46311.659479166665</v>
      </c>
    </row>
    <row r="70" spans="1:16">
      <c r="A70" t="s">
        <v>2</v>
      </c>
      <c r="B70" s="4">
        <v>46311.616140497688</v>
      </c>
      <c r="C70" s="5">
        <v>340.06199999999808</v>
      </c>
      <c r="D70" s="5">
        <v>5.667699999999968</v>
      </c>
      <c r="E70" s="5">
        <v>69</v>
      </c>
      <c r="F70" s="5">
        <v>1044537</v>
      </c>
      <c r="G70" s="5">
        <v>382.16</v>
      </c>
      <c r="H70" s="5">
        <v>0.54490000000000005</v>
      </c>
      <c r="I70" s="5">
        <v>1.8678399999999999</v>
      </c>
      <c r="J70" s="5">
        <v>5.41188</v>
      </c>
      <c r="K70" s="5">
        <v>-1.99457</v>
      </c>
      <c r="L70" s="5">
        <v>-3.115000000000023E-2</v>
      </c>
      <c r="M70" s="5">
        <v>-0.3738000000000028</v>
      </c>
      <c r="O70" t="s">
        <v>82</v>
      </c>
      <c r="P70" t="s">
        <v>83</v>
      </c>
    </row>
    <row r="71" spans="1:16">
      <c r="A71" t="s">
        <v>2</v>
      </c>
      <c r="B71" s="4">
        <v>46311.616198460652</v>
      </c>
      <c r="C71" s="5">
        <v>345.06199999999808</v>
      </c>
      <c r="D71" s="5">
        <v>5.751033333333301</v>
      </c>
      <c r="E71" s="5">
        <v>70</v>
      </c>
      <c r="F71" s="5">
        <v>1049537</v>
      </c>
      <c r="G71" s="5">
        <v>383.36</v>
      </c>
      <c r="H71" s="5">
        <v>0.5</v>
      </c>
      <c r="I71" s="5">
        <v>1.873705</v>
      </c>
      <c r="J71" s="5">
        <v>5.3772700000000002</v>
      </c>
      <c r="K71" s="5">
        <v>-2.0291800000000002</v>
      </c>
      <c r="L71" s="5">
        <v>-3.4609999999999808E-2</v>
      </c>
      <c r="M71" s="5">
        <v>-0.41531999999999769</v>
      </c>
      <c r="O71" t="s">
        <v>84</v>
      </c>
      <c r="P71" t="s">
        <v>85</v>
      </c>
    </row>
    <row r="72" spans="1:16">
      <c r="A72" t="s">
        <v>2</v>
      </c>
      <c r="B72" s="4">
        <v>46311.616256226851</v>
      </c>
      <c r="C72" s="5">
        <v>350.06199999999808</v>
      </c>
      <c r="D72" s="5">
        <v>5.8343666666666349</v>
      </c>
      <c r="E72" s="5">
        <v>71</v>
      </c>
      <c r="F72" s="5">
        <v>1054537</v>
      </c>
      <c r="G72" s="5">
        <v>384.56</v>
      </c>
      <c r="H72" s="5">
        <v>0.5</v>
      </c>
      <c r="I72" s="5">
        <v>1.87957</v>
      </c>
      <c r="J72" s="5">
        <v>5.3426600000000004</v>
      </c>
      <c r="K72" s="5">
        <v>-2.06379</v>
      </c>
      <c r="L72" s="5">
        <v>-3.4609999999999808E-2</v>
      </c>
      <c r="M72" s="5">
        <v>-0.41531999999999769</v>
      </c>
      <c r="O72" t="s">
        <v>86</v>
      </c>
      <c r="P72" t="s">
        <v>87</v>
      </c>
    </row>
    <row r="73" spans="1:16">
      <c r="A73" t="s">
        <v>2</v>
      </c>
      <c r="B73" s="4">
        <v>46311.616314016203</v>
      </c>
      <c r="C73" s="5">
        <v>355.04699999999872</v>
      </c>
      <c r="D73" s="5">
        <v>5.9174499999999766</v>
      </c>
      <c r="E73" s="5">
        <v>72</v>
      </c>
      <c r="F73" s="5">
        <v>1059537</v>
      </c>
      <c r="G73" s="5">
        <v>385.08</v>
      </c>
      <c r="H73" s="5">
        <v>0.5</v>
      </c>
      <c r="I73" s="5">
        <v>1.8821110000000001</v>
      </c>
      <c r="J73" s="5">
        <v>5.3276700000000003</v>
      </c>
      <c r="K73" s="5">
        <v>-2.0787800000000001</v>
      </c>
      <c r="L73" s="5">
        <v>-1.4990000000000061E-2</v>
      </c>
      <c r="M73" s="5">
        <v>-0.18042126379135379</v>
      </c>
      <c r="O73" t="s">
        <v>88</v>
      </c>
      <c r="P73">
        <v>5</v>
      </c>
    </row>
    <row r="74" spans="1:16">
      <c r="A74" t="s">
        <v>2</v>
      </c>
      <c r="B74" s="4">
        <v>46311.616371956021</v>
      </c>
      <c r="C74" s="5">
        <v>360.06199999999808</v>
      </c>
      <c r="D74" s="5">
        <v>6.001033333333301</v>
      </c>
      <c r="E74" s="5">
        <v>73</v>
      </c>
      <c r="F74" s="5">
        <v>1064537</v>
      </c>
      <c r="G74" s="5">
        <v>386.4</v>
      </c>
      <c r="H74" s="5">
        <v>0.5</v>
      </c>
      <c r="I74" s="5">
        <v>1.888563</v>
      </c>
      <c r="J74" s="5">
        <v>5.2896000000000001</v>
      </c>
      <c r="K74" s="5">
        <v>-2.1168499999999999</v>
      </c>
      <c r="L74" s="5">
        <v>-3.807000000000027E-2</v>
      </c>
      <c r="M74" s="5">
        <v>-0.4554735792622695</v>
      </c>
      <c r="O74" t="s">
        <v>89</v>
      </c>
      <c r="P74">
        <v>60</v>
      </c>
    </row>
    <row r="75" spans="1:16">
      <c r="A75" t="s">
        <v>2</v>
      </c>
      <c r="B75" s="4">
        <v>46311.616429733796</v>
      </c>
      <c r="C75" s="5">
        <v>365.04699999999872</v>
      </c>
      <c r="D75" s="5">
        <v>6.0841166666666444</v>
      </c>
      <c r="E75" s="5">
        <v>74</v>
      </c>
      <c r="F75" s="5">
        <v>1069537</v>
      </c>
      <c r="G75" s="5">
        <v>387.76</v>
      </c>
      <c r="H75" s="5">
        <v>0.41460000000000002</v>
      </c>
      <c r="I75" s="5">
        <v>1.8952100000000001</v>
      </c>
      <c r="J75" s="5">
        <v>5.2503799999999998</v>
      </c>
      <c r="K75" s="5">
        <v>-2.156070000000001</v>
      </c>
      <c r="L75" s="5">
        <v>-3.9220000000000248E-2</v>
      </c>
      <c r="M75" s="5">
        <v>-0.4720561685054645</v>
      </c>
      <c r="O75" t="s">
        <v>7</v>
      </c>
      <c r="P75">
        <v>243</v>
      </c>
    </row>
    <row r="76" spans="1:16">
      <c r="A76" t="s">
        <v>2</v>
      </c>
      <c r="B76" s="4">
        <v>46311.616487511572</v>
      </c>
      <c r="C76" s="5">
        <v>370.04699999999872</v>
      </c>
      <c r="D76" s="5">
        <v>6.1674499999999766</v>
      </c>
      <c r="E76" s="5">
        <v>75</v>
      </c>
      <c r="F76" s="5">
        <v>1074537</v>
      </c>
      <c r="G76" s="5">
        <v>388.32</v>
      </c>
      <c r="H76" s="5">
        <v>0.54490000000000005</v>
      </c>
      <c r="I76" s="5">
        <v>1.8979470000000001</v>
      </c>
      <c r="J76" s="5">
        <v>5.2342300000000002</v>
      </c>
      <c r="K76" s="5">
        <v>-2.1722199999999998</v>
      </c>
      <c r="L76" s="5">
        <v>-1.6149999999999661E-2</v>
      </c>
      <c r="M76" s="5">
        <v>-0.193799999999996</v>
      </c>
      <c r="O76" t="s">
        <v>9</v>
      </c>
      <c r="P76">
        <v>7.1284299999999998</v>
      </c>
    </row>
    <row r="77" spans="1:16">
      <c r="A77" t="s">
        <v>2</v>
      </c>
      <c r="B77" s="4">
        <v>46311.616545474535</v>
      </c>
      <c r="C77" s="5">
        <v>375.04699999999872</v>
      </c>
      <c r="D77" s="5">
        <v>6.2507833333333114</v>
      </c>
      <c r="E77" s="5">
        <v>76</v>
      </c>
      <c r="F77" s="5">
        <v>1079537</v>
      </c>
      <c r="G77" s="5">
        <v>389.48</v>
      </c>
      <c r="H77" s="5">
        <v>0.57279999999999998</v>
      </c>
      <c r="I77" s="5">
        <v>1.9036169999999999</v>
      </c>
      <c r="J77" s="5">
        <v>5.2007700000000003</v>
      </c>
      <c r="K77" s="5">
        <v>-2.2056800000000001</v>
      </c>
      <c r="L77" s="5">
        <v>-3.3459999999999823E-2</v>
      </c>
      <c r="M77" s="5">
        <v>-0.40151999999999788</v>
      </c>
      <c r="O77" t="s">
        <v>10</v>
      </c>
      <c r="P77">
        <v>3.8003</v>
      </c>
    </row>
    <row r="78" spans="1:16">
      <c r="A78" t="s">
        <v>2</v>
      </c>
      <c r="B78" s="4">
        <v>46311.616603240742</v>
      </c>
      <c r="C78" s="5">
        <v>380.04699999999872</v>
      </c>
      <c r="D78" s="5">
        <v>6.3341166666666444</v>
      </c>
      <c r="E78" s="5">
        <v>77</v>
      </c>
      <c r="F78" s="5">
        <v>1084537</v>
      </c>
      <c r="G78" s="5">
        <v>390.12</v>
      </c>
      <c r="H78" s="5">
        <v>0.33069999999999999</v>
      </c>
      <c r="I78" s="5">
        <v>1.9067449999999999</v>
      </c>
      <c r="J78" s="5">
        <v>5.1823100000000002</v>
      </c>
      <c r="K78" s="5">
        <v>-2.2241399999999998</v>
      </c>
      <c r="L78" s="5">
        <v>-1.8460000000000139E-2</v>
      </c>
      <c r="M78" s="5">
        <v>-0.22152000000000169</v>
      </c>
      <c r="O78" t="s">
        <v>90</v>
      </c>
      <c r="P78">
        <v>-3.3281299999999998</v>
      </c>
    </row>
    <row r="79" spans="1:16">
      <c r="A79" t="s">
        <v>2</v>
      </c>
      <c r="B79" s="4">
        <v>46311.616661018517</v>
      </c>
      <c r="C79" s="5">
        <v>385.0309999999954</v>
      </c>
      <c r="D79" s="5">
        <v>6.4171833333332566</v>
      </c>
      <c r="E79" s="5">
        <v>78</v>
      </c>
      <c r="F79" s="5">
        <v>1089537</v>
      </c>
      <c r="G79" s="5">
        <v>391.28</v>
      </c>
      <c r="H79" s="5">
        <v>0.45069999999999999</v>
      </c>
      <c r="I79" s="5">
        <v>1.9124140000000001</v>
      </c>
      <c r="J79" s="5">
        <v>5.14886</v>
      </c>
      <c r="K79" s="5">
        <v>-2.25759</v>
      </c>
      <c r="L79" s="5">
        <v>-3.3450000000000202E-2</v>
      </c>
      <c r="M79" s="5">
        <v>-0.40268860353156588</v>
      </c>
      <c r="O79" t="s">
        <v>91</v>
      </c>
      <c r="P79">
        <v>3.78992</v>
      </c>
    </row>
    <row r="80" spans="1:16">
      <c r="A80" t="s">
        <v>2</v>
      </c>
      <c r="B80" s="4">
        <v>46311.616718981481</v>
      </c>
      <c r="C80" s="5">
        <v>390.0309999999954</v>
      </c>
      <c r="D80" s="5">
        <v>6.5005166666665897</v>
      </c>
      <c r="E80" s="5">
        <v>79</v>
      </c>
      <c r="F80" s="5">
        <v>1094537</v>
      </c>
      <c r="G80" s="5">
        <v>392.28</v>
      </c>
      <c r="H80" s="5">
        <v>0.45069999999999999</v>
      </c>
      <c r="I80" s="5">
        <v>1.9173020000000001</v>
      </c>
      <c r="J80" s="5">
        <v>5.1200200000000002</v>
      </c>
      <c r="K80" s="5">
        <v>-2.2864300000000002</v>
      </c>
      <c r="L80" s="5">
        <v>-2.8839999999999751E-2</v>
      </c>
      <c r="M80" s="5">
        <v>-0.34607999999999711</v>
      </c>
      <c r="O80" t="s">
        <v>92</v>
      </c>
      <c r="P80">
        <v>7.1330499999999999</v>
      </c>
    </row>
    <row r="81" spans="1:16">
      <c r="A81" t="s">
        <v>2</v>
      </c>
      <c r="B81" s="4">
        <v>46311.616776759256</v>
      </c>
      <c r="C81" s="5">
        <v>395.0309999999954</v>
      </c>
      <c r="D81" s="5">
        <v>6.5838499999999236</v>
      </c>
      <c r="E81" s="5">
        <v>80</v>
      </c>
      <c r="F81" s="5">
        <v>1099537</v>
      </c>
      <c r="G81" s="5">
        <v>392.8</v>
      </c>
      <c r="H81" s="5">
        <v>0.41460000000000002</v>
      </c>
      <c r="I81" s="5">
        <v>1.9198440000000001</v>
      </c>
      <c r="J81" s="5">
        <v>5.1050199999999997</v>
      </c>
      <c r="K81" s="5">
        <v>-2.3014300000000012</v>
      </c>
      <c r="L81" s="5">
        <v>-1.500000000000057E-2</v>
      </c>
      <c r="M81" s="5">
        <v>-0.18000000000000679</v>
      </c>
      <c r="O81" t="s">
        <v>93</v>
      </c>
      <c r="P81">
        <v>4.601166008230452</v>
      </c>
    </row>
    <row r="82" spans="1:16">
      <c r="A82" t="s">
        <v>2</v>
      </c>
      <c r="B82" s="4">
        <v>46311.616834525463</v>
      </c>
      <c r="C82" s="5">
        <v>400.01499999999942</v>
      </c>
      <c r="D82" s="5">
        <v>6.6669166666666566</v>
      </c>
      <c r="E82" s="5">
        <v>81</v>
      </c>
      <c r="F82" s="5">
        <v>1104537</v>
      </c>
      <c r="G82" s="5">
        <v>394.04</v>
      </c>
      <c r="H82" s="5">
        <v>0.51539999999999997</v>
      </c>
      <c r="I82" s="5">
        <v>1.9259040000000001</v>
      </c>
      <c r="J82" s="5">
        <v>5.0692599999999999</v>
      </c>
      <c r="K82" s="5">
        <v>-2.337190000000001</v>
      </c>
      <c r="L82" s="5">
        <v>-3.5759999999999792E-2</v>
      </c>
      <c r="M82" s="5">
        <v>-0.43049759229499568</v>
      </c>
      <c r="O82" t="s">
        <v>94</v>
      </c>
      <c r="P82">
        <v>0.95154513634366766</v>
      </c>
    </row>
    <row r="83" spans="1:16">
      <c r="A83" t="s">
        <v>2</v>
      </c>
      <c r="B83" s="4">
        <v>46311.616892488426</v>
      </c>
      <c r="C83" s="5">
        <v>405.0309999999954</v>
      </c>
      <c r="D83" s="5">
        <v>6.7505166666665897</v>
      </c>
      <c r="E83" s="5">
        <v>82</v>
      </c>
      <c r="F83" s="5">
        <v>1109537</v>
      </c>
      <c r="G83" s="5">
        <v>395.08</v>
      </c>
      <c r="H83" s="5">
        <v>0.48409999999999997</v>
      </c>
      <c r="I83" s="5">
        <v>1.930987</v>
      </c>
      <c r="J83" s="5">
        <v>5.0392700000000001</v>
      </c>
      <c r="K83" s="5">
        <v>-2.3671799999999998</v>
      </c>
      <c r="L83" s="5">
        <v>-2.9989999999999739E-2</v>
      </c>
      <c r="M83" s="5">
        <v>-0.35873205741655212</v>
      </c>
      <c r="O83" t="s">
        <v>95</v>
      </c>
      <c r="P83">
        <v>-0.1418791353834192</v>
      </c>
    </row>
    <row r="84" spans="1:16">
      <c r="A84" t="s">
        <v>2</v>
      </c>
      <c r="B84" s="4">
        <v>46311.616950266201</v>
      </c>
      <c r="C84" s="5">
        <v>410.01499999999942</v>
      </c>
      <c r="D84" s="5">
        <v>6.8335833333333236</v>
      </c>
      <c r="E84" s="5">
        <v>83</v>
      </c>
      <c r="F84" s="5">
        <v>1114536</v>
      </c>
      <c r="G84" s="5">
        <v>395.6</v>
      </c>
      <c r="H84" s="5">
        <v>0.57279999999999998</v>
      </c>
      <c r="I84" s="5">
        <v>1.9335290000000001</v>
      </c>
      <c r="J84" s="5">
        <v>5.0242699999999996</v>
      </c>
      <c r="K84" s="5">
        <v>-2.3821800000000009</v>
      </c>
      <c r="L84" s="5">
        <v>-1.500000000000057E-2</v>
      </c>
      <c r="M84" s="5">
        <v>-0.18057784911703631</v>
      </c>
      <c r="O84" t="s">
        <v>96</v>
      </c>
      <c r="P84">
        <v>-2.8839940000000001E-2</v>
      </c>
    </row>
    <row r="85" spans="1:16">
      <c r="A85" t="s">
        <v>2</v>
      </c>
      <c r="B85" s="4">
        <v>46311.617008032408</v>
      </c>
      <c r="C85" s="5">
        <v>415.01499999999942</v>
      </c>
      <c r="D85" s="5">
        <v>6.9169166666666566</v>
      </c>
      <c r="E85" s="5">
        <v>84</v>
      </c>
      <c r="F85" s="5">
        <v>1119537</v>
      </c>
      <c r="G85" s="5">
        <v>396.88</v>
      </c>
      <c r="H85" s="5">
        <v>0.58630000000000004</v>
      </c>
      <c r="I85" s="5">
        <v>1.9397850000000001</v>
      </c>
      <c r="J85" s="5">
        <v>4.9873599999999998</v>
      </c>
      <c r="K85" s="5">
        <v>-2.4190900000000011</v>
      </c>
      <c r="L85" s="5">
        <v>-3.6909999999999783E-2</v>
      </c>
      <c r="M85" s="5">
        <v>-0.44291999999999732</v>
      </c>
      <c r="O85" t="s">
        <v>97</v>
      </c>
      <c r="P85">
        <v>16.433351510000001</v>
      </c>
    </row>
    <row r="86" spans="1:16">
      <c r="A86" t="s">
        <v>2</v>
      </c>
      <c r="B86" s="4">
        <v>46311.617065983795</v>
      </c>
      <c r="C86" s="5">
        <v>420.01499999999942</v>
      </c>
      <c r="D86" s="5">
        <v>7.0002499999999914</v>
      </c>
      <c r="E86" s="5">
        <v>85</v>
      </c>
      <c r="F86" s="5">
        <v>1124537</v>
      </c>
      <c r="G86" s="5">
        <v>397.6</v>
      </c>
      <c r="H86" s="5">
        <v>0.48409999999999997</v>
      </c>
      <c r="I86" s="5">
        <v>1.9433039999999999</v>
      </c>
      <c r="J86" s="5">
        <v>4.9665900000000001</v>
      </c>
      <c r="K86" s="5">
        <v>-2.4398599999999999</v>
      </c>
      <c r="L86" s="5">
        <v>-2.076999999999973E-2</v>
      </c>
      <c r="M86" s="5">
        <v>-0.2492399999999968</v>
      </c>
      <c r="O86" t="s">
        <v>98</v>
      </c>
      <c r="P86">
        <v>0.999977</v>
      </c>
    </row>
    <row r="87" spans="1:16">
      <c r="A87" t="s">
        <v>2</v>
      </c>
      <c r="B87" s="4">
        <v>46311.617123773147</v>
      </c>
      <c r="C87" s="5">
        <v>425.01499999999942</v>
      </c>
      <c r="D87" s="5">
        <v>7.0835833333333236</v>
      </c>
      <c r="E87" s="5">
        <v>86</v>
      </c>
      <c r="F87" s="5">
        <v>1129537</v>
      </c>
      <c r="G87" s="5">
        <v>398.16</v>
      </c>
      <c r="H87" s="5">
        <v>0.35360000000000003</v>
      </c>
      <c r="I87" s="5">
        <v>1.9460409999999999</v>
      </c>
      <c r="J87" s="5">
        <v>4.9504400000000004</v>
      </c>
      <c r="K87" s="5">
        <v>-2.45601</v>
      </c>
      <c r="L87" s="5">
        <v>-1.6149999999999661E-2</v>
      </c>
      <c r="M87" s="5">
        <v>-0.193799999999996</v>
      </c>
      <c r="O87" t="s">
        <v>99</v>
      </c>
      <c r="P87">
        <v>3</v>
      </c>
    </row>
    <row r="88" spans="1:16">
      <c r="A88" t="s">
        <v>2</v>
      </c>
      <c r="B88" s="4">
        <v>46311.617181539354</v>
      </c>
      <c r="C88" s="5">
        <v>430</v>
      </c>
      <c r="D88" s="5">
        <v>7.166666666666667</v>
      </c>
      <c r="E88" s="5">
        <v>87</v>
      </c>
      <c r="F88" s="5">
        <v>1134537</v>
      </c>
      <c r="G88" s="5">
        <v>399.48</v>
      </c>
      <c r="H88" s="5">
        <v>0.48409999999999997</v>
      </c>
      <c r="I88" s="5">
        <v>1.952493</v>
      </c>
      <c r="J88" s="5">
        <v>4.9123700000000001</v>
      </c>
      <c r="K88" s="5">
        <v>-2.4940799999999999</v>
      </c>
      <c r="L88" s="5">
        <v>-3.807000000000027E-2</v>
      </c>
      <c r="M88" s="5">
        <v>-0.45821464393174521</v>
      </c>
    </row>
    <row r="89" spans="1:16">
      <c r="A89" t="s">
        <v>2</v>
      </c>
      <c r="B89" s="4">
        <v>46311.617239513886</v>
      </c>
      <c r="C89" s="5">
        <v>435.01499999999942</v>
      </c>
      <c r="D89" s="5">
        <v>7.2502499999999914</v>
      </c>
      <c r="E89" s="5">
        <v>88</v>
      </c>
      <c r="F89" s="5">
        <v>1139537</v>
      </c>
      <c r="G89" s="5">
        <v>399.96</v>
      </c>
      <c r="H89" s="5">
        <v>0.2165</v>
      </c>
      <c r="I89" s="5">
        <v>1.954839</v>
      </c>
      <c r="J89" s="5">
        <v>4.8985300000000001</v>
      </c>
      <c r="K89" s="5">
        <v>-2.5079199999999999</v>
      </c>
      <c r="L89" s="5">
        <v>-1.3840000000000069E-2</v>
      </c>
      <c r="M89" s="5">
        <v>-0.1655832502492724</v>
      </c>
      <c r="O89" t="s">
        <v>102</v>
      </c>
      <c r="P89" t="s">
        <v>103</v>
      </c>
    </row>
    <row r="90" spans="1:16">
      <c r="A90" t="s">
        <v>2</v>
      </c>
      <c r="B90" s="4">
        <v>46311.617297268516</v>
      </c>
      <c r="C90" s="5">
        <v>440</v>
      </c>
      <c r="D90" s="5">
        <v>7.333333333333333</v>
      </c>
      <c r="E90" s="5">
        <v>89</v>
      </c>
      <c r="F90" s="5">
        <v>1144537</v>
      </c>
      <c r="G90" s="5">
        <v>400.72</v>
      </c>
      <c r="H90" s="5">
        <v>0.59950000000000003</v>
      </c>
      <c r="I90" s="5">
        <v>1.958553</v>
      </c>
      <c r="J90" s="5">
        <v>4.8766100000000003</v>
      </c>
      <c r="K90" s="5">
        <v>-2.5298400000000001</v>
      </c>
      <c r="L90" s="5">
        <v>-2.1919999999999721E-2</v>
      </c>
      <c r="M90" s="5">
        <v>-0.26383149448341608</v>
      </c>
    </row>
    <row r="91" spans="1:16">
      <c r="A91" t="s">
        <v>2</v>
      </c>
      <c r="B91" s="4">
        <v>46311.617355046299</v>
      </c>
      <c r="C91" s="5">
        <v>445</v>
      </c>
      <c r="D91" s="5">
        <v>7.416666666666667</v>
      </c>
      <c r="E91" s="5">
        <v>90</v>
      </c>
      <c r="F91" s="5">
        <v>1149537</v>
      </c>
      <c r="G91" s="5">
        <v>401.8</v>
      </c>
      <c r="H91" s="5">
        <v>0.57279999999999998</v>
      </c>
      <c r="I91" s="5">
        <v>1.963832</v>
      </c>
      <c r="J91" s="5">
        <v>4.8454600000000001</v>
      </c>
      <c r="K91" s="5">
        <v>-2.5609899999999999</v>
      </c>
      <c r="L91" s="5">
        <v>-3.115000000000023E-2</v>
      </c>
      <c r="M91" s="5">
        <v>-0.3738000000000028</v>
      </c>
    </row>
    <row r="92" spans="1:16">
      <c r="A92" t="s">
        <v>2</v>
      </c>
      <c r="B92" s="4">
        <v>46311.617413009262</v>
      </c>
      <c r="C92" s="5">
        <v>450</v>
      </c>
      <c r="D92" s="5">
        <v>7.5</v>
      </c>
      <c r="E92" s="5">
        <v>91</v>
      </c>
      <c r="F92" s="5">
        <v>1154537</v>
      </c>
      <c r="G92" s="5">
        <v>401.96</v>
      </c>
      <c r="H92" s="5">
        <v>0.4677</v>
      </c>
      <c r="I92" s="5">
        <v>1.9646140000000001</v>
      </c>
      <c r="J92" s="5">
        <v>4.8408499999999997</v>
      </c>
      <c r="K92" s="5">
        <v>-2.5656000000000012</v>
      </c>
      <c r="L92" s="5">
        <v>-4.6100000000004471E-3</v>
      </c>
      <c r="M92" s="5">
        <v>-5.5320000000005358E-2</v>
      </c>
    </row>
    <row r="93" spans="1:16">
      <c r="A93" t="s">
        <v>2</v>
      </c>
      <c r="B93" s="4">
        <v>46311.617470775462</v>
      </c>
      <c r="C93" s="5">
        <v>455</v>
      </c>
      <c r="D93" s="5">
        <v>7.583333333333333</v>
      </c>
      <c r="E93" s="5">
        <v>92</v>
      </c>
      <c r="F93" s="5">
        <v>1159537</v>
      </c>
      <c r="G93" s="5">
        <v>402.64</v>
      </c>
      <c r="H93" s="5">
        <v>0.4677</v>
      </c>
      <c r="I93" s="5">
        <v>1.967937</v>
      </c>
      <c r="J93" s="5">
        <v>4.8212400000000004</v>
      </c>
      <c r="K93" s="5">
        <v>-2.58521</v>
      </c>
      <c r="L93" s="5">
        <v>-1.9609999999999239E-2</v>
      </c>
      <c r="M93" s="5">
        <v>-0.2353199999999909</v>
      </c>
    </row>
    <row r="94" spans="1:16">
      <c r="A94" t="s">
        <v>2</v>
      </c>
      <c r="B94" s="4">
        <v>46311.617528553237</v>
      </c>
      <c r="C94" s="5">
        <v>459.98399999999668</v>
      </c>
      <c r="D94" s="5">
        <v>7.6663999999999453</v>
      </c>
      <c r="E94" s="5">
        <v>93</v>
      </c>
      <c r="F94" s="5">
        <v>1164537</v>
      </c>
      <c r="G94" s="5">
        <v>403.68</v>
      </c>
      <c r="H94" s="5">
        <v>0.48409999999999997</v>
      </c>
      <c r="I94" s="5">
        <v>1.97302</v>
      </c>
      <c r="J94" s="5">
        <v>4.7912400000000002</v>
      </c>
      <c r="K94" s="5">
        <v>-2.6152099999999998</v>
      </c>
      <c r="L94" s="5">
        <v>-3.0000000000000249E-2</v>
      </c>
      <c r="M94" s="5">
        <v>-0.3611556982345891</v>
      </c>
    </row>
    <row r="95" spans="1:16">
      <c r="A95" t="s">
        <v>2</v>
      </c>
      <c r="B95" s="4">
        <v>46311.61758633102</v>
      </c>
      <c r="C95" s="5">
        <v>464.98399999999668</v>
      </c>
      <c r="D95" s="5">
        <v>7.7497333333332792</v>
      </c>
      <c r="E95" s="5">
        <v>94</v>
      </c>
      <c r="F95" s="5">
        <v>1169537</v>
      </c>
      <c r="G95" s="5">
        <v>404.08</v>
      </c>
      <c r="H95" s="5">
        <v>0.27950000000000003</v>
      </c>
      <c r="I95" s="5">
        <v>1.9749749999999999</v>
      </c>
      <c r="J95" s="5">
        <v>4.7797099999999997</v>
      </c>
      <c r="K95" s="5">
        <v>-2.6267400000000012</v>
      </c>
      <c r="L95" s="5">
        <v>-1.1530000000000481E-2</v>
      </c>
      <c r="M95" s="5">
        <v>-0.13836000000000581</v>
      </c>
    </row>
    <row r="96" spans="1:16">
      <c r="A96" t="s">
        <v>2</v>
      </c>
      <c r="B96" s="4">
        <v>46311.617644293983</v>
      </c>
      <c r="C96" s="5">
        <v>469.98399999999668</v>
      </c>
      <c r="D96" s="5">
        <v>7.8330666666666122</v>
      </c>
      <c r="E96" s="5">
        <v>95</v>
      </c>
      <c r="F96" s="5">
        <v>1174537</v>
      </c>
      <c r="G96" s="5">
        <v>404.92</v>
      </c>
      <c r="H96" s="5">
        <v>0.375</v>
      </c>
      <c r="I96" s="5">
        <v>1.9790810000000001</v>
      </c>
      <c r="J96" s="5">
        <v>4.7554800000000004</v>
      </c>
      <c r="K96" s="5">
        <v>-2.65097</v>
      </c>
      <c r="L96" s="5">
        <v>-2.4229999999999311E-2</v>
      </c>
      <c r="M96" s="5">
        <v>-0.29075999999999169</v>
      </c>
    </row>
    <row r="97" spans="1:13">
      <c r="A97" t="s">
        <v>2</v>
      </c>
      <c r="B97" s="4">
        <v>46311.617702071759</v>
      </c>
      <c r="C97" s="5">
        <v>474.98399999999668</v>
      </c>
      <c r="D97" s="5">
        <v>7.9163999999999453</v>
      </c>
      <c r="E97" s="5">
        <v>96</v>
      </c>
      <c r="F97" s="5">
        <v>1179537</v>
      </c>
      <c r="G97" s="5">
        <v>405.68</v>
      </c>
      <c r="H97" s="5">
        <v>0.55900000000000005</v>
      </c>
      <c r="I97" s="5">
        <v>1.982796</v>
      </c>
      <c r="J97" s="5">
        <v>4.7335599999999998</v>
      </c>
      <c r="K97" s="5">
        <v>-2.6728900000000011</v>
      </c>
      <c r="L97" s="5">
        <v>-2.1920000000000609E-2</v>
      </c>
      <c r="M97" s="5">
        <v>-0.26304000000000732</v>
      </c>
    </row>
    <row r="98" spans="1:13">
      <c r="A98" t="s">
        <v>2</v>
      </c>
      <c r="B98" s="4">
        <v>46311.617759849534</v>
      </c>
      <c r="C98" s="5">
        <v>479.96899999999732</v>
      </c>
      <c r="D98" s="5">
        <v>7.9994833333332886</v>
      </c>
      <c r="E98" s="5">
        <v>97</v>
      </c>
      <c r="F98" s="5">
        <v>1184537</v>
      </c>
      <c r="G98" s="5">
        <v>406.32</v>
      </c>
      <c r="H98" s="5">
        <v>0.59950000000000003</v>
      </c>
      <c r="I98" s="5">
        <v>1.985924</v>
      </c>
      <c r="J98" s="5">
        <v>4.7151100000000001</v>
      </c>
      <c r="K98" s="5">
        <v>-2.6913399999999998</v>
      </c>
      <c r="L98" s="5">
        <v>-1.844999999999963E-2</v>
      </c>
      <c r="M98" s="5">
        <v>-0.22206619859575699</v>
      </c>
    </row>
    <row r="99" spans="1:13">
      <c r="A99" t="s">
        <v>2</v>
      </c>
      <c r="B99" s="4">
        <v>46311.617817800929</v>
      </c>
      <c r="C99" s="5">
        <v>484.98399999999668</v>
      </c>
      <c r="D99" s="5">
        <v>8.0830666666666122</v>
      </c>
      <c r="E99" s="5">
        <v>98</v>
      </c>
      <c r="F99" s="5">
        <v>1189537</v>
      </c>
      <c r="G99" s="5">
        <v>406.88</v>
      </c>
      <c r="H99" s="5">
        <v>0.5</v>
      </c>
      <c r="I99" s="5">
        <v>1.988661</v>
      </c>
      <c r="J99" s="5">
        <v>4.6989599999999996</v>
      </c>
      <c r="K99" s="5">
        <v>-2.7074900000000008</v>
      </c>
      <c r="L99" s="5">
        <v>-1.6150000000000549E-2</v>
      </c>
      <c r="M99" s="5">
        <v>-0.19322033898307989</v>
      </c>
    </row>
    <row r="100" spans="1:13">
      <c r="A100" t="s">
        <v>2</v>
      </c>
      <c r="B100" s="4">
        <v>46311.617875578704</v>
      </c>
      <c r="C100" s="5">
        <v>489.96899999999732</v>
      </c>
      <c r="D100" s="5">
        <v>8.1661499999999556</v>
      </c>
      <c r="E100" s="5">
        <v>99</v>
      </c>
      <c r="F100" s="5">
        <v>1194536</v>
      </c>
      <c r="G100" s="5">
        <v>407.56</v>
      </c>
      <c r="H100" s="5">
        <v>0.5</v>
      </c>
      <c r="I100" s="5">
        <v>1.991984</v>
      </c>
      <c r="J100" s="5">
        <v>4.6793399999999998</v>
      </c>
      <c r="K100" s="5">
        <v>-2.727110000000001</v>
      </c>
      <c r="L100" s="5">
        <v>-1.9619999999999749E-2</v>
      </c>
      <c r="M100" s="5">
        <v>-0.23614844533597751</v>
      </c>
    </row>
    <row r="101" spans="1:13">
      <c r="A101" t="s">
        <v>2</v>
      </c>
      <c r="B101" s="4">
        <v>46311.61793335648</v>
      </c>
      <c r="C101" s="5">
        <v>494.95299999999412</v>
      </c>
      <c r="D101" s="5">
        <v>8.2492166666665678</v>
      </c>
      <c r="E101" s="5">
        <v>100</v>
      </c>
      <c r="F101" s="5">
        <v>1199538</v>
      </c>
      <c r="G101" s="5">
        <v>407.96</v>
      </c>
      <c r="H101" s="5">
        <v>0.59950000000000003</v>
      </c>
      <c r="I101" s="5">
        <v>1.9939389999999999</v>
      </c>
      <c r="J101" s="5">
        <v>4.6678100000000002</v>
      </c>
      <c r="K101" s="5">
        <v>-2.7386400000000002</v>
      </c>
      <c r="L101" s="5">
        <v>-1.15299999999996E-2</v>
      </c>
      <c r="M101" s="5">
        <v>-0.13880417335482109</v>
      </c>
    </row>
    <row r="102" spans="1:13">
      <c r="A102" t="s">
        <v>2</v>
      </c>
      <c r="B102" s="4">
        <v>46311.617991319443</v>
      </c>
      <c r="C102" s="5">
        <v>499.96899999999732</v>
      </c>
      <c r="D102" s="5">
        <v>8.3328166666666217</v>
      </c>
      <c r="E102" s="5">
        <v>101</v>
      </c>
      <c r="F102" s="5">
        <v>1204537</v>
      </c>
      <c r="G102" s="5">
        <v>408.88</v>
      </c>
      <c r="H102" s="5">
        <v>0.30620000000000003</v>
      </c>
      <c r="I102" s="5">
        <v>1.9984360000000001</v>
      </c>
      <c r="J102" s="5">
        <v>4.6412800000000001</v>
      </c>
      <c r="K102" s="5">
        <v>-2.7651699999999999</v>
      </c>
      <c r="L102" s="5">
        <v>-2.6530000000000161E-2</v>
      </c>
      <c r="M102" s="5">
        <v>-0.31734449760745131</v>
      </c>
    </row>
    <row r="103" spans="1:13">
      <c r="A103" t="s">
        <v>2</v>
      </c>
      <c r="B103" s="4">
        <v>46311.61804908565</v>
      </c>
      <c r="C103" s="5">
        <v>504.95299999999412</v>
      </c>
      <c r="D103" s="5">
        <v>8.4158833333332339</v>
      </c>
      <c r="E103" s="5">
        <v>102</v>
      </c>
      <c r="F103" s="5">
        <v>1209538</v>
      </c>
      <c r="G103" s="5">
        <v>409.08</v>
      </c>
      <c r="H103" s="5">
        <v>0.57279999999999998</v>
      </c>
      <c r="I103" s="5">
        <v>1.9994130000000001</v>
      </c>
      <c r="J103" s="5">
        <v>4.63551</v>
      </c>
      <c r="K103" s="5">
        <v>-2.77094</v>
      </c>
      <c r="L103" s="5">
        <v>-5.7700000000000529E-3</v>
      </c>
      <c r="M103" s="5">
        <v>-6.9462279293786025E-2</v>
      </c>
    </row>
    <row r="104" spans="1:13">
      <c r="A104" t="s">
        <v>2</v>
      </c>
      <c r="B104" s="4">
        <v>46311.618106851849</v>
      </c>
      <c r="C104" s="5">
        <v>509.95299999999412</v>
      </c>
      <c r="D104" s="5">
        <v>8.4992166666665678</v>
      </c>
      <c r="E104" s="5">
        <v>103</v>
      </c>
      <c r="F104" s="5">
        <v>1214538</v>
      </c>
      <c r="G104" s="5">
        <v>409.76</v>
      </c>
      <c r="H104" s="5">
        <v>0.41460000000000002</v>
      </c>
      <c r="I104" s="5">
        <v>2.0027370000000002</v>
      </c>
      <c r="J104" s="5">
        <v>4.6158999999999999</v>
      </c>
      <c r="K104" s="5">
        <v>-2.790550000000001</v>
      </c>
      <c r="L104" s="5">
        <v>-1.9610000000000131E-2</v>
      </c>
      <c r="M104" s="5">
        <v>-0.2353200000000015</v>
      </c>
    </row>
    <row r="105" spans="1:13">
      <c r="A105" t="s">
        <v>2</v>
      </c>
      <c r="B105" s="4">
        <v>46311.618164803243</v>
      </c>
      <c r="C105" s="5">
        <v>514.95299999999406</v>
      </c>
      <c r="D105" s="5">
        <v>8.5825499999999018</v>
      </c>
      <c r="E105" s="5">
        <v>104</v>
      </c>
      <c r="F105" s="5">
        <v>1219538</v>
      </c>
      <c r="G105" s="5">
        <v>410.36</v>
      </c>
      <c r="H105" s="5">
        <v>0.57279999999999998</v>
      </c>
      <c r="I105" s="5">
        <v>2.0056690000000001</v>
      </c>
      <c r="J105" s="5">
        <v>4.5985899999999997</v>
      </c>
      <c r="K105" s="5">
        <v>-2.8078600000000011</v>
      </c>
      <c r="L105" s="5">
        <v>-1.7310000000000159E-2</v>
      </c>
      <c r="M105" s="5">
        <v>-0.2077200000000019</v>
      </c>
    </row>
    <row r="106" spans="1:13">
      <c r="A106" t="s">
        <v>2</v>
      </c>
      <c r="B106" s="4">
        <v>46311.618222592595</v>
      </c>
      <c r="C106" s="5">
        <v>519.95299999999406</v>
      </c>
      <c r="D106" s="5">
        <v>8.6658833333332339</v>
      </c>
      <c r="E106" s="5">
        <v>105</v>
      </c>
      <c r="F106" s="5">
        <v>1224538</v>
      </c>
      <c r="G106" s="5">
        <v>410.48</v>
      </c>
      <c r="H106" s="5">
        <v>0.48409999999999997</v>
      </c>
      <c r="I106" s="5">
        <v>2.006256</v>
      </c>
      <c r="J106" s="5">
        <v>4.5951300000000002</v>
      </c>
      <c r="K106" s="5">
        <v>-2.8113199999999998</v>
      </c>
      <c r="L106" s="5">
        <v>-3.459999999999575E-3</v>
      </c>
      <c r="M106" s="5">
        <v>-4.1519999999994887E-2</v>
      </c>
    </row>
    <row r="107" spans="1:13">
      <c r="A107" t="s">
        <v>2</v>
      </c>
      <c r="B107" s="4">
        <v>46311.618280358794</v>
      </c>
      <c r="C107" s="5">
        <v>524.93699999999808</v>
      </c>
      <c r="D107" s="5">
        <v>8.7489499999999687</v>
      </c>
      <c r="E107" s="5">
        <v>106</v>
      </c>
      <c r="F107" s="5">
        <v>1229538</v>
      </c>
      <c r="G107" s="5">
        <v>411.64</v>
      </c>
      <c r="H107" s="5">
        <v>0.4677</v>
      </c>
      <c r="I107" s="5">
        <v>2.0119259999999999</v>
      </c>
      <c r="J107" s="5">
        <v>4.56168</v>
      </c>
      <c r="K107" s="5">
        <v>-2.84477</v>
      </c>
      <c r="L107" s="5">
        <v>-3.3450000000000202E-2</v>
      </c>
      <c r="M107" s="5">
        <v>-0.40268860353097807</v>
      </c>
    </row>
    <row r="108" spans="1:13">
      <c r="A108" t="s">
        <v>2</v>
      </c>
      <c r="B108" s="4">
        <v>46311.618338321758</v>
      </c>
      <c r="C108" s="5">
        <v>529.95299999999406</v>
      </c>
      <c r="D108" s="5">
        <v>8.8325499999999018</v>
      </c>
      <c r="E108" s="5">
        <v>107</v>
      </c>
      <c r="F108" s="5">
        <v>1234538</v>
      </c>
      <c r="G108" s="5">
        <v>411.88</v>
      </c>
      <c r="H108" s="5">
        <v>0.41460000000000002</v>
      </c>
      <c r="I108" s="5">
        <v>2.013099</v>
      </c>
      <c r="J108" s="5">
        <v>4.5547599999999999</v>
      </c>
      <c r="K108" s="5">
        <v>-2.8516900000000009</v>
      </c>
      <c r="L108" s="5">
        <v>-6.9200000000000372E-3</v>
      </c>
      <c r="M108" s="5">
        <v>-8.2775119617291601E-2</v>
      </c>
    </row>
    <row r="109" spans="1:13">
      <c r="A109" t="s">
        <v>2</v>
      </c>
      <c r="B109" s="4">
        <v>46311.618396087964</v>
      </c>
      <c r="C109" s="5">
        <v>534.93699999999808</v>
      </c>
      <c r="D109" s="5">
        <v>8.9156166666666348</v>
      </c>
      <c r="E109" s="5">
        <v>108</v>
      </c>
      <c r="F109" s="5">
        <v>1239538</v>
      </c>
      <c r="G109" s="5">
        <v>412</v>
      </c>
      <c r="H109" s="5">
        <v>0.48409999999999997</v>
      </c>
      <c r="I109" s="5">
        <v>2.0136850000000002</v>
      </c>
      <c r="J109" s="5">
        <v>4.5513000000000003</v>
      </c>
      <c r="K109" s="5">
        <v>-2.8551500000000001</v>
      </c>
      <c r="L109" s="5">
        <v>-3.459999999999575E-3</v>
      </c>
      <c r="M109" s="5">
        <v>-4.1653290529656342E-2</v>
      </c>
    </row>
    <row r="110" spans="1:13">
      <c r="A110" t="s">
        <v>2</v>
      </c>
      <c r="B110" s="4">
        <v>46311.61845386574</v>
      </c>
      <c r="C110" s="5">
        <v>539.93699999999808</v>
      </c>
      <c r="D110" s="5">
        <v>8.9989499999999687</v>
      </c>
      <c r="E110" s="5">
        <v>109</v>
      </c>
      <c r="F110" s="5">
        <v>1244538</v>
      </c>
      <c r="G110" s="5">
        <v>412.76</v>
      </c>
      <c r="H110" s="5">
        <v>0.41460000000000002</v>
      </c>
      <c r="I110" s="5">
        <v>2.0173999999999999</v>
      </c>
      <c r="J110" s="5">
        <v>4.5293799999999997</v>
      </c>
      <c r="K110" s="5">
        <v>-2.8770700000000011</v>
      </c>
      <c r="L110" s="5">
        <v>-2.1920000000000609E-2</v>
      </c>
      <c r="M110" s="5">
        <v>-0.26304000000000732</v>
      </c>
    </row>
    <row r="111" spans="1:13">
      <c r="A111" t="s">
        <v>2</v>
      </c>
      <c r="B111" s="4">
        <v>46311.618511828703</v>
      </c>
      <c r="C111" s="5">
        <v>544.93699999999808</v>
      </c>
      <c r="D111" s="5">
        <v>9.0822833333333008</v>
      </c>
      <c r="E111" s="5">
        <v>110</v>
      </c>
      <c r="F111" s="5">
        <v>1249538</v>
      </c>
      <c r="G111" s="5">
        <v>412.96</v>
      </c>
      <c r="H111" s="5">
        <v>0.53029999999999999</v>
      </c>
      <c r="I111" s="5">
        <v>2.0183770000000001</v>
      </c>
      <c r="J111" s="5">
        <v>4.5236099999999997</v>
      </c>
      <c r="K111" s="5">
        <v>-2.8828400000000012</v>
      </c>
      <c r="L111" s="5">
        <v>-5.7700000000000529E-3</v>
      </c>
      <c r="M111" s="5">
        <v>-6.9240000000000634E-2</v>
      </c>
    </row>
    <row r="112" spans="1:13">
      <c r="A112" t="s">
        <v>2</v>
      </c>
      <c r="B112" s="4">
        <v>46311.618569606479</v>
      </c>
      <c r="C112" s="5">
        <v>549.93699999999808</v>
      </c>
      <c r="D112" s="5">
        <v>9.1656166666666348</v>
      </c>
      <c r="E112" s="5">
        <v>111</v>
      </c>
      <c r="F112" s="5">
        <v>1254538</v>
      </c>
      <c r="G112" s="5">
        <v>413.52</v>
      </c>
      <c r="H112" s="5">
        <v>0.58630000000000004</v>
      </c>
      <c r="I112" s="5">
        <v>2.0211139999999999</v>
      </c>
      <c r="J112" s="5">
        <v>4.50746</v>
      </c>
      <c r="K112" s="5">
        <v>-2.89899</v>
      </c>
      <c r="L112" s="5">
        <v>-1.6149999999999661E-2</v>
      </c>
      <c r="M112" s="5">
        <v>-0.193799999999996</v>
      </c>
    </row>
    <row r="113" spans="1:13">
      <c r="A113" t="s">
        <v>2</v>
      </c>
      <c r="B113" s="4">
        <v>46311.618627384261</v>
      </c>
      <c r="C113" s="5">
        <v>554.92199999999866</v>
      </c>
      <c r="D113" s="5">
        <v>9.2486999999999782</v>
      </c>
      <c r="E113" s="5">
        <v>112</v>
      </c>
      <c r="F113" s="5">
        <v>1259538</v>
      </c>
      <c r="G113" s="5">
        <v>414.2</v>
      </c>
      <c r="H113" s="5">
        <v>0.54490000000000005</v>
      </c>
      <c r="I113" s="5">
        <v>2.024438</v>
      </c>
      <c r="J113" s="5">
        <v>4.4878499999999999</v>
      </c>
      <c r="K113" s="5">
        <v>-2.918600000000001</v>
      </c>
      <c r="L113" s="5">
        <v>-1.9610000000000131E-2</v>
      </c>
      <c r="M113" s="5">
        <v>-0.23602808425273231</v>
      </c>
    </row>
    <row r="114" spans="1:13">
      <c r="A114" t="s">
        <v>2</v>
      </c>
      <c r="B114" s="4">
        <v>46311.618685324072</v>
      </c>
      <c r="C114" s="5">
        <v>559.93699999999808</v>
      </c>
      <c r="D114" s="5">
        <v>9.3322833333333008</v>
      </c>
      <c r="E114" s="5">
        <v>113</v>
      </c>
      <c r="F114" s="5">
        <v>1264538</v>
      </c>
      <c r="G114" s="5">
        <v>414.44</v>
      </c>
      <c r="H114" s="5">
        <v>0.63739999999999997</v>
      </c>
      <c r="I114" s="5">
        <v>2.0256110000000001</v>
      </c>
      <c r="J114" s="5">
        <v>4.4809299999999999</v>
      </c>
      <c r="K114" s="5">
        <v>-2.925520000000001</v>
      </c>
      <c r="L114" s="5">
        <v>-6.9200000000000372E-3</v>
      </c>
      <c r="M114" s="5">
        <v>-8.2791625124636184E-2</v>
      </c>
    </row>
    <row r="115" spans="1:13">
      <c r="A115" t="s">
        <v>2</v>
      </c>
      <c r="B115" s="4">
        <v>46311.618743101855</v>
      </c>
      <c r="C115" s="5">
        <v>564.92199999999866</v>
      </c>
      <c r="D115" s="5">
        <v>9.4153666666666442</v>
      </c>
      <c r="E115" s="5">
        <v>114</v>
      </c>
      <c r="F115" s="5">
        <v>1269538</v>
      </c>
      <c r="G115" s="5">
        <v>414.76</v>
      </c>
      <c r="H115" s="5">
        <v>0.433</v>
      </c>
      <c r="I115" s="5">
        <v>2.0271750000000002</v>
      </c>
      <c r="J115" s="5">
        <v>4.4717000000000002</v>
      </c>
      <c r="K115" s="5">
        <v>-2.9347500000000002</v>
      </c>
      <c r="L115" s="5">
        <v>-9.2299999999996274E-3</v>
      </c>
      <c r="M115" s="5">
        <v>-0.1110932798395011</v>
      </c>
    </row>
    <row r="116" spans="1:13">
      <c r="A116" t="s">
        <v>2</v>
      </c>
      <c r="B116" s="4">
        <v>46311.618800891207</v>
      </c>
      <c r="C116" s="5">
        <v>569.92199999999866</v>
      </c>
      <c r="D116" s="5">
        <v>9.4986999999999782</v>
      </c>
      <c r="E116" s="5">
        <v>115</v>
      </c>
      <c r="F116" s="5">
        <v>1274537</v>
      </c>
      <c r="G116" s="5">
        <v>415.4</v>
      </c>
      <c r="H116" s="5">
        <v>0.69599999999999995</v>
      </c>
      <c r="I116" s="5">
        <v>2.030303</v>
      </c>
      <c r="J116" s="5">
        <v>4.4532400000000001</v>
      </c>
      <c r="K116" s="5">
        <v>-2.9532099999999999</v>
      </c>
      <c r="L116" s="5">
        <v>-1.8460000000000139E-2</v>
      </c>
      <c r="M116" s="5">
        <v>-0.22152000000000169</v>
      </c>
    </row>
    <row r="117" spans="1:13">
      <c r="A117" t="s">
        <v>2</v>
      </c>
      <c r="B117" s="4">
        <v>46311.618858831018</v>
      </c>
      <c r="C117" s="5">
        <v>574.92199999999866</v>
      </c>
      <c r="D117" s="5">
        <v>9.5820333333333103</v>
      </c>
      <c r="E117" s="5">
        <v>116</v>
      </c>
      <c r="F117" s="5">
        <v>1279538</v>
      </c>
      <c r="G117" s="5">
        <v>415.68</v>
      </c>
      <c r="H117" s="5">
        <v>0.4677</v>
      </c>
      <c r="I117" s="5">
        <v>2.0316719999999999</v>
      </c>
      <c r="J117" s="5">
        <v>4.4451599999999996</v>
      </c>
      <c r="K117" s="5">
        <v>-2.9612900000000009</v>
      </c>
      <c r="L117" s="5">
        <v>-8.0800000000005312E-3</v>
      </c>
      <c r="M117" s="5">
        <v>-9.6960000000006374E-2</v>
      </c>
    </row>
    <row r="118" spans="1:13">
      <c r="A118" t="s">
        <v>2</v>
      </c>
      <c r="B118" s="4">
        <v>46311.618916620369</v>
      </c>
      <c r="C118" s="5">
        <v>579.92199999999866</v>
      </c>
      <c r="D118" s="5">
        <v>9.6653666666666442</v>
      </c>
      <c r="E118" s="5">
        <v>117</v>
      </c>
      <c r="F118" s="5">
        <v>1284538</v>
      </c>
      <c r="G118" s="5">
        <v>416.24</v>
      </c>
      <c r="H118" s="5">
        <v>0.433</v>
      </c>
      <c r="I118" s="5">
        <v>2.0344090000000001</v>
      </c>
      <c r="J118" s="5">
        <v>4.4290099999999999</v>
      </c>
      <c r="K118" s="5">
        <v>-2.977440000000001</v>
      </c>
      <c r="L118" s="5">
        <v>-1.6149999999999661E-2</v>
      </c>
      <c r="M118" s="5">
        <v>-0.193799999999996</v>
      </c>
    </row>
    <row r="119" spans="1:13">
      <c r="A119" t="s">
        <v>2</v>
      </c>
      <c r="B119" s="4">
        <v>46311.618974398145</v>
      </c>
      <c r="C119" s="5">
        <v>584.9059999999954</v>
      </c>
      <c r="D119" s="5">
        <v>9.7484333333332565</v>
      </c>
      <c r="E119" s="5">
        <v>118</v>
      </c>
      <c r="F119" s="5">
        <v>1289538</v>
      </c>
      <c r="G119" s="5">
        <v>416.48</v>
      </c>
      <c r="H119" s="5">
        <v>0.57279999999999998</v>
      </c>
      <c r="I119" s="5">
        <v>2.0355819999999998</v>
      </c>
      <c r="J119" s="5">
        <v>4.4220899999999999</v>
      </c>
      <c r="K119" s="5">
        <v>-2.984360000000001</v>
      </c>
      <c r="L119" s="5">
        <v>-6.9200000000000372E-3</v>
      </c>
      <c r="M119" s="5">
        <v>-8.3306581059444967E-2</v>
      </c>
    </row>
    <row r="120" spans="1:13">
      <c r="A120" t="s">
        <v>2</v>
      </c>
      <c r="B120" s="4">
        <v>46311.619032337963</v>
      </c>
      <c r="C120" s="5">
        <v>589.9059999999954</v>
      </c>
      <c r="D120" s="5">
        <v>9.8317666666665904</v>
      </c>
      <c r="E120" s="5">
        <v>119</v>
      </c>
      <c r="F120" s="5">
        <v>1294538</v>
      </c>
      <c r="G120" s="5">
        <v>416.96</v>
      </c>
      <c r="H120" s="5">
        <v>0.35360000000000003</v>
      </c>
      <c r="I120" s="5">
        <v>2.037928</v>
      </c>
      <c r="J120" s="5">
        <v>4.4082499999999998</v>
      </c>
      <c r="K120" s="5">
        <v>-2.9982000000000011</v>
      </c>
      <c r="L120" s="5">
        <v>-1.3840000000000069E-2</v>
      </c>
      <c r="M120" s="5">
        <v>-0.16608000000000089</v>
      </c>
    </row>
    <row r="121" spans="1:13">
      <c r="A121" t="s">
        <v>2</v>
      </c>
      <c r="B121" s="4">
        <v>46311.619090127315</v>
      </c>
      <c r="C121" s="5">
        <v>594.9059999999954</v>
      </c>
      <c r="D121" s="5">
        <v>9.9150999999999225</v>
      </c>
      <c r="E121" s="5">
        <v>120</v>
      </c>
      <c r="F121" s="5">
        <v>1299538</v>
      </c>
      <c r="G121" s="5">
        <v>417.36</v>
      </c>
      <c r="H121" s="5">
        <v>0.57279999999999998</v>
      </c>
      <c r="I121" s="5">
        <v>2.039882</v>
      </c>
      <c r="J121" s="5">
        <v>4.3967099999999997</v>
      </c>
      <c r="K121" s="5">
        <v>-3.0097400000000012</v>
      </c>
      <c r="L121" s="5">
        <v>-1.1540000000000109E-2</v>
      </c>
      <c r="M121" s="5">
        <v>-0.1384800000000013</v>
      </c>
    </row>
    <row r="122" spans="1:13">
      <c r="A122" t="s">
        <v>2</v>
      </c>
      <c r="B122" s="4">
        <v>46311.61914790509</v>
      </c>
      <c r="C122" s="5">
        <v>599.88999999999942</v>
      </c>
      <c r="D122" s="5">
        <v>9.9981666666666573</v>
      </c>
      <c r="E122" s="5">
        <v>121</v>
      </c>
      <c r="F122" s="5">
        <v>1304538</v>
      </c>
      <c r="G122" s="5">
        <v>417.36</v>
      </c>
      <c r="H122" s="5">
        <v>0.57279999999999998</v>
      </c>
      <c r="I122" s="5">
        <v>2.039882</v>
      </c>
      <c r="J122" s="5">
        <v>4.3967099999999997</v>
      </c>
      <c r="K122" s="5">
        <v>-3.0097400000000012</v>
      </c>
      <c r="L122" s="5">
        <v>0</v>
      </c>
      <c r="M122" s="5">
        <v>0</v>
      </c>
    </row>
    <row r="123" spans="1:13">
      <c r="A123" t="s">
        <v>2</v>
      </c>
      <c r="B123" s="4">
        <v>46311.619205671297</v>
      </c>
      <c r="C123" s="5">
        <v>604.88999999999942</v>
      </c>
      <c r="D123" s="5">
        <v>10.081499999999989</v>
      </c>
      <c r="E123" s="5">
        <v>122</v>
      </c>
      <c r="F123" s="5">
        <v>1309538</v>
      </c>
      <c r="G123" s="5">
        <v>418.04</v>
      </c>
      <c r="H123" s="5">
        <v>0.33069999999999999</v>
      </c>
      <c r="I123" s="5">
        <v>2.0432060000000001</v>
      </c>
      <c r="J123" s="5">
        <v>4.3771000000000004</v>
      </c>
      <c r="K123" s="5">
        <v>-3.02935</v>
      </c>
      <c r="L123" s="5">
        <v>-1.9609999999999239E-2</v>
      </c>
      <c r="M123" s="5">
        <v>-0.2353199999999909</v>
      </c>
    </row>
    <row r="124" spans="1:13">
      <c r="A124" t="s">
        <v>2</v>
      </c>
      <c r="B124" s="4">
        <v>46311.61926363426</v>
      </c>
      <c r="C124" s="5">
        <v>609.88999999999942</v>
      </c>
      <c r="D124" s="5">
        <v>10.16483333333332</v>
      </c>
      <c r="E124" s="5">
        <v>123</v>
      </c>
      <c r="F124" s="5">
        <v>1314538</v>
      </c>
      <c r="G124" s="5">
        <v>418.4</v>
      </c>
      <c r="H124" s="5">
        <v>0.55900000000000005</v>
      </c>
      <c r="I124" s="5">
        <v>2.0449660000000001</v>
      </c>
      <c r="J124" s="5">
        <v>4.3667199999999999</v>
      </c>
      <c r="K124" s="5">
        <v>-3.03973</v>
      </c>
      <c r="L124" s="5">
        <v>-1.03800000000005E-2</v>
      </c>
      <c r="M124" s="5">
        <v>-0.124560000000006</v>
      </c>
    </row>
    <row r="125" spans="1:13">
      <c r="A125" t="s">
        <v>2</v>
      </c>
      <c r="B125" s="4">
        <v>46311.61932140046</v>
      </c>
      <c r="C125" s="5">
        <v>614.88999999999942</v>
      </c>
      <c r="D125" s="5">
        <v>10.248166666666661</v>
      </c>
      <c r="E125" s="5">
        <v>124</v>
      </c>
      <c r="F125" s="5">
        <v>1319538</v>
      </c>
      <c r="G125" s="5">
        <v>418.44</v>
      </c>
      <c r="H125" s="5">
        <v>0.5</v>
      </c>
      <c r="I125" s="5">
        <v>2.0451609999999998</v>
      </c>
      <c r="J125" s="5">
        <v>4.36557</v>
      </c>
      <c r="K125" s="5">
        <v>-3.04088</v>
      </c>
      <c r="L125" s="5">
        <v>-1.1499999999999839E-3</v>
      </c>
      <c r="M125" s="5">
        <v>-1.3799999999999811E-2</v>
      </c>
    </row>
    <row r="126" spans="1:13">
      <c r="A126" t="s">
        <v>2</v>
      </c>
      <c r="B126" s="4">
        <v>46311.619379178243</v>
      </c>
      <c r="C126" s="5">
        <v>619.875</v>
      </c>
      <c r="D126" s="5">
        <v>10.331250000000001</v>
      </c>
      <c r="E126" s="5">
        <v>125</v>
      </c>
      <c r="F126" s="5">
        <v>1324538</v>
      </c>
      <c r="G126" s="5">
        <v>418.8</v>
      </c>
      <c r="H126" s="5">
        <v>0.63739999999999997</v>
      </c>
      <c r="I126" s="5">
        <v>2.0469210000000002</v>
      </c>
      <c r="J126" s="5">
        <v>4.3551799999999998</v>
      </c>
      <c r="K126" s="5">
        <v>-3.051270000000001</v>
      </c>
      <c r="L126" s="5">
        <v>-1.039000000000012E-2</v>
      </c>
      <c r="M126" s="5">
        <v>-0.1250551654964763</v>
      </c>
    </row>
    <row r="127" spans="1:13">
      <c r="A127" t="s">
        <v>2</v>
      </c>
      <c r="B127" s="4">
        <v>46311.619437141206</v>
      </c>
      <c r="C127" s="5">
        <v>624.88999999999942</v>
      </c>
      <c r="D127" s="5">
        <v>10.41483333333332</v>
      </c>
      <c r="E127" s="5">
        <v>126</v>
      </c>
      <c r="F127" s="5">
        <v>1329538</v>
      </c>
      <c r="G127" s="5">
        <v>419.04</v>
      </c>
      <c r="H127" s="5">
        <v>0.58630000000000004</v>
      </c>
      <c r="I127" s="5">
        <v>2.0480939999999999</v>
      </c>
      <c r="J127" s="5">
        <v>4.3482599999999998</v>
      </c>
      <c r="K127" s="5">
        <v>-3.0581900000000011</v>
      </c>
      <c r="L127" s="5">
        <v>-6.9200000000000372E-3</v>
      </c>
      <c r="M127" s="5">
        <v>-8.2791625124636184E-2</v>
      </c>
    </row>
    <row r="128" spans="1:13">
      <c r="A128" t="s">
        <v>2</v>
      </c>
      <c r="B128" s="4">
        <v>46311.619494918981</v>
      </c>
      <c r="C128" s="5">
        <v>629.875</v>
      </c>
      <c r="D128" s="5">
        <v>10.49791666666667</v>
      </c>
      <c r="E128" s="5">
        <v>127</v>
      </c>
      <c r="F128" s="5">
        <v>1334538</v>
      </c>
      <c r="G128" s="5">
        <v>419.68</v>
      </c>
      <c r="H128" s="5">
        <v>0.4677</v>
      </c>
      <c r="I128" s="5">
        <v>2.0512220000000001</v>
      </c>
      <c r="J128" s="5">
        <v>4.3297999999999996</v>
      </c>
      <c r="K128" s="5">
        <v>-3.0766500000000012</v>
      </c>
      <c r="L128" s="5">
        <v>-1.8460000000000139E-2</v>
      </c>
      <c r="M128" s="5">
        <v>-0.22218655967901291</v>
      </c>
    </row>
    <row r="129" spans="1:13">
      <c r="A129" t="s">
        <v>2</v>
      </c>
      <c r="B129" s="4">
        <v>46311.619552685188</v>
      </c>
      <c r="C129" s="5">
        <v>634.875</v>
      </c>
      <c r="D129" s="5">
        <v>10.581250000000001</v>
      </c>
      <c r="E129" s="5">
        <v>128</v>
      </c>
      <c r="F129" s="5">
        <v>1339538</v>
      </c>
      <c r="G129" s="5">
        <v>419.88</v>
      </c>
      <c r="H129" s="5">
        <v>0.433</v>
      </c>
      <c r="I129" s="5">
        <v>2.0521989999999999</v>
      </c>
      <c r="J129" s="5">
        <v>4.3240400000000001</v>
      </c>
      <c r="K129" s="5">
        <v>-3.0824099999999999</v>
      </c>
      <c r="L129" s="5">
        <v>-5.7599999999995433E-3</v>
      </c>
      <c r="M129" s="5">
        <v>-6.9119999999994519E-2</v>
      </c>
    </row>
    <row r="130" spans="1:13">
      <c r="A130" t="s">
        <v>2</v>
      </c>
      <c r="B130" s="4">
        <v>46311.619610636575</v>
      </c>
      <c r="C130" s="5">
        <v>639.875</v>
      </c>
      <c r="D130" s="5">
        <v>10.664583333333329</v>
      </c>
      <c r="E130" s="5">
        <v>129</v>
      </c>
      <c r="F130" s="5">
        <v>1344538</v>
      </c>
      <c r="G130" s="5">
        <v>419.88</v>
      </c>
      <c r="H130" s="5">
        <v>0.51539999999999997</v>
      </c>
      <c r="I130" s="5">
        <v>2.0521989999999999</v>
      </c>
      <c r="J130" s="5">
        <v>4.3240400000000001</v>
      </c>
      <c r="K130" s="5">
        <v>-3.0824099999999999</v>
      </c>
      <c r="L130" s="5">
        <v>0</v>
      </c>
      <c r="M130" s="5">
        <v>0</v>
      </c>
    </row>
    <row r="131" spans="1:13">
      <c r="A131" t="s">
        <v>2</v>
      </c>
      <c r="B131" s="4">
        <v>46311.619668425927</v>
      </c>
      <c r="C131" s="5">
        <v>644.875</v>
      </c>
      <c r="D131" s="5">
        <v>10.74791666666667</v>
      </c>
      <c r="E131" s="5">
        <v>130</v>
      </c>
      <c r="F131" s="5">
        <v>1349538</v>
      </c>
      <c r="G131" s="5">
        <v>420.44</v>
      </c>
      <c r="H131" s="5">
        <v>0.5</v>
      </c>
      <c r="I131" s="5">
        <v>2.0549360000000001</v>
      </c>
      <c r="J131" s="5">
        <v>4.3078900000000004</v>
      </c>
      <c r="K131" s="5">
        <v>-3.09856</v>
      </c>
      <c r="L131" s="5">
        <v>-1.6149999999999661E-2</v>
      </c>
      <c r="M131" s="5">
        <v>-0.193799999999996</v>
      </c>
    </row>
    <row r="132" spans="1:13">
      <c r="A132" t="s">
        <v>2</v>
      </c>
      <c r="B132" s="4">
        <v>46311.619726203702</v>
      </c>
      <c r="C132" s="5">
        <v>649.85899999999674</v>
      </c>
      <c r="D132" s="5">
        <v>10.830983333333281</v>
      </c>
      <c r="E132" s="5">
        <v>131</v>
      </c>
      <c r="F132" s="5">
        <v>1354537</v>
      </c>
      <c r="G132" s="5">
        <v>420.48</v>
      </c>
      <c r="H132" s="5">
        <v>0.5</v>
      </c>
      <c r="I132" s="5">
        <v>2.055132</v>
      </c>
      <c r="J132" s="5">
        <v>4.3067299999999999</v>
      </c>
      <c r="K132" s="5">
        <v>-3.09972</v>
      </c>
      <c r="L132" s="5">
        <v>-1.160000000000494E-3</v>
      </c>
      <c r="M132" s="5">
        <v>-1.396468699840994E-2</v>
      </c>
    </row>
    <row r="133" spans="1:13">
      <c r="A133" t="s">
        <v>2</v>
      </c>
      <c r="B133" s="4">
        <v>46311.619784166665</v>
      </c>
      <c r="C133" s="5">
        <v>654.875</v>
      </c>
      <c r="D133" s="5">
        <v>10.914583333333329</v>
      </c>
      <c r="E133" s="5">
        <v>132</v>
      </c>
      <c r="F133" s="5">
        <v>1359538</v>
      </c>
      <c r="G133" s="5">
        <v>421.12</v>
      </c>
      <c r="H133" s="5">
        <v>0.51539999999999997</v>
      </c>
      <c r="I133" s="5">
        <v>2.0582600000000002</v>
      </c>
      <c r="J133" s="5">
        <v>4.2882800000000003</v>
      </c>
      <c r="K133" s="5">
        <v>-3.1181700000000001</v>
      </c>
      <c r="L133" s="5">
        <v>-1.844999999999963E-2</v>
      </c>
      <c r="M133" s="5">
        <v>-0.22069377990415839</v>
      </c>
    </row>
    <row r="134" spans="1:13">
      <c r="A134" t="s">
        <v>2</v>
      </c>
      <c r="B134" s="4">
        <v>46311.619841921296</v>
      </c>
      <c r="C134" s="5">
        <v>659.85899999999674</v>
      </c>
      <c r="D134" s="5">
        <v>10.99764999999995</v>
      </c>
      <c r="E134" s="5">
        <v>133</v>
      </c>
      <c r="F134" s="5">
        <v>1364538</v>
      </c>
      <c r="G134" s="5">
        <v>421.24</v>
      </c>
      <c r="H134" s="5">
        <v>0.433</v>
      </c>
      <c r="I134" s="5">
        <v>2.058846</v>
      </c>
      <c r="J134" s="5">
        <v>4.2848100000000002</v>
      </c>
      <c r="K134" s="5">
        <v>-3.1216400000000002</v>
      </c>
      <c r="L134" s="5">
        <v>-3.4700000000000841E-3</v>
      </c>
      <c r="M134" s="5">
        <v>-4.177367576246814E-2</v>
      </c>
    </row>
    <row r="135" spans="1:13">
      <c r="A135" t="s">
        <v>2</v>
      </c>
      <c r="B135" s="4">
        <v>46311.619899710648</v>
      </c>
      <c r="C135" s="5">
        <v>664.85899999999674</v>
      </c>
      <c r="D135" s="5">
        <v>11.080983333333281</v>
      </c>
      <c r="E135" s="5">
        <v>134</v>
      </c>
      <c r="F135" s="5">
        <v>1369538</v>
      </c>
      <c r="G135" s="5">
        <v>421.2</v>
      </c>
      <c r="H135" s="5">
        <v>0.48409999999999997</v>
      </c>
      <c r="I135" s="5">
        <v>2.0586509999999998</v>
      </c>
      <c r="J135" s="5">
        <v>4.2859699999999998</v>
      </c>
      <c r="K135" s="5">
        <v>-3.120480000000001</v>
      </c>
      <c r="L135" s="5">
        <v>1.159999999999606E-3</v>
      </c>
      <c r="M135" s="5">
        <v>1.3919999999995269E-2</v>
      </c>
    </row>
    <row r="136" spans="1:13">
      <c r="A136" t="s">
        <v>2</v>
      </c>
      <c r="B136" s="4">
        <v>46311.619957662035</v>
      </c>
      <c r="C136" s="5">
        <v>669.85899999999674</v>
      </c>
      <c r="D136" s="5">
        <v>11.164316666666609</v>
      </c>
      <c r="E136" s="5">
        <v>135</v>
      </c>
      <c r="F136" s="5">
        <v>1374538</v>
      </c>
      <c r="G136" s="5">
        <v>422.04</v>
      </c>
      <c r="H136" s="5">
        <v>0.433</v>
      </c>
      <c r="I136" s="5">
        <v>2.062757</v>
      </c>
      <c r="J136" s="5">
        <v>4.2617399999999996</v>
      </c>
      <c r="K136" s="5">
        <v>-3.1447100000000008</v>
      </c>
      <c r="L136" s="5">
        <v>-2.4230000000000199E-2</v>
      </c>
      <c r="M136" s="5">
        <v>-0.29076000000000229</v>
      </c>
    </row>
    <row r="137" spans="1:13">
      <c r="A137" t="s">
        <v>2</v>
      </c>
      <c r="B137" s="4">
        <v>46311.620015439818</v>
      </c>
      <c r="C137" s="5">
        <v>674.85899999999674</v>
      </c>
      <c r="D137" s="5">
        <v>11.24764999999995</v>
      </c>
      <c r="E137" s="5">
        <v>136</v>
      </c>
      <c r="F137" s="5">
        <v>1379537</v>
      </c>
      <c r="G137" s="5">
        <v>421.92</v>
      </c>
      <c r="H137" s="5">
        <v>0.61240000000000006</v>
      </c>
      <c r="I137" s="5">
        <v>2.0621700000000001</v>
      </c>
      <c r="J137" s="5">
        <v>4.2652000000000001</v>
      </c>
      <c r="K137" s="5">
        <v>-3.1412499999999999</v>
      </c>
      <c r="L137" s="5">
        <v>3.4600000000004631E-3</v>
      </c>
      <c r="M137" s="5">
        <v>4.1520000000005552E-2</v>
      </c>
    </row>
    <row r="138" spans="1:13">
      <c r="A138" t="s">
        <v>2</v>
      </c>
      <c r="B138" s="4">
        <v>46311.620073217593</v>
      </c>
      <c r="C138" s="5">
        <v>679.84399999999732</v>
      </c>
      <c r="D138" s="5">
        <v>11.33073333333329</v>
      </c>
      <c r="E138" s="5">
        <v>137</v>
      </c>
      <c r="F138" s="5">
        <v>1384538</v>
      </c>
      <c r="G138" s="5">
        <v>422.36</v>
      </c>
      <c r="H138" s="5">
        <v>0.5</v>
      </c>
      <c r="I138" s="5">
        <v>2.0643199999999999</v>
      </c>
      <c r="J138" s="5">
        <v>4.25251</v>
      </c>
      <c r="K138" s="5">
        <v>-3.15394</v>
      </c>
      <c r="L138" s="5">
        <v>-1.269000000000009E-2</v>
      </c>
      <c r="M138" s="5">
        <v>-0.15273821464391499</v>
      </c>
    </row>
    <row r="139" spans="1:13">
      <c r="A139" t="s">
        <v>2</v>
      </c>
      <c r="B139" s="4">
        <v>46311.620131157404</v>
      </c>
      <c r="C139" s="5">
        <v>684.84399999999732</v>
      </c>
      <c r="D139" s="5">
        <v>11.414066666666621</v>
      </c>
      <c r="E139" s="5">
        <v>138</v>
      </c>
      <c r="F139" s="5">
        <v>1389538</v>
      </c>
      <c r="G139" s="5">
        <v>422.76</v>
      </c>
      <c r="H139" s="5">
        <v>0.5</v>
      </c>
      <c r="I139" s="5">
        <v>2.0662759999999998</v>
      </c>
      <c r="J139" s="5">
        <v>4.2409800000000004</v>
      </c>
      <c r="K139" s="5">
        <v>-3.16547</v>
      </c>
      <c r="L139" s="5">
        <v>-1.15299999999996E-2</v>
      </c>
      <c r="M139" s="5">
        <v>-0.13835999999999521</v>
      </c>
    </row>
    <row r="140" spans="1:13">
      <c r="A140" t="s">
        <v>2</v>
      </c>
      <c r="B140" s="4">
        <v>46311.620188946756</v>
      </c>
      <c r="C140" s="5">
        <v>689.84399999999732</v>
      </c>
      <c r="D140" s="5">
        <v>11.497399999999949</v>
      </c>
      <c r="E140" s="5">
        <v>139</v>
      </c>
      <c r="F140" s="5">
        <v>1394537</v>
      </c>
      <c r="G140" s="5">
        <v>422.6</v>
      </c>
      <c r="H140" s="5">
        <v>0.55900000000000005</v>
      </c>
      <c r="I140" s="5">
        <v>2.0654940000000002</v>
      </c>
      <c r="J140" s="5">
        <v>4.24559</v>
      </c>
      <c r="K140" s="5">
        <v>-3.16086</v>
      </c>
      <c r="L140" s="5">
        <v>4.6099999999995589E-3</v>
      </c>
      <c r="M140" s="5">
        <v>5.5319999999994707E-2</v>
      </c>
    </row>
    <row r="141" spans="1:13">
      <c r="A141" t="s">
        <v>2</v>
      </c>
      <c r="B141" s="4">
        <v>46311.620246712962</v>
      </c>
      <c r="C141" s="5">
        <v>694.82799999999406</v>
      </c>
      <c r="D141" s="5">
        <v>11.58046666666657</v>
      </c>
      <c r="E141" s="5">
        <v>140</v>
      </c>
      <c r="F141" s="5">
        <v>1399538</v>
      </c>
      <c r="G141" s="5">
        <v>423</v>
      </c>
      <c r="H141" s="5">
        <v>0.39529999999999998</v>
      </c>
      <c r="I141" s="5">
        <v>2.0674489999999999</v>
      </c>
      <c r="J141" s="5">
        <v>4.2340600000000004</v>
      </c>
      <c r="K141" s="5">
        <v>-3.17239</v>
      </c>
      <c r="L141" s="5">
        <v>-1.15299999999996E-2</v>
      </c>
      <c r="M141" s="5">
        <v>-0.13880417335482109</v>
      </c>
    </row>
    <row r="142" spans="1:13">
      <c r="A142" t="s">
        <v>2</v>
      </c>
      <c r="B142" s="4">
        <v>46311.62030466435</v>
      </c>
      <c r="C142" s="5">
        <v>699.84399999999732</v>
      </c>
      <c r="D142" s="5">
        <v>11.664066666666621</v>
      </c>
      <c r="E142" s="5">
        <v>141</v>
      </c>
      <c r="F142" s="5">
        <v>1404538</v>
      </c>
      <c r="G142" s="5">
        <v>422.92</v>
      </c>
      <c r="H142" s="5">
        <v>0.25</v>
      </c>
      <c r="I142" s="5">
        <v>2.0670579999999998</v>
      </c>
      <c r="J142" s="5">
        <v>4.2363600000000003</v>
      </c>
      <c r="K142" s="5">
        <v>-3.1700900000000001</v>
      </c>
      <c r="L142" s="5">
        <v>2.2999999999999692E-3</v>
      </c>
      <c r="M142" s="5">
        <v>2.751196172246979E-2</v>
      </c>
    </row>
    <row r="143" spans="1:13">
      <c r="A143" t="s">
        <v>2</v>
      </c>
      <c r="B143" s="4">
        <v>46311.620362453701</v>
      </c>
      <c r="C143" s="5">
        <v>704.82799999999406</v>
      </c>
      <c r="D143" s="5">
        <v>11.747133333333229</v>
      </c>
      <c r="E143" s="5">
        <v>142</v>
      </c>
      <c r="F143" s="5">
        <v>1409538</v>
      </c>
      <c r="G143" s="5">
        <v>423.32</v>
      </c>
      <c r="H143" s="5">
        <v>0.4677</v>
      </c>
      <c r="I143" s="5">
        <v>2.069013</v>
      </c>
      <c r="J143" s="5">
        <v>4.2248299999999999</v>
      </c>
      <c r="K143" s="5">
        <v>-3.181620000000001</v>
      </c>
      <c r="L143" s="5">
        <v>-1.1530000000000481E-2</v>
      </c>
      <c r="M143" s="5">
        <v>-0.13880417335483181</v>
      </c>
    </row>
    <row r="144" spans="1:13">
      <c r="A144" t="s">
        <v>2</v>
      </c>
      <c r="B144" s="4">
        <v>46311.620420231484</v>
      </c>
      <c r="C144" s="5">
        <v>709.82799999999406</v>
      </c>
      <c r="D144" s="5">
        <v>11.83046666666657</v>
      </c>
      <c r="E144" s="5">
        <v>143</v>
      </c>
      <c r="F144" s="5">
        <v>1414538</v>
      </c>
      <c r="G144" s="5">
        <v>423.32</v>
      </c>
      <c r="H144" s="5">
        <v>0.54490000000000005</v>
      </c>
      <c r="I144" s="5">
        <v>2.069013</v>
      </c>
      <c r="J144" s="5">
        <v>4.2248299999999999</v>
      </c>
      <c r="K144" s="5">
        <v>-3.181620000000001</v>
      </c>
      <c r="L144" s="5">
        <v>0</v>
      </c>
      <c r="M144" s="5">
        <v>0</v>
      </c>
    </row>
    <row r="145" spans="1:13">
      <c r="A145" t="s">
        <v>2</v>
      </c>
      <c r="B145" s="4">
        <v>46311.620478194447</v>
      </c>
      <c r="C145" s="5">
        <v>714.82799999999406</v>
      </c>
      <c r="D145" s="5">
        <v>11.913799999999901</v>
      </c>
      <c r="E145" s="5">
        <v>144</v>
      </c>
      <c r="F145" s="5">
        <v>1419538</v>
      </c>
      <c r="G145" s="5">
        <v>423.6</v>
      </c>
      <c r="H145" s="5">
        <v>0.55900000000000005</v>
      </c>
      <c r="I145" s="5">
        <v>2.0703809999999998</v>
      </c>
      <c r="J145" s="5">
        <v>4.2167500000000002</v>
      </c>
      <c r="K145" s="5">
        <v>-3.1897000000000002</v>
      </c>
      <c r="L145" s="5">
        <v>-8.079999999999643E-3</v>
      </c>
      <c r="M145" s="5">
        <v>-9.6959999999995716E-2</v>
      </c>
    </row>
    <row r="146" spans="1:13">
      <c r="A146" t="s">
        <v>2</v>
      </c>
      <c r="B146" s="4">
        <v>46311.620535960647</v>
      </c>
      <c r="C146" s="5">
        <v>719.82799999999406</v>
      </c>
      <c r="D146" s="5">
        <v>11.997133333333229</v>
      </c>
      <c r="E146" s="5">
        <v>145</v>
      </c>
      <c r="F146" s="5">
        <v>1424538</v>
      </c>
      <c r="G146" s="5">
        <v>424</v>
      </c>
      <c r="H146" s="5">
        <v>0.39529999999999998</v>
      </c>
      <c r="I146" s="5">
        <v>2.072336</v>
      </c>
      <c r="J146" s="5">
        <v>4.2052199999999997</v>
      </c>
      <c r="K146" s="5">
        <v>-3.2012300000000011</v>
      </c>
      <c r="L146" s="5">
        <v>-1.1530000000000481E-2</v>
      </c>
      <c r="M146" s="5">
        <v>-0.13836000000000581</v>
      </c>
    </row>
    <row r="147" spans="1:13">
      <c r="A147" t="s">
        <v>2</v>
      </c>
      <c r="B147" s="4">
        <v>46311.620593738429</v>
      </c>
      <c r="C147" s="5">
        <v>724.81199999999808</v>
      </c>
      <c r="D147" s="5">
        <v>12.080199999999969</v>
      </c>
      <c r="E147" s="5">
        <v>146</v>
      </c>
      <c r="F147" s="5">
        <v>1429538</v>
      </c>
      <c r="G147" s="5">
        <v>423.96</v>
      </c>
      <c r="H147" s="5">
        <v>0.45069999999999999</v>
      </c>
      <c r="I147" s="5">
        <v>2.0721409999999998</v>
      </c>
      <c r="J147" s="5">
        <v>4.2063699999999997</v>
      </c>
      <c r="K147" s="5">
        <v>-3.2000800000000011</v>
      </c>
      <c r="L147" s="5">
        <v>1.1499999999999839E-3</v>
      </c>
      <c r="M147" s="5">
        <v>1.3844301765638729E-2</v>
      </c>
    </row>
    <row r="148" spans="1:13">
      <c r="A148" t="s">
        <v>2</v>
      </c>
      <c r="B148" s="4">
        <v>46311.620651516205</v>
      </c>
      <c r="C148" s="5">
        <v>729.81199999999808</v>
      </c>
      <c r="D148" s="5">
        <v>12.1635333333333</v>
      </c>
      <c r="E148" s="5">
        <v>147</v>
      </c>
      <c r="F148" s="5">
        <v>1434537</v>
      </c>
      <c r="G148" s="5">
        <v>424.36</v>
      </c>
      <c r="H148" s="5">
        <v>0.5</v>
      </c>
      <c r="I148" s="5">
        <v>2.0740949999999998</v>
      </c>
      <c r="J148" s="5">
        <v>4.1948299999999996</v>
      </c>
      <c r="K148" s="5">
        <v>-3.2116200000000008</v>
      </c>
      <c r="L148" s="5">
        <v>-1.1540000000000109E-2</v>
      </c>
      <c r="M148" s="5">
        <v>-0.1384800000000013</v>
      </c>
    </row>
    <row r="149" spans="1:13">
      <c r="A149" t="s">
        <v>2</v>
      </c>
      <c r="B149" s="4">
        <v>46311.620709467592</v>
      </c>
      <c r="C149" s="5">
        <v>734.81199999999808</v>
      </c>
      <c r="D149" s="5">
        <v>12.246866666666641</v>
      </c>
      <c r="E149" s="5">
        <v>148</v>
      </c>
      <c r="F149" s="5">
        <v>1439538</v>
      </c>
      <c r="G149" s="5">
        <v>424.28</v>
      </c>
      <c r="H149" s="5">
        <v>0.53029999999999999</v>
      </c>
      <c r="I149" s="5">
        <v>2.0737049999999999</v>
      </c>
      <c r="J149" s="5">
        <v>4.1971400000000001</v>
      </c>
      <c r="K149" s="5">
        <v>-3.2093099999999999</v>
      </c>
      <c r="L149" s="5">
        <v>2.3100000000004779E-3</v>
      </c>
      <c r="M149" s="5">
        <v>2.772000000000574E-2</v>
      </c>
    </row>
    <row r="150" spans="1:13">
      <c r="A150" t="s">
        <v>2</v>
      </c>
      <c r="B150" s="4">
        <v>46311.620767245367</v>
      </c>
      <c r="C150" s="5">
        <v>739.81199999999808</v>
      </c>
      <c r="D150" s="5">
        <v>12.330199999999969</v>
      </c>
      <c r="E150" s="5">
        <v>149</v>
      </c>
      <c r="F150" s="5">
        <v>1444538</v>
      </c>
      <c r="G150" s="5">
        <v>424.92</v>
      </c>
      <c r="H150" s="5">
        <v>0.4677</v>
      </c>
      <c r="I150" s="5">
        <v>2.0768330000000002</v>
      </c>
      <c r="J150" s="5">
        <v>4.1786799999999999</v>
      </c>
      <c r="K150" s="5">
        <v>-3.22777</v>
      </c>
      <c r="L150" s="5">
        <v>-1.8460000000000139E-2</v>
      </c>
      <c r="M150" s="5">
        <v>-0.22152000000000169</v>
      </c>
    </row>
    <row r="151" spans="1:13">
      <c r="A151" t="s">
        <v>2</v>
      </c>
      <c r="B151" s="4">
        <v>46311.620825011574</v>
      </c>
      <c r="C151" s="5">
        <v>744.79699999999866</v>
      </c>
      <c r="D151" s="5">
        <v>12.413283333333309</v>
      </c>
      <c r="E151" s="5">
        <v>150</v>
      </c>
      <c r="F151" s="5">
        <v>1449538</v>
      </c>
      <c r="G151" s="5">
        <v>424.8</v>
      </c>
      <c r="H151" s="5">
        <v>0.41460000000000002</v>
      </c>
      <c r="I151" s="5">
        <v>2.0762459999999998</v>
      </c>
      <c r="J151" s="5">
        <v>4.1821400000000004</v>
      </c>
      <c r="K151" s="5">
        <v>-3.22431</v>
      </c>
      <c r="L151" s="5">
        <v>3.4600000000004631E-3</v>
      </c>
      <c r="M151" s="5">
        <v>4.1644934804413947E-2</v>
      </c>
    </row>
    <row r="152" spans="1:13">
      <c r="A152" t="s">
        <v>2</v>
      </c>
      <c r="B152" s="4">
        <v>46311.620882974537</v>
      </c>
      <c r="C152" s="5">
        <v>749.81199999999808</v>
      </c>
      <c r="D152" s="5">
        <v>12.496866666666641</v>
      </c>
      <c r="E152" s="5">
        <v>151</v>
      </c>
      <c r="F152" s="5">
        <v>1454538</v>
      </c>
      <c r="G152" s="5">
        <v>425.12</v>
      </c>
      <c r="H152" s="5">
        <v>0.33069999999999999</v>
      </c>
      <c r="I152" s="5">
        <v>2.0778110000000001</v>
      </c>
      <c r="J152" s="5">
        <v>4.1729200000000004</v>
      </c>
      <c r="K152" s="5">
        <v>-3.23353</v>
      </c>
      <c r="L152" s="5">
        <v>-9.220000000000006E-3</v>
      </c>
      <c r="M152" s="5">
        <v>-0.11030907278166791</v>
      </c>
    </row>
    <row r="153" spans="1:13">
      <c r="A153" t="s">
        <v>2</v>
      </c>
      <c r="B153" s="4">
        <v>46311.620940752313</v>
      </c>
      <c r="C153" s="5">
        <v>754.79699999999866</v>
      </c>
      <c r="D153" s="5">
        <v>12.579949999999981</v>
      </c>
      <c r="E153" s="5">
        <v>152</v>
      </c>
      <c r="F153" s="5">
        <v>1459538</v>
      </c>
      <c r="G153" s="5">
        <v>425.72</v>
      </c>
      <c r="H153" s="5">
        <v>0.53029999999999999</v>
      </c>
      <c r="I153" s="5">
        <v>2.080743</v>
      </c>
      <c r="J153" s="5">
        <v>4.1556100000000002</v>
      </c>
      <c r="K153" s="5">
        <v>-3.2508400000000002</v>
      </c>
      <c r="L153" s="5">
        <v>-1.7310000000000159E-2</v>
      </c>
      <c r="M153" s="5">
        <v>-0.20834503510529351</v>
      </c>
    </row>
    <row r="154" spans="1:13">
      <c r="A154" t="s">
        <v>2</v>
      </c>
      <c r="B154" s="4">
        <v>46311.620998530096</v>
      </c>
      <c r="C154" s="5">
        <v>759.79699999999866</v>
      </c>
      <c r="D154" s="5">
        <v>12.663283333333309</v>
      </c>
      <c r="E154" s="5">
        <v>153</v>
      </c>
      <c r="F154" s="5">
        <v>1464538</v>
      </c>
      <c r="G154" s="5">
        <v>425.48</v>
      </c>
      <c r="H154" s="5">
        <v>0.5</v>
      </c>
      <c r="I154" s="5">
        <v>2.0795699999999999</v>
      </c>
      <c r="J154" s="5">
        <v>4.1625300000000003</v>
      </c>
      <c r="K154" s="5">
        <v>-3.2439200000000001</v>
      </c>
      <c r="L154" s="5">
        <v>6.9200000000000372E-3</v>
      </c>
      <c r="M154" s="5">
        <v>8.3040000000000447E-2</v>
      </c>
    </row>
    <row r="155" spans="1:13">
      <c r="A155" t="s">
        <v>2</v>
      </c>
      <c r="B155" s="4">
        <v>46311.621056481483</v>
      </c>
      <c r="C155" s="5">
        <v>764.79699999999866</v>
      </c>
      <c r="D155" s="5">
        <v>12.74661666666664</v>
      </c>
      <c r="E155" s="5">
        <v>154</v>
      </c>
      <c r="F155" s="5">
        <v>1469538</v>
      </c>
      <c r="G155" s="5">
        <v>425.92</v>
      </c>
      <c r="H155" s="5">
        <v>0.25</v>
      </c>
      <c r="I155" s="5">
        <v>2.0817209999999999</v>
      </c>
      <c r="J155" s="5">
        <v>4.1498400000000002</v>
      </c>
      <c r="K155" s="5">
        <v>-3.2566099999999998</v>
      </c>
      <c r="L155" s="5">
        <v>-1.269000000000009E-2</v>
      </c>
      <c r="M155" s="5">
        <v>-0.15228000000000111</v>
      </c>
    </row>
    <row r="156" spans="1:13">
      <c r="A156" t="s">
        <v>2</v>
      </c>
      <c r="B156" s="4">
        <v>46311.621114259258</v>
      </c>
      <c r="C156" s="5">
        <v>769.79699999999866</v>
      </c>
      <c r="D156" s="5">
        <v>12.829949999999981</v>
      </c>
      <c r="E156" s="5">
        <v>155</v>
      </c>
      <c r="F156" s="5">
        <v>1474537</v>
      </c>
      <c r="G156" s="5">
        <v>426.16</v>
      </c>
      <c r="H156" s="5">
        <v>0.4677</v>
      </c>
      <c r="I156" s="5">
        <v>2.082894</v>
      </c>
      <c r="J156" s="5">
        <v>4.1429200000000002</v>
      </c>
      <c r="K156" s="5">
        <v>-3.2635299999999998</v>
      </c>
      <c r="L156" s="5">
        <v>-6.9200000000000372E-3</v>
      </c>
      <c r="M156" s="5">
        <v>-8.3040000000000447E-2</v>
      </c>
    </row>
    <row r="157" spans="1:13">
      <c r="A157" t="s">
        <v>2</v>
      </c>
      <c r="B157" s="4">
        <v>46311.621172025465</v>
      </c>
      <c r="C157" s="5">
        <v>774.7809999999954</v>
      </c>
      <c r="D157" s="5">
        <v>12.913016666666589</v>
      </c>
      <c r="E157" s="5">
        <v>156</v>
      </c>
      <c r="F157" s="5">
        <v>1479538</v>
      </c>
      <c r="G157" s="5">
        <v>425.92</v>
      </c>
      <c r="H157" s="5">
        <v>0.54490000000000005</v>
      </c>
      <c r="I157" s="5">
        <v>2.0817209999999999</v>
      </c>
      <c r="J157" s="5">
        <v>4.1498400000000002</v>
      </c>
      <c r="K157" s="5">
        <v>-3.2566099999999998</v>
      </c>
      <c r="L157" s="5">
        <v>6.9200000000000372E-3</v>
      </c>
      <c r="M157" s="5">
        <v>8.3306581059444967E-2</v>
      </c>
    </row>
    <row r="158" spans="1:13">
      <c r="A158" t="s">
        <v>2</v>
      </c>
      <c r="B158" s="4">
        <v>46311.621229999997</v>
      </c>
      <c r="C158" s="5">
        <v>779.79699999999866</v>
      </c>
      <c r="D158" s="5">
        <v>12.99661666666664</v>
      </c>
      <c r="E158" s="5">
        <v>157</v>
      </c>
      <c r="F158" s="5">
        <v>1484538</v>
      </c>
      <c r="G158" s="5">
        <v>426.32</v>
      </c>
      <c r="H158" s="5">
        <v>0.45069999999999999</v>
      </c>
      <c r="I158" s="5">
        <v>2.0836760000000001</v>
      </c>
      <c r="J158" s="5">
        <v>4.1383099999999997</v>
      </c>
      <c r="K158" s="5">
        <v>-3.2681400000000012</v>
      </c>
      <c r="L158" s="5">
        <v>-1.1530000000000481E-2</v>
      </c>
      <c r="M158" s="5">
        <v>-0.13791866028699751</v>
      </c>
    </row>
    <row r="159" spans="1:13">
      <c r="A159" t="s">
        <v>2</v>
      </c>
      <c r="B159" s="4">
        <v>46311.621287766204</v>
      </c>
      <c r="C159" s="5">
        <v>784.7809999999954</v>
      </c>
      <c r="D159" s="5">
        <v>13.079683333333261</v>
      </c>
      <c r="E159" s="5">
        <v>158</v>
      </c>
      <c r="F159" s="5">
        <v>1489538</v>
      </c>
      <c r="G159" s="5">
        <v>426.16</v>
      </c>
      <c r="H159" s="5">
        <v>0.54490000000000005</v>
      </c>
      <c r="I159" s="5">
        <v>2.082894</v>
      </c>
      <c r="J159" s="5">
        <v>4.1429200000000002</v>
      </c>
      <c r="K159" s="5">
        <v>-3.2635299999999998</v>
      </c>
      <c r="L159" s="5">
        <v>4.6100000000004471E-3</v>
      </c>
      <c r="M159" s="5">
        <v>5.5497592295386783E-2</v>
      </c>
    </row>
    <row r="160" spans="1:13">
      <c r="A160" t="s">
        <v>2</v>
      </c>
      <c r="B160" s="4">
        <v>46311.62134553241</v>
      </c>
      <c r="C160" s="5">
        <v>789.76499999999942</v>
      </c>
      <c r="D160" s="5">
        <v>13.16274999999999</v>
      </c>
      <c r="E160" s="5">
        <v>159</v>
      </c>
      <c r="F160" s="5">
        <v>1494537</v>
      </c>
      <c r="G160" s="5">
        <v>426.56</v>
      </c>
      <c r="H160" s="5">
        <v>0.57279999999999998</v>
      </c>
      <c r="I160" s="5">
        <v>2.0848490000000002</v>
      </c>
      <c r="J160" s="5">
        <v>4.1313899999999997</v>
      </c>
      <c r="K160" s="5">
        <v>-3.2750600000000012</v>
      </c>
      <c r="L160" s="5">
        <v>-1.1530000000000481E-2</v>
      </c>
      <c r="M160" s="5">
        <v>-0.13880417335462911</v>
      </c>
    </row>
    <row r="161" spans="1:13">
      <c r="A161" t="s">
        <v>2</v>
      </c>
      <c r="B161" s="4">
        <v>46311.621403495374</v>
      </c>
      <c r="C161" s="5">
        <v>794.7809999999954</v>
      </c>
      <c r="D161" s="5">
        <v>13.24634999999992</v>
      </c>
      <c r="E161" s="5">
        <v>160</v>
      </c>
      <c r="F161" s="5">
        <v>1499538</v>
      </c>
      <c r="G161" s="5">
        <v>426.56</v>
      </c>
      <c r="H161" s="5">
        <v>0.5</v>
      </c>
      <c r="I161" s="5">
        <v>2.0848490000000002</v>
      </c>
      <c r="J161" s="5">
        <v>4.1313899999999997</v>
      </c>
      <c r="K161" s="5">
        <v>-3.2750600000000012</v>
      </c>
      <c r="L161" s="5">
        <v>0</v>
      </c>
      <c r="M161" s="5">
        <v>0</v>
      </c>
    </row>
    <row r="162" spans="1:13">
      <c r="A162" t="s">
        <v>2</v>
      </c>
      <c r="B162" s="4">
        <v>46311.621461273149</v>
      </c>
      <c r="C162" s="5">
        <v>799.76499999999942</v>
      </c>
      <c r="D162" s="5">
        <v>13.32941666666666</v>
      </c>
      <c r="E162" s="5">
        <v>161</v>
      </c>
      <c r="F162" s="5">
        <v>1504538</v>
      </c>
      <c r="G162" s="5">
        <v>426.68</v>
      </c>
      <c r="H162" s="5">
        <v>0.55900000000000005</v>
      </c>
      <c r="I162" s="5">
        <v>2.0854349999999999</v>
      </c>
      <c r="J162" s="5">
        <v>4.1279199999999996</v>
      </c>
      <c r="K162" s="5">
        <v>-3.2785300000000008</v>
      </c>
      <c r="L162" s="5">
        <v>-3.4700000000000841E-3</v>
      </c>
      <c r="M162" s="5">
        <v>-4.1773675762407148E-2</v>
      </c>
    </row>
    <row r="163" spans="1:13">
      <c r="A163" t="s">
        <v>2</v>
      </c>
      <c r="B163" s="4">
        <v>46311.621519062501</v>
      </c>
      <c r="C163" s="5">
        <v>804.76499999999942</v>
      </c>
      <c r="D163" s="5">
        <v>13.41274999999999</v>
      </c>
      <c r="E163" s="5">
        <v>162</v>
      </c>
      <c r="F163" s="5">
        <v>1509538</v>
      </c>
      <c r="G163" s="5">
        <v>426.92</v>
      </c>
      <c r="H163" s="5">
        <v>0.4677</v>
      </c>
      <c r="I163" s="5">
        <v>2.086608</v>
      </c>
      <c r="J163" s="5">
        <v>4.1210000000000004</v>
      </c>
      <c r="K163" s="5">
        <v>-3.28545</v>
      </c>
      <c r="L163" s="5">
        <v>-6.9199999999991491E-3</v>
      </c>
      <c r="M163" s="5">
        <v>-8.3039999999989789E-2</v>
      </c>
    </row>
    <row r="164" spans="1:13">
      <c r="A164" t="s">
        <v>2</v>
      </c>
      <c r="B164" s="4">
        <v>46311.621577013888</v>
      </c>
      <c r="C164" s="5">
        <v>809.76499999999942</v>
      </c>
      <c r="D164" s="5">
        <v>13.496083333333321</v>
      </c>
      <c r="E164" s="5">
        <v>163</v>
      </c>
      <c r="F164" s="5">
        <v>1514537</v>
      </c>
      <c r="G164" s="5">
        <v>427.2</v>
      </c>
      <c r="H164" s="5">
        <v>0.55900000000000005</v>
      </c>
      <c r="I164" s="5">
        <v>2.0879759999999998</v>
      </c>
      <c r="J164" s="5">
        <v>4.1129300000000004</v>
      </c>
      <c r="K164" s="5">
        <v>-3.29352</v>
      </c>
      <c r="L164" s="5">
        <v>-8.0700000000000216E-3</v>
      </c>
      <c r="M164" s="5">
        <v>-9.6840000000000259E-2</v>
      </c>
    </row>
    <row r="165" spans="1:13">
      <c r="A165" t="s">
        <v>2</v>
      </c>
      <c r="B165" s="4">
        <v>46311.621634780095</v>
      </c>
      <c r="C165" s="5">
        <v>814.76499999999942</v>
      </c>
      <c r="D165" s="5">
        <v>13.57941666666666</v>
      </c>
      <c r="E165" s="5">
        <v>164</v>
      </c>
      <c r="F165" s="5">
        <v>1519538</v>
      </c>
      <c r="G165" s="5">
        <v>427.28</v>
      </c>
      <c r="H165" s="5">
        <v>0.53029999999999999</v>
      </c>
      <c r="I165" s="5">
        <v>2.0883669999999999</v>
      </c>
      <c r="J165" s="5">
        <v>4.1106199999999999</v>
      </c>
      <c r="K165" s="5">
        <v>-3.29583</v>
      </c>
      <c r="L165" s="5">
        <v>-2.3100000000004779E-3</v>
      </c>
      <c r="M165" s="5">
        <v>-2.772000000000574E-2</v>
      </c>
    </row>
    <row r="166" spans="1:13">
      <c r="A166" t="s">
        <v>2</v>
      </c>
      <c r="B166" s="4">
        <v>46311.621692546294</v>
      </c>
      <c r="C166" s="5">
        <v>819.75</v>
      </c>
      <c r="D166" s="5">
        <v>13.6625</v>
      </c>
      <c r="E166" s="5">
        <v>165</v>
      </c>
      <c r="F166" s="5">
        <v>1524538</v>
      </c>
      <c r="G166" s="5">
        <v>427.28</v>
      </c>
      <c r="H166" s="5">
        <v>0.45069999999999999</v>
      </c>
      <c r="I166" s="5">
        <v>2.0883669999999999</v>
      </c>
      <c r="J166" s="5">
        <v>4.1106199999999999</v>
      </c>
      <c r="K166" s="5">
        <v>-3.29583</v>
      </c>
      <c r="L166" s="5">
        <v>0</v>
      </c>
      <c r="M166" s="5">
        <v>0</v>
      </c>
    </row>
    <row r="167" spans="1:13">
      <c r="A167" t="s">
        <v>2</v>
      </c>
      <c r="B167" s="4">
        <v>46311.621750509257</v>
      </c>
      <c r="C167" s="5">
        <v>824.76499999999942</v>
      </c>
      <c r="D167" s="5">
        <v>13.746083333333321</v>
      </c>
      <c r="E167" s="5">
        <v>166</v>
      </c>
      <c r="F167" s="5">
        <v>1529538</v>
      </c>
      <c r="G167" s="5">
        <v>427.8</v>
      </c>
      <c r="H167" s="5">
        <v>0.41460000000000002</v>
      </c>
      <c r="I167" s="5">
        <v>2.0909089999999999</v>
      </c>
      <c r="J167" s="5">
        <v>4.0956200000000003</v>
      </c>
      <c r="K167" s="5">
        <v>-3.3108300000000002</v>
      </c>
      <c r="L167" s="5">
        <v>-1.499999999999968E-2</v>
      </c>
      <c r="M167" s="5">
        <v>-0.17946161515455339</v>
      </c>
    </row>
    <row r="168" spans="1:13">
      <c r="A168" t="s">
        <v>2</v>
      </c>
      <c r="B168" s="4">
        <v>46311.62180828704</v>
      </c>
      <c r="C168" s="5">
        <v>829.75</v>
      </c>
      <c r="D168" s="5">
        <v>13.829166666666669</v>
      </c>
      <c r="E168" s="5">
        <v>167</v>
      </c>
      <c r="F168" s="5">
        <v>1534537</v>
      </c>
      <c r="G168" s="5">
        <v>428</v>
      </c>
      <c r="H168" s="5">
        <v>0.27950000000000003</v>
      </c>
      <c r="I168" s="5">
        <v>2.0918860000000001</v>
      </c>
      <c r="J168" s="5">
        <v>4.0898599999999998</v>
      </c>
      <c r="K168" s="5">
        <v>-3.316590000000001</v>
      </c>
      <c r="L168" s="5">
        <v>-5.7600000000004306E-3</v>
      </c>
      <c r="M168" s="5">
        <v>-6.9327983951852676E-2</v>
      </c>
    </row>
    <row r="169" spans="1:13">
      <c r="A169" t="s">
        <v>2</v>
      </c>
      <c r="B169" s="4">
        <v>46311.621866064816</v>
      </c>
      <c r="C169" s="5">
        <v>834.75</v>
      </c>
      <c r="D169" s="5">
        <v>13.9125</v>
      </c>
      <c r="E169" s="5">
        <v>168</v>
      </c>
      <c r="F169" s="5">
        <v>1539538</v>
      </c>
      <c r="G169" s="5">
        <v>427.76</v>
      </c>
      <c r="H169" s="5">
        <v>0.5</v>
      </c>
      <c r="I169" s="5">
        <v>2.0907140000000002</v>
      </c>
      <c r="J169" s="5">
        <v>4.0967799999999999</v>
      </c>
      <c r="K169" s="5">
        <v>-3.309670000000001</v>
      </c>
      <c r="L169" s="5">
        <v>6.9200000000000372E-3</v>
      </c>
      <c r="M169" s="5">
        <v>8.3040000000000447E-2</v>
      </c>
    </row>
    <row r="170" spans="1:13">
      <c r="A170" t="s">
        <v>2</v>
      </c>
      <c r="B170" s="4">
        <v>46311.621923831015</v>
      </c>
      <c r="C170" s="5">
        <v>839.73399999999674</v>
      </c>
      <c r="D170" s="5">
        <v>13.99556666666661</v>
      </c>
      <c r="E170" s="5">
        <v>169</v>
      </c>
      <c r="F170" s="5">
        <v>1544537</v>
      </c>
      <c r="G170" s="5">
        <v>427.84</v>
      </c>
      <c r="H170" s="5">
        <v>0.4677</v>
      </c>
      <c r="I170" s="5">
        <v>2.0911040000000001</v>
      </c>
      <c r="J170" s="5">
        <v>4.0944700000000003</v>
      </c>
      <c r="K170" s="5">
        <v>-3.3119800000000001</v>
      </c>
      <c r="L170" s="5">
        <v>-2.3099999999995902E-3</v>
      </c>
      <c r="M170" s="5">
        <v>-2.7808988764058191E-2</v>
      </c>
    </row>
    <row r="171" spans="1:13">
      <c r="A171" t="s">
        <v>2</v>
      </c>
      <c r="B171" s="4">
        <v>46311.621981793978</v>
      </c>
      <c r="C171" s="5">
        <v>844.75</v>
      </c>
      <c r="D171" s="5">
        <v>14.079166666666669</v>
      </c>
      <c r="E171" s="5">
        <v>170</v>
      </c>
      <c r="F171" s="5">
        <v>1549538</v>
      </c>
      <c r="G171" s="5">
        <v>428.36</v>
      </c>
      <c r="H171" s="5">
        <v>0.48409999999999997</v>
      </c>
      <c r="I171" s="5">
        <v>2.0936460000000001</v>
      </c>
      <c r="J171" s="5">
        <v>4.0794699999999997</v>
      </c>
      <c r="K171" s="5">
        <v>-3.3269800000000012</v>
      </c>
      <c r="L171" s="5">
        <v>-1.500000000000057E-2</v>
      </c>
      <c r="M171" s="5">
        <v>-0.17942583732046441</v>
      </c>
    </row>
    <row r="172" spans="1:13">
      <c r="A172" t="s">
        <v>2</v>
      </c>
      <c r="B172" s="4">
        <v>46311.622039571761</v>
      </c>
      <c r="C172" s="5">
        <v>849.73399999999674</v>
      </c>
      <c r="D172" s="5">
        <v>14.16223333333328</v>
      </c>
      <c r="E172" s="5">
        <v>171</v>
      </c>
      <c r="F172" s="5">
        <v>1554538</v>
      </c>
      <c r="G172" s="5">
        <v>428.2</v>
      </c>
      <c r="H172" s="5">
        <v>0.48409999999999997</v>
      </c>
      <c r="I172" s="5">
        <v>2.0928640000000001</v>
      </c>
      <c r="J172" s="5">
        <v>4.0840899999999998</v>
      </c>
      <c r="K172" s="5">
        <v>-3.3223600000000011</v>
      </c>
      <c r="L172" s="5">
        <v>4.6200000000000676E-3</v>
      </c>
      <c r="M172" s="5">
        <v>5.5617977528127083E-2</v>
      </c>
    </row>
    <row r="173" spans="1:13">
      <c r="A173" t="s">
        <v>2</v>
      </c>
      <c r="B173" s="4">
        <v>46311.622097349536</v>
      </c>
      <c r="C173" s="5">
        <v>854.73399999999674</v>
      </c>
      <c r="D173" s="5">
        <v>14.24556666666661</v>
      </c>
      <c r="E173" s="5">
        <v>172</v>
      </c>
      <c r="F173" s="5">
        <v>1559538</v>
      </c>
      <c r="G173" s="5">
        <v>428.24</v>
      </c>
      <c r="H173" s="5">
        <v>0.53029999999999999</v>
      </c>
      <c r="I173" s="5">
        <v>2.0930599999999999</v>
      </c>
      <c r="J173" s="5">
        <v>4.0829399999999998</v>
      </c>
      <c r="K173" s="5">
        <v>-3.3235100000000011</v>
      </c>
      <c r="L173" s="5">
        <v>-1.1499999999999839E-3</v>
      </c>
      <c r="M173" s="5">
        <v>-1.3799999999999811E-2</v>
      </c>
    </row>
    <row r="174" spans="1:13">
      <c r="A174" t="s">
        <v>2</v>
      </c>
      <c r="B174" s="4">
        <v>46311.6221553125</v>
      </c>
      <c r="C174" s="5">
        <v>859.73399999999674</v>
      </c>
      <c r="D174" s="5">
        <v>14.328899999999949</v>
      </c>
      <c r="E174" s="5">
        <v>173</v>
      </c>
      <c r="F174" s="5">
        <v>1564537</v>
      </c>
      <c r="G174" s="5">
        <v>428.56</v>
      </c>
      <c r="H174" s="5">
        <v>0.5</v>
      </c>
      <c r="I174" s="5">
        <v>2.094624</v>
      </c>
      <c r="J174" s="5">
        <v>4.0737100000000002</v>
      </c>
      <c r="K174" s="5">
        <v>-3.3327399999999998</v>
      </c>
      <c r="L174" s="5">
        <v>-9.2299999999996274E-3</v>
      </c>
      <c r="M174" s="5">
        <v>-0.1107599999999955</v>
      </c>
    </row>
    <row r="175" spans="1:13">
      <c r="A175" t="s">
        <v>2</v>
      </c>
      <c r="B175" s="4">
        <v>46311.622213090275</v>
      </c>
      <c r="C175" s="5">
        <v>864.73399999999674</v>
      </c>
      <c r="D175" s="5">
        <v>14.41223333333328</v>
      </c>
      <c r="E175" s="5">
        <v>174</v>
      </c>
      <c r="F175" s="5">
        <v>1569538</v>
      </c>
      <c r="G175" s="5">
        <v>428.52</v>
      </c>
      <c r="H175" s="5">
        <v>0.51539999999999997</v>
      </c>
      <c r="I175" s="5">
        <v>2.0944280000000002</v>
      </c>
      <c r="J175" s="5">
        <v>4.0748600000000001</v>
      </c>
      <c r="K175" s="5">
        <v>-3.3315899999999998</v>
      </c>
      <c r="L175" s="5">
        <v>1.1499999999999839E-3</v>
      </c>
      <c r="M175" s="5">
        <v>1.3799999999999811E-2</v>
      </c>
    </row>
    <row r="176" spans="1:13">
      <c r="A176" t="s">
        <v>2</v>
      </c>
      <c r="B176" s="4">
        <v>46311.622270844906</v>
      </c>
      <c r="C176" s="5">
        <v>869.71899999999732</v>
      </c>
      <c r="D176" s="5">
        <v>14.49531666666662</v>
      </c>
      <c r="E176" s="5">
        <v>175</v>
      </c>
      <c r="F176" s="5">
        <v>1574538</v>
      </c>
      <c r="G176" s="5">
        <v>428.88</v>
      </c>
      <c r="H176" s="5">
        <v>0.5</v>
      </c>
      <c r="I176" s="5">
        <v>2.0961880000000002</v>
      </c>
      <c r="J176" s="5">
        <v>4.0644799999999996</v>
      </c>
      <c r="K176" s="5">
        <v>-3.3419700000000012</v>
      </c>
      <c r="L176" s="5">
        <v>-1.03800000000005E-2</v>
      </c>
      <c r="M176" s="5">
        <v>-0.1249348044132312</v>
      </c>
    </row>
    <row r="177" spans="1:13">
      <c r="A177" t="s">
        <v>2</v>
      </c>
      <c r="B177" s="4">
        <v>46311.622328819445</v>
      </c>
      <c r="C177" s="5">
        <v>874.73399999999674</v>
      </c>
      <c r="D177" s="5">
        <v>14.578899999999949</v>
      </c>
      <c r="E177" s="5">
        <v>176</v>
      </c>
      <c r="F177" s="5">
        <v>1579537</v>
      </c>
      <c r="G177" s="5">
        <v>428.88</v>
      </c>
      <c r="H177" s="5">
        <v>0.41460000000000002</v>
      </c>
      <c r="I177" s="5">
        <v>2.0961880000000002</v>
      </c>
      <c r="J177" s="5">
        <v>4.0644799999999996</v>
      </c>
      <c r="K177" s="5">
        <v>-3.3419700000000012</v>
      </c>
      <c r="L177" s="5">
        <v>0</v>
      </c>
      <c r="M177" s="5">
        <v>0</v>
      </c>
    </row>
    <row r="178" spans="1:13">
      <c r="A178" t="s">
        <v>2</v>
      </c>
      <c r="B178" s="4">
        <v>46311.622386597221</v>
      </c>
      <c r="C178" s="5">
        <v>879.71899999999732</v>
      </c>
      <c r="D178" s="5">
        <v>14.661983333333289</v>
      </c>
      <c r="E178" s="5">
        <v>177</v>
      </c>
      <c r="F178" s="5">
        <v>1584538</v>
      </c>
      <c r="G178" s="5">
        <v>428.84</v>
      </c>
      <c r="H178" s="5">
        <v>0.54490000000000005</v>
      </c>
      <c r="I178" s="5">
        <v>2.0959919999999999</v>
      </c>
      <c r="J178" s="5">
        <v>4.0656299999999996</v>
      </c>
      <c r="K178" s="5">
        <v>-3.3408200000000008</v>
      </c>
      <c r="L178" s="5">
        <v>1.1499999999999839E-3</v>
      </c>
      <c r="M178" s="5">
        <v>1.3841524573719359E-2</v>
      </c>
    </row>
    <row r="179" spans="1:13">
      <c r="A179" t="s">
        <v>2</v>
      </c>
      <c r="B179" s="4">
        <v>46311.622444351851</v>
      </c>
      <c r="C179" s="5">
        <v>884.70299999999406</v>
      </c>
      <c r="D179" s="5">
        <v>14.7450499999999</v>
      </c>
      <c r="E179" s="5">
        <v>178</v>
      </c>
      <c r="F179" s="5">
        <v>1589538</v>
      </c>
      <c r="G179" s="5">
        <v>429.2</v>
      </c>
      <c r="H179" s="5">
        <v>0.375</v>
      </c>
      <c r="I179" s="5">
        <v>2.0977519999999998</v>
      </c>
      <c r="J179" s="5">
        <v>4.05525</v>
      </c>
      <c r="K179" s="5">
        <v>-3.3512</v>
      </c>
      <c r="L179" s="5">
        <v>-1.037999999999961E-2</v>
      </c>
      <c r="M179" s="5">
        <v>-0.12495987158916209</v>
      </c>
    </row>
    <row r="180" spans="1:13">
      <c r="A180" t="s">
        <v>2</v>
      </c>
      <c r="B180" s="4">
        <v>46311.622502314814</v>
      </c>
      <c r="C180" s="5">
        <v>889.71899999999732</v>
      </c>
      <c r="D180" s="5">
        <v>14.828649999999961</v>
      </c>
      <c r="E180" s="5">
        <v>179</v>
      </c>
      <c r="F180" s="5">
        <v>1594537</v>
      </c>
      <c r="G180" s="5">
        <v>429.4</v>
      </c>
      <c r="H180" s="5">
        <v>0.48409999999999997</v>
      </c>
      <c r="I180" s="5">
        <v>2.0987290000000001</v>
      </c>
      <c r="J180" s="5">
        <v>4.04948</v>
      </c>
      <c r="K180" s="5">
        <v>-3.35697</v>
      </c>
      <c r="L180" s="5">
        <v>-5.7700000000000529E-3</v>
      </c>
      <c r="M180" s="5">
        <v>-6.901913875593664E-2</v>
      </c>
    </row>
    <row r="181" spans="1:13">
      <c r="A181" t="s">
        <v>2</v>
      </c>
      <c r="B181" s="4">
        <v>46311.622560104166</v>
      </c>
      <c r="C181" s="5">
        <v>894.70299999999406</v>
      </c>
      <c r="D181" s="5">
        <v>14.911716666666569</v>
      </c>
      <c r="E181" s="5">
        <v>180</v>
      </c>
      <c r="F181" s="5">
        <v>1599538</v>
      </c>
      <c r="G181" s="5">
        <v>429.48</v>
      </c>
      <c r="H181" s="5">
        <v>0.48409999999999997</v>
      </c>
      <c r="I181" s="5">
        <v>2.0991200000000001</v>
      </c>
      <c r="J181" s="5">
        <v>4.0471700000000004</v>
      </c>
      <c r="K181" s="5">
        <v>-3.35928</v>
      </c>
      <c r="L181" s="5">
        <v>-2.3099999999995902E-3</v>
      </c>
      <c r="M181" s="5">
        <v>-2.7808988764058191E-2</v>
      </c>
    </row>
    <row r="182" spans="1:13">
      <c r="A182" t="s">
        <v>2</v>
      </c>
      <c r="B182" s="4">
        <v>46311.622617870373</v>
      </c>
      <c r="C182" s="5">
        <v>899.70299999999406</v>
      </c>
      <c r="D182" s="5">
        <v>14.9950499999999</v>
      </c>
      <c r="E182" s="5">
        <v>181</v>
      </c>
      <c r="F182" s="5">
        <v>1604538</v>
      </c>
      <c r="G182" s="5">
        <v>429.2</v>
      </c>
      <c r="H182" s="5">
        <v>0.375</v>
      </c>
      <c r="I182" s="5">
        <v>2.0977519999999998</v>
      </c>
      <c r="J182" s="5">
        <v>4.05525</v>
      </c>
      <c r="K182" s="5">
        <v>-3.3512</v>
      </c>
      <c r="L182" s="5">
        <v>8.079999999999643E-3</v>
      </c>
      <c r="M182" s="5">
        <v>9.6959999999995716E-2</v>
      </c>
    </row>
    <row r="183" spans="1:13">
      <c r="A183" t="s">
        <v>2</v>
      </c>
      <c r="B183" s="4">
        <v>46311.62267582176</v>
      </c>
      <c r="C183" s="5">
        <v>904.70299999999406</v>
      </c>
      <c r="D183" s="5">
        <v>15.07838333333323</v>
      </c>
      <c r="E183" s="5">
        <v>182</v>
      </c>
      <c r="F183" s="5">
        <v>1609538</v>
      </c>
      <c r="G183" s="5">
        <v>429.6</v>
      </c>
      <c r="H183" s="5">
        <v>0.48409999999999997</v>
      </c>
      <c r="I183" s="5">
        <v>2.099707</v>
      </c>
      <c r="J183" s="5">
        <v>4.0437099999999999</v>
      </c>
      <c r="K183" s="5">
        <v>-3.362740000000001</v>
      </c>
      <c r="L183" s="5">
        <v>-1.1540000000000109E-2</v>
      </c>
      <c r="M183" s="5">
        <v>-0.1384800000000013</v>
      </c>
    </row>
    <row r="184" spans="1:13">
      <c r="A184" t="s">
        <v>2</v>
      </c>
      <c r="B184" s="4">
        <v>46311.622733599535</v>
      </c>
      <c r="C184" s="5">
        <v>909.70299999999406</v>
      </c>
      <c r="D184" s="5">
        <v>15.161716666666569</v>
      </c>
      <c r="E184" s="5">
        <v>183</v>
      </c>
      <c r="F184" s="5">
        <v>1614538</v>
      </c>
      <c r="G184" s="5">
        <v>430.04</v>
      </c>
      <c r="H184" s="5">
        <v>0.53029999999999999</v>
      </c>
      <c r="I184" s="5">
        <v>2.1018569999999999</v>
      </c>
      <c r="J184" s="5">
        <v>4.0310199999999998</v>
      </c>
      <c r="K184" s="5">
        <v>-3.375430000000001</v>
      </c>
      <c r="L184" s="5">
        <v>-1.269000000000009E-2</v>
      </c>
      <c r="M184" s="5">
        <v>-0.15228000000000111</v>
      </c>
    </row>
    <row r="185" spans="1:13">
      <c r="A185" t="s">
        <v>2</v>
      </c>
      <c r="B185" s="4">
        <v>46311.622791365742</v>
      </c>
      <c r="C185" s="5">
        <v>914.68699999999808</v>
      </c>
      <c r="D185" s="5">
        <v>15.2447833333333</v>
      </c>
      <c r="E185" s="5">
        <v>184</v>
      </c>
      <c r="F185" s="5">
        <v>1619538</v>
      </c>
      <c r="G185" s="5">
        <v>429.56</v>
      </c>
      <c r="H185" s="5">
        <v>0.5</v>
      </c>
      <c r="I185" s="5">
        <v>2.0995110000000001</v>
      </c>
      <c r="J185" s="5">
        <v>4.0448700000000004</v>
      </c>
      <c r="K185" s="5">
        <v>-3.36158</v>
      </c>
      <c r="L185" s="5">
        <v>1.3850000000000581E-2</v>
      </c>
      <c r="M185" s="5">
        <v>0.1667335473513975</v>
      </c>
    </row>
    <row r="186" spans="1:13">
      <c r="A186" t="s">
        <v>2</v>
      </c>
      <c r="B186" s="4">
        <v>46311.622849328705</v>
      </c>
      <c r="C186" s="5">
        <v>919.70299999999406</v>
      </c>
      <c r="D186" s="5">
        <v>15.32838333333323</v>
      </c>
      <c r="E186" s="5">
        <v>185</v>
      </c>
      <c r="F186" s="5">
        <v>1624538</v>
      </c>
      <c r="G186" s="5">
        <v>429.92</v>
      </c>
      <c r="H186" s="5">
        <v>0.61240000000000006</v>
      </c>
      <c r="I186" s="5">
        <v>2.1012710000000001</v>
      </c>
      <c r="J186" s="5">
        <v>4.0344800000000003</v>
      </c>
      <c r="K186" s="5">
        <v>-3.3719700000000001</v>
      </c>
      <c r="L186" s="5">
        <v>-1.039000000000012E-2</v>
      </c>
      <c r="M186" s="5">
        <v>-0.1242822966508187</v>
      </c>
    </row>
    <row r="187" spans="1:13">
      <c r="A187" t="s">
        <v>2</v>
      </c>
      <c r="B187" s="4">
        <v>46311.622907094905</v>
      </c>
      <c r="C187" s="5">
        <v>924.68699999999808</v>
      </c>
      <c r="D187" s="5">
        <v>15.41144999999997</v>
      </c>
      <c r="E187" s="5">
        <v>186</v>
      </c>
      <c r="F187" s="5">
        <v>1629537</v>
      </c>
      <c r="G187" s="5">
        <v>430.24</v>
      </c>
      <c r="H187" s="5">
        <v>0.433</v>
      </c>
      <c r="I187" s="5">
        <v>2.1028349999999998</v>
      </c>
      <c r="J187" s="5">
        <v>4.0252499999999998</v>
      </c>
      <c r="K187" s="5">
        <v>-3.3812000000000011</v>
      </c>
      <c r="L187" s="5">
        <v>-9.2300000000005156E-3</v>
      </c>
      <c r="M187" s="5">
        <v>-0.11111556982335161</v>
      </c>
    </row>
    <row r="188" spans="1:13">
      <c r="A188" t="s">
        <v>2</v>
      </c>
      <c r="B188" s="4">
        <v>46311.622964872688</v>
      </c>
      <c r="C188" s="5">
        <v>929.68699999999808</v>
      </c>
      <c r="D188" s="5">
        <v>15.4947833333333</v>
      </c>
      <c r="E188" s="5">
        <v>187</v>
      </c>
      <c r="F188" s="5">
        <v>1634538</v>
      </c>
      <c r="G188" s="5">
        <v>430.16</v>
      </c>
      <c r="H188" s="5">
        <v>0.375</v>
      </c>
      <c r="I188" s="5">
        <v>2.1024440000000002</v>
      </c>
      <c r="J188" s="5">
        <v>4.0275600000000003</v>
      </c>
      <c r="K188" s="5">
        <v>-3.3788900000000002</v>
      </c>
      <c r="L188" s="5">
        <v>2.3100000000004779E-3</v>
      </c>
      <c r="M188" s="5">
        <v>2.772000000000574E-2</v>
      </c>
    </row>
    <row r="189" spans="1:13">
      <c r="A189" t="s">
        <v>2</v>
      </c>
      <c r="B189" s="4">
        <v>46311.623022835651</v>
      </c>
      <c r="C189" s="5">
        <v>934.68699999999808</v>
      </c>
      <c r="D189" s="5">
        <v>15.578116666666631</v>
      </c>
      <c r="E189" s="5">
        <v>188</v>
      </c>
      <c r="F189" s="5">
        <v>1639538</v>
      </c>
      <c r="G189" s="5">
        <v>430</v>
      </c>
      <c r="H189" s="5">
        <v>0.39529999999999998</v>
      </c>
      <c r="I189" s="5">
        <v>2.1016620000000001</v>
      </c>
      <c r="J189" s="5">
        <v>4.0321800000000003</v>
      </c>
      <c r="K189" s="5">
        <v>-3.3742700000000001</v>
      </c>
      <c r="L189" s="5">
        <v>4.6200000000000676E-3</v>
      </c>
      <c r="M189" s="5">
        <v>5.5440000000000822E-2</v>
      </c>
    </row>
    <row r="190" spans="1:13">
      <c r="A190" t="s">
        <v>2</v>
      </c>
      <c r="B190" s="4">
        <v>46311.623080625002</v>
      </c>
      <c r="C190" s="5">
        <v>939.68699999999808</v>
      </c>
      <c r="D190" s="5">
        <v>15.66144999999997</v>
      </c>
      <c r="E190" s="5">
        <v>189</v>
      </c>
      <c r="F190" s="5">
        <v>1644538</v>
      </c>
      <c r="G190" s="5">
        <v>430.24</v>
      </c>
      <c r="H190" s="5">
        <v>0.51539999999999997</v>
      </c>
      <c r="I190" s="5">
        <v>2.1028349999999998</v>
      </c>
      <c r="J190" s="5">
        <v>4.0252499999999998</v>
      </c>
      <c r="K190" s="5">
        <v>-3.3812000000000011</v>
      </c>
      <c r="L190" s="5">
        <v>-6.9300000000005468E-3</v>
      </c>
      <c r="M190" s="5">
        <v>-8.3160000000006562E-2</v>
      </c>
    </row>
    <row r="191" spans="1:13">
      <c r="A191" t="s">
        <v>2</v>
      </c>
      <c r="B191" s="4">
        <v>46311.623138391202</v>
      </c>
      <c r="C191" s="5">
        <v>944.67199999999866</v>
      </c>
      <c r="D191" s="5">
        <v>15.74453333333331</v>
      </c>
      <c r="E191" s="5">
        <v>190</v>
      </c>
      <c r="F191" s="5">
        <v>1649538</v>
      </c>
      <c r="G191" s="5">
        <v>430.2</v>
      </c>
      <c r="H191" s="5">
        <v>0.39529999999999998</v>
      </c>
      <c r="I191" s="5">
        <v>2.1026389999999999</v>
      </c>
      <c r="J191" s="5">
        <v>4.0264100000000003</v>
      </c>
      <c r="K191" s="5">
        <v>-3.3800400000000002</v>
      </c>
      <c r="L191" s="5">
        <v>1.160000000000494E-3</v>
      </c>
      <c r="M191" s="5">
        <v>1.396188565697523E-2</v>
      </c>
    </row>
    <row r="192" spans="1:13">
      <c r="A192" t="s">
        <v>2</v>
      </c>
      <c r="B192" s="4">
        <v>46311.623196342596</v>
      </c>
      <c r="C192" s="5">
        <v>949.68699999999808</v>
      </c>
      <c r="D192" s="5">
        <v>15.828116666666631</v>
      </c>
      <c r="E192" s="5">
        <v>191</v>
      </c>
      <c r="F192" s="5">
        <v>1654538</v>
      </c>
      <c r="G192" s="5">
        <v>430.56</v>
      </c>
      <c r="H192" s="5">
        <v>0.57279999999999998</v>
      </c>
      <c r="I192" s="5">
        <v>2.1043989999999999</v>
      </c>
      <c r="J192" s="5">
        <v>4.0160299999999998</v>
      </c>
      <c r="K192" s="5">
        <v>-3.3904200000000011</v>
      </c>
      <c r="L192" s="5">
        <v>-1.03800000000005E-2</v>
      </c>
      <c r="M192" s="5">
        <v>-0.1241874376869596</v>
      </c>
    </row>
    <row r="193" spans="1:13">
      <c r="A193" t="s">
        <v>2</v>
      </c>
      <c r="B193" s="4">
        <v>46311.623254120372</v>
      </c>
      <c r="C193" s="5">
        <v>954.67199999999866</v>
      </c>
      <c r="D193" s="5">
        <v>15.91119999999998</v>
      </c>
      <c r="E193" s="5">
        <v>192</v>
      </c>
      <c r="F193" s="5">
        <v>1659538</v>
      </c>
      <c r="G193" s="5">
        <v>430.64</v>
      </c>
      <c r="H193" s="5">
        <v>0.4677</v>
      </c>
      <c r="I193" s="5">
        <v>2.1047899999999999</v>
      </c>
      <c r="J193" s="5">
        <v>4.0137200000000002</v>
      </c>
      <c r="K193" s="5">
        <v>-3.3927299999999998</v>
      </c>
      <c r="L193" s="5">
        <v>-2.3099999999995902E-3</v>
      </c>
      <c r="M193" s="5">
        <v>-2.78034102306839E-2</v>
      </c>
    </row>
    <row r="194" spans="1:13">
      <c r="A194" t="s">
        <v>2</v>
      </c>
      <c r="B194" s="4">
        <v>46311.623311898147</v>
      </c>
      <c r="C194" s="5">
        <v>959.67199999999866</v>
      </c>
      <c r="D194" s="5">
        <v>15.99453333333331</v>
      </c>
      <c r="E194" s="5">
        <v>193</v>
      </c>
      <c r="F194" s="5">
        <v>1664538</v>
      </c>
      <c r="G194" s="5">
        <v>430.64</v>
      </c>
      <c r="H194" s="5">
        <v>0.4677</v>
      </c>
      <c r="I194" s="5">
        <v>2.1047899999999999</v>
      </c>
      <c r="J194" s="5">
        <v>4.0137200000000002</v>
      </c>
      <c r="K194" s="5">
        <v>-3.3927299999999998</v>
      </c>
      <c r="L194" s="5">
        <v>0</v>
      </c>
      <c r="M194" s="5">
        <v>0</v>
      </c>
    </row>
    <row r="195" spans="1:13">
      <c r="A195" t="s">
        <v>2</v>
      </c>
      <c r="B195" s="4">
        <v>46311.623369849534</v>
      </c>
      <c r="C195" s="5">
        <v>964.67199999999866</v>
      </c>
      <c r="D195" s="5">
        <v>16.07786666666664</v>
      </c>
      <c r="E195" s="5">
        <v>194</v>
      </c>
      <c r="F195" s="5">
        <v>1669538</v>
      </c>
      <c r="G195" s="5">
        <v>430.92</v>
      </c>
      <c r="H195" s="5">
        <v>0.25</v>
      </c>
      <c r="I195" s="5">
        <v>2.1061580000000002</v>
      </c>
      <c r="J195" s="5">
        <v>4.0056399999999996</v>
      </c>
      <c r="K195" s="5">
        <v>-3.4008100000000012</v>
      </c>
      <c r="L195" s="5">
        <v>-8.0800000000005312E-3</v>
      </c>
      <c r="M195" s="5">
        <v>-9.6960000000006374E-2</v>
      </c>
    </row>
    <row r="196" spans="1:13">
      <c r="A196" t="s">
        <v>2</v>
      </c>
      <c r="B196" s="4">
        <v>46311.623427638886</v>
      </c>
      <c r="C196" s="5">
        <v>969.67199999999866</v>
      </c>
      <c r="D196" s="5">
        <v>16.16119999999998</v>
      </c>
      <c r="E196" s="5">
        <v>195</v>
      </c>
      <c r="F196" s="5">
        <v>1674537</v>
      </c>
      <c r="G196" s="5">
        <v>431.04</v>
      </c>
      <c r="H196" s="5">
        <v>0.45069999999999999</v>
      </c>
      <c r="I196" s="5">
        <v>2.1067450000000001</v>
      </c>
      <c r="J196" s="5">
        <v>4.0021800000000001</v>
      </c>
      <c r="K196" s="5">
        <v>-3.4042699999999999</v>
      </c>
      <c r="L196" s="5">
        <v>-3.459999999999575E-3</v>
      </c>
      <c r="M196" s="5">
        <v>-4.1519999999994887E-2</v>
      </c>
    </row>
    <row r="197" spans="1:13">
      <c r="A197" t="s">
        <v>2</v>
      </c>
      <c r="B197" s="4">
        <v>46311.623485405093</v>
      </c>
      <c r="C197" s="5">
        <v>974.6559999999954</v>
      </c>
      <c r="D197" s="5">
        <v>16.24426666666659</v>
      </c>
      <c r="E197" s="5">
        <v>196</v>
      </c>
      <c r="F197" s="5">
        <v>1679538</v>
      </c>
      <c r="G197" s="5">
        <v>431.08</v>
      </c>
      <c r="H197" s="5">
        <v>0.41460000000000002</v>
      </c>
      <c r="I197" s="5">
        <v>2.1069399999999998</v>
      </c>
      <c r="J197" s="5">
        <v>4.0010300000000001</v>
      </c>
      <c r="K197" s="5">
        <v>-3.4054199999999999</v>
      </c>
      <c r="L197" s="5">
        <v>-1.1499999999999839E-3</v>
      </c>
      <c r="M197" s="5">
        <v>-1.3844301765658949E-2</v>
      </c>
    </row>
    <row r="198" spans="1:13">
      <c r="A198" t="s">
        <v>2</v>
      </c>
      <c r="B198" s="4">
        <v>46311.623543182868</v>
      </c>
      <c r="C198" s="5">
        <v>979.6559999999954</v>
      </c>
      <c r="D198" s="5">
        <v>16.327599999999919</v>
      </c>
      <c r="E198" s="5">
        <v>197</v>
      </c>
      <c r="F198" s="5">
        <v>1684538</v>
      </c>
      <c r="G198" s="5">
        <v>430.96</v>
      </c>
      <c r="H198" s="5">
        <v>0.53029999999999999</v>
      </c>
      <c r="I198" s="5">
        <v>2.1063540000000001</v>
      </c>
      <c r="J198" s="5">
        <v>4.0044899999999997</v>
      </c>
      <c r="K198" s="5">
        <v>-3.4019600000000012</v>
      </c>
      <c r="L198" s="5">
        <v>3.459999999999575E-3</v>
      </c>
      <c r="M198" s="5">
        <v>4.1519999999994887E-2</v>
      </c>
    </row>
    <row r="199" spans="1:13">
      <c r="A199" t="s">
        <v>2</v>
      </c>
      <c r="B199" s="4">
        <v>46311.623601145831</v>
      </c>
      <c r="C199" s="5">
        <v>984.6559999999954</v>
      </c>
      <c r="D199" s="5">
        <v>16.410933333333261</v>
      </c>
      <c r="E199" s="5">
        <v>198</v>
      </c>
      <c r="F199" s="5">
        <v>1689538</v>
      </c>
      <c r="G199" s="5">
        <v>431.36</v>
      </c>
      <c r="H199" s="5">
        <v>0.5</v>
      </c>
      <c r="I199" s="5">
        <v>2.1083090000000002</v>
      </c>
      <c r="J199" s="5">
        <v>3.99295</v>
      </c>
      <c r="K199" s="5">
        <v>-3.4135</v>
      </c>
      <c r="L199" s="5">
        <v>-1.153999999999966E-2</v>
      </c>
      <c r="M199" s="5">
        <v>-0.13847999999999591</v>
      </c>
    </row>
    <row r="200" spans="1:13">
      <c r="A200" t="s">
        <v>2</v>
      </c>
      <c r="B200" s="4">
        <v>46311.623658912038</v>
      </c>
      <c r="C200" s="5">
        <v>989.63999999999942</v>
      </c>
      <c r="D200" s="5">
        <v>16.493999999999989</v>
      </c>
      <c r="E200" s="5">
        <v>199</v>
      </c>
      <c r="F200" s="5">
        <v>1694538</v>
      </c>
      <c r="G200" s="5">
        <v>431.8</v>
      </c>
      <c r="H200" s="5">
        <v>0.41460000000000002</v>
      </c>
      <c r="I200" s="5">
        <v>2.1104590000000001</v>
      </c>
      <c r="J200" s="5">
        <v>3.9802599999999999</v>
      </c>
      <c r="K200" s="5">
        <v>-3.426190000000001</v>
      </c>
      <c r="L200" s="5">
        <v>-1.269000000000009E-2</v>
      </c>
      <c r="M200" s="5">
        <v>-0.15276886035300799</v>
      </c>
    </row>
    <row r="201" spans="1:13">
      <c r="A201" t="s">
        <v>2</v>
      </c>
      <c r="B201" s="4">
        <v>46311.623716689814</v>
      </c>
      <c r="C201" s="5">
        <v>994.63999999999942</v>
      </c>
      <c r="D201" s="5">
        <v>16.577333333333321</v>
      </c>
      <c r="E201" s="5">
        <v>200</v>
      </c>
      <c r="F201" s="5">
        <v>1699538</v>
      </c>
      <c r="G201" s="5">
        <v>431.2</v>
      </c>
      <c r="H201" s="5">
        <v>0.375</v>
      </c>
      <c r="I201" s="5">
        <v>2.1075270000000002</v>
      </c>
      <c r="J201" s="5">
        <v>3.9975700000000001</v>
      </c>
      <c r="K201" s="5">
        <v>-3.4088799999999999</v>
      </c>
      <c r="L201" s="5">
        <v>1.7310000000000159E-2</v>
      </c>
      <c r="M201" s="5">
        <v>0.2077200000000019</v>
      </c>
    </row>
    <row r="202" spans="1:13">
      <c r="A202" t="s">
        <v>2</v>
      </c>
      <c r="B202" s="4">
        <v>46311.623774641201</v>
      </c>
      <c r="C202" s="5">
        <v>999.63999999999942</v>
      </c>
      <c r="D202" s="5">
        <v>16.660666666666661</v>
      </c>
      <c r="E202" s="5">
        <v>201</v>
      </c>
      <c r="F202" s="5">
        <v>1704538</v>
      </c>
      <c r="G202" s="5">
        <v>431.44</v>
      </c>
      <c r="H202" s="5">
        <v>0.5</v>
      </c>
      <c r="I202" s="5">
        <v>2.1086999999999998</v>
      </c>
      <c r="J202" s="5">
        <v>3.99065</v>
      </c>
      <c r="K202" s="5">
        <v>-3.4157999999999999</v>
      </c>
      <c r="L202" s="5">
        <v>-6.9200000000000372E-3</v>
      </c>
      <c r="M202" s="5">
        <v>-8.3040000000000447E-2</v>
      </c>
    </row>
    <row r="203" spans="1:13">
      <c r="A203" t="s">
        <v>2</v>
      </c>
      <c r="B203" s="4">
        <v>46311.623832418984</v>
      </c>
      <c r="C203" s="5">
        <v>1004.639999999999</v>
      </c>
      <c r="D203" s="5">
        <v>16.743999999999989</v>
      </c>
      <c r="E203" s="5">
        <v>202</v>
      </c>
      <c r="F203" s="5">
        <v>1709538</v>
      </c>
      <c r="G203" s="5">
        <v>431.92</v>
      </c>
      <c r="H203" s="5">
        <v>0.39529999999999998</v>
      </c>
      <c r="I203" s="5">
        <v>2.111046</v>
      </c>
      <c r="J203" s="5">
        <v>3.9767999999999999</v>
      </c>
      <c r="K203" s="5">
        <v>-3.429650000000001</v>
      </c>
      <c r="L203" s="5">
        <v>-1.385000000000014E-2</v>
      </c>
      <c r="M203" s="5">
        <v>-0.16620000000000171</v>
      </c>
    </row>
    <row r="204" spans="1:13">
      <c r="A204" t="s">
        <v>2</v>
      </c>
      <c r="B204" s="4">
        <v>46311.623890208335</v>
      </c>
      <c r="C204" s="5">
        <v>1009.625</v>
      </c>
      <c r="D204" s="5">
        <v>16.827083333333331</v>
      </c>
      <c r="E204" s="5">
        <v>203</v>
      </c>
      <c r="F204" s="5">
        <v>1714538</v>
      </c>
      <c r="G204" s="5">
        <v>431.8</v>
      </c>
      <c r="H204" s="5">
        <v>0.5</v>
      </c>
      <c r="I204" s="5">
        <v>2.1104590000000001</v>
      </c>
      <c r="J204" s="5">
        <v>3.9802599999999999</v>
      </c>
      <c r="K204" s="5">
        <v>-3.426190000000001</v>
      </c>
      <c r="L204" s="5">
        <v>3.460000000000019E-3</v>
      </c>
      <c r="M204" s="5">
        <v>4.1644934804408597E-2</v>
      </c>
    </row>
    <row r="205" spans="1:13">
      <c r="A205" t="s">
        <v>2</v>
      </c>
      <c r="B205" s="4">
        <v>46311.623948159722</v>
      </c>
      <c r="C205" s="5">
        <v>1014.639999999999</v>
      </c>
      <c r="D205" s="5">
        <v>16.910666666666661</v>
      </c>
      <c r="E205" s="5">
        <v>204</v>
      </c>
      <c r="F205" s="5">
        <v>1719538</v>
      </c>
      <c r="G205" s="5">
        <v>431.52</v>
      </c>
      <c r="H205" s="5">
        <v>0.51539999999999997</v>
      </c>
      <c r="I205" s="5">
        <v>2.1090909999999998</v>
      </c>
      <c r="J205" s="5">
        <v>3.98834</v>
      </c>
      <c r="K205" s="5">
        <v>-3.41811</v>
      </c>
      <c r="L205" s="5">
        <v>8.0800000000000871E-3</v>
      </c>
      <c r="M205" s="5">
        <v>9.6669990029922534E-2</v>
      </c>
    </row>
    <row r="206" spans="1:13">
      <c r="A206" t="s">
        <v>2</v>
      </c>
      <c r="B206" s="4">
        <v>46311.624005937498</v>
      </c>
      <c r="C206" s="5">
        <v>1019.625</v>
      </c>
      <c r="D206" s="5">
        <v>16.993749999999999</v>
      </c>
      <c r="E206" s="5">
        <v>205</v>
      </c>
      <c r="F206" s="5">
        <v>1724537</v>
      </c>
      <c r="G206" s="5">
        <v>432.04</v>
      </c>
      <c r="H206" s="5">
        <v>0.53029999999999999</v>
      </c>
      <c r="I206" s="5">
        <v>2.1116320000000002</v>
      </c>
      <c r="J206" s="5">
        <v>3.9733399999999999</v>
      </c>
      <c r="K206" s="5">
        <v>-3.433110000000001</v>
      </c>
      <c r="L206" s="5">
        <v>-1.5000000000000119E-2</v>
      </c>
      <c r="M206" s="5">
        <v>-0.18054162487460429</v>
      </c>
    </row>
    <row r="207" spans="1:13">
      <c r="A207" t="s">
        <v>2</v>
      </c>
      <c r="B207" s="4">
        <v>46311.624063703704</v>
      </c>
      <c r="C207" s="5">
        <v>1024.625</v>
      </c>
      <c r="D207" s="5">
        <v>17.077083333333331</v>
      </c>
      <c r="E207" s="5">
        <v>206</v>
      </c>
      <c r="F207" s="5">
        <v>1729538</v>
      </c>
      <c r="G207" s="5">
        <v>431.64</v>
      </c>
      <c r="H207" s="5">
        <v>0.45069999999999999</v>
      </c>
      <c r="I207" s="5">
        <v>2.1096780000000002</v>
      </c>
      <c r="J207" s="5">
        <v>3.98488</v>
      </c>
      <c r="K207" s="5">
        <v>-3.42157</v>
      </c>
      <c r="L207" s="5">
        <v>1.1540000000000109E-2</v>
      </c>
      <c r="M207" s="5">
        <v>0.1384800000000013</v>
      </c>
    </row>
    <row r="208" spans="1:13">
      <c r="A208" t="s">
        <v>2</v>
      </c>
      <c r="B208" s="4">
        <v>46311.624121666668</v>
      </c>
      <c r="C208" s="5">
        <v>1029.625</v>
      </c>
      <c r="D208" s="5">
        <v>17.16041666666667</v>
      </c>
      <c r="E208" s="5">
        <v>207</v>
      </c>
      <c r="F208" s="5">
        <v>1734538</v>
      </c>
      <c r="G208" s="5">
        <v>432.16</v>
      </c>
      <c r="H208" s="5">
        <v>0.4677</v>
      </c>
      <c r="I208" s="5">
        <v>2.1122190000000001</v>
      </c>
      <c r="J208" s="5">
        <v>3.9698799999999999</v>
      </c>
      <c r="K208" s="5">
        <v>-3.436570000000001</v>
      </c>
      <c r="L208" s="5">
        <v>-1.5000000000000119E-2</v>
      </c>
      <c r="M208" s="5">
        <v>-0.18000000000000149</v>
      </c>
    </row>
    <row r="209" spans="1:13">
      <c r="A209" t="s">
        <v>2</v>
      </c>
      <c r="B209" s="4">
        <v>46311.624179432867</v>
      </c>
      <c r="C209" s="5">
        <v>1034.625</v>
      </c>
      <c r="D209" s="5">
        <v>17.243749999999999</v>
      </c>
      <c r="E209" s="5">
        <v>208</v>
      </c>
      <c r="F209" s="5">
        <v>1739538</v>
      </c>
      <c r="G209" s="5">
        <v>431.96</v>
      </c>
      <c r="H209" s="5">
        <v>0.53029999999999999</v>
      </c>
      <c r="I209" s="5">
        <v>2.1112419999999998</v>
      </c>
      <c r="J209" s="5">
        <v>3.9756499999999999</v>
      </c>
      <c r="K209" s="5">
        <v>-3.430800000000001</v>
      </c>
      <c r="L209" s="5">
        <v>5.7700000000000529E-3</v>
      </c>
      <c r="M209" s="5">
        <v>6.9240000000000634E-2</v>
      </c>
    </row>
    <row r="210" spans="1:13">
      <c r="A210" t="s">
        <v>2</v>
      </c>
      <c r="B210" s="4">
        <v>46311.624237222219</v>
      </c>
      <c r="C210" s="5">
        <v>1039.608999999997</v>
      </c>
      <c r="D210" s="5">
        <v>17.326816666666609</v>
      </c>
      <c r="E210" s="5">
        <v>209</v>
      </c>
      <c r="F210" s="5">
        <v>1744537</v>
      </c>
      <c r="G210" s="5">
        <v>432.08</v>
      </c>
      <c r="H210" s="5">
        <v>0.41460000000000002</v>
      </c>
      <c r="I210" s="5">
        <v>2.111828</v>
      </c>
      <c r="J210" s="5">
        <v>3.9721899999999999</v>
      </c>
      <c r="K210" s="5">
        <v>-3.434260000000001</v>
      </c>
      <c r="L210" s="5">
        <v>-3.460000000000019E-3</v>
      </c>
      <c r="M210" s="5">
        <v>-4.1653290529722477E-2</v>
      </c>
    </row>
    <row r="211" spans="1:13">
      <c r="A211" t="s">
        <v>2</v>
      </c>
      <c r="B211" s="4">
        <v>46311.624295173613</v>
      </c>
      <c r="C211" s="5">
        <v>1044.625</v>
      </c>
      <c r="D211" s="5">
        <v>17.41041666666667</v>
      </c>
      <c r="E211" s="5">
        <v>210</v>
      </c>
      <c r="F211" s="5">
        <v>1749538</v>
      </c>
      <c r="G211" s="5">
        <v>432.2</v>
      </c>
      <c r="H211" s="5">
        <v>0.39529999999999998</v>
      </c>
      <c r="I211" s="5">
        <v>2.1124139999999998</v>
      </c>
      <c r="J211" s="5">
        <v>3.9687299999999999</v>
      </c>
      <c r="K211" s="5">
        <v>-3.437720000000001</v>
      </c>
      <c r="L211" s="5">
        <v>-3.460000000000019E-3</v>
      </c>
      <c r="M211" s="5">
        <v>-4.1387559808585772E-2</v>
      </c>
    </row>
    <row r="212" spans="1:13">
      <c r="A212" t="s">
        <v>2</v>
      </c>
      <c r="B212" s="4">
        <v>46311.624352939813</v>
      </c>
      <c r="C212" s="5">
        <v>1049.608999999997</v>
      </c>
      <c r="D212" s="5">
        <v>17.49348333333328</v>
      </c>
      <c r="E212" s="5">
        <v>211</v>
      </c>
      <c r="F212" s="5">
        <v>1754537</v>
      </c>
      <c r="G212" s="5">
        <v>432.2</v>
      </c>
      <c r="H212" s="5">
        <v>0.55900000000000005</v>
      </c>
      <c r="I212" s="5">
        <v>2.1124139999999998</v>
      </c>
      <c r="J212" s="5">
        <v>3.9687299999999999</v>
      </c>
      <c r="K212" s="5">
        <v>-3.437720000000001</v>
      </c>
      <c r="L212" s="5">
        <v>0</v>
      </c>
      <c r="M212" s="5">
        <v>0</v>
      </c>
    </row>
    <row r="213" spans="1:13">
      <c r="A213" t="s">
        <v>2</v>
      </c>
      <c r="B213" s="4">
        <v>46311.624410729164</v>
      </c>
      <c r="C213" s="5">
        <v>1054.608999999997</v>
      </c>
      <c r="D213" s="5">
        <v>17.576816666666609</v>
      </c>
      <c r="E213" s="5">
        <v>212</v>
      </c>
      <c r="F213" s="5">
        <v>1759538</v>
      </c>
      <c r="G213" s="5">
        <v>432.48</v>
      </c>
      <c r="H213" s="5">
        <v>0.5</v>
      </c>
      <c r="I213" s="5">
        <v>2.1137830000000002</v>
      </c>
      <c r="J213" s="5">
        <v>3.9606499999999998</v>
      </c>
      <c r="K213" s="5">
        <v>-3.4458000000000011</v>
      </c>
      <c r="L213" s="5">
        <v>-8.0800000000000871E-3</v>
      </c>
      <c r="M213" s="5">
        <v>-9.6960000000001045E-2</v>
      </c>
    </row>
    <row r="214" spans="1:13">
      <c r="A214" t="s">
        <v>2</v>
      </c>
      <c r="B214" s="4">
        <v>46311.624468680558</v>
      </c>
      <c r="C214" s="5">
        <v>1059.608999999997</v>
      </c>
      <c r="D214" s="5">
        <v>17.660149999999941</v>
      </c>
      <c r="E214" s="5">
        <v>213</v>
      </c>
      <c r="F214" s="5">
        <v>1764538</v>
      </c>
      <c r="G214" s="5">
        <v>432.28</v>
      </c>
      <c r="H214" s="5">
        <v>0.45069999999999999</v>
      </c>
      <c r="I214" s="5">
        <v>2.1128049999999998</v>
      </c>
      <c r="J214" s="5">
        <v>3.9664199999999998</v>
      </c>
      <c r="K214" s="5">
        <v>-3.440030000000001</v>
      </c>
      <c r="L214" s="5">
        <v>5.7700000000000529E-3</v>
      </c>
      <c r="M214" s="5">
        <v>6.9240000000000634E-2</v>
      </c>
    </row>
    <row r="215" spans="1:13">
      <c r="A215" t="s">
        <v>2</v>
      </c>
      <c r="B215" s="4">
        <v>46311.624526446758</v>
      </c>
      <c r="C215" s="5">
        <v>1064.608999999997</v>
      </c>
      <c r="D215" s="5">
        <v>17.74348333333328</v>
      </c>
      <c r="E215" s="5">
        <v>214</v>
      </c>
      <c r="F215" s="5">
        <v>1769538</v>
      </c>
      <c r="G215" s="5">
        <v>432.64</v>
      </c>
      <c r="H215" s="5">
        <v>0.4677</v>
      </c>
      <c r="I215" s="5">
        <v>2.1145649999999998</v>
      </c>
      <c r="J215" s="5">
        <v>3.9560399999999998</v>
      </c>
      <c r="K215" s="5">
        <v>-3.4504100000000011</v>
      </c>
      <c r="L215" s="5">
        <v>-1.0380000000000059E-2</v>
      </c>
      <c r="M215" s="5">
        <v>-0.1245600000000007</v>
      </c>
    </row>
    <row r="216" spans="1:13">
      <c r="A216" t="s">
        <v>2</v>
      </c>
      <c r="B216" s="4">
        <v>46311.624584212965</v>
      </c>
      <c r="C216" s="5">
        <v>1069.5939999999971</v>
      </c>
      <c r="D216" s="5">
        <v>17.826566666666618</v>
      </c>
      <c r="E216" s="5">
        <v>215</v>
      </c>
      <c r="F216" s="5">
        <v>1774538</v>
      </c>
      <c r="G216" s="5">
        <v>433.08</v>
      </c>
      <c r="H216" s="5">
        <v>0.39529999999999998</v>
      </c>
      <c r="I216" s="5">
        <v>2.1167150000000001</v>
      </c>
      <c r="J216" s="5">
        <v>3.9433500000000001</v>
      </c>
      <c r="K216" s="5">
        <v>-3.4630999999999998</v>
      </c>
      <c r="L216" s="5">
        <v>-1.2689999999999649E-2</v>
      </c>
      <c r="M216" s="5">
        <v>-0.15273821464390969</v>
      </c>
    </row>
    <row r="217" spans="1:13">
      <c r="A217" t="s">
        <v>2</v>
      </c>
      <c r="B217" s="4">
        <v>46311.624642187497</v>
      </c>
      <c r="C217" s="5">
        <v>1074.608999999997</v>
      </c>
      <c r="D217" s="5">
        <v>17.910149999999941</v>
      </c>
      <c r="E217" s="5">
        <v>216</v>
      </c>
      <c r="F217" s="5">
        <v>1779538</v>
      </c>
      <c r="G217" s="5">
        <v>432.52</v>
      </c>
      <c r="H217" s="5">
        <v>0.5</v>
      </c>
      <c r="I217" s="5">
        <v>2.1139779999999999</v>
      </c>
      <c r="J217" s="5">
        <v>3.9594999999999998</v>
      </c>
      <c r="K217" s="5">
        <v>-3.4469500000000011</v>
      </c>
      <c r="L217" s="5">
        <v>1.6149999999999661E-2</v>
      </c>
      <c r="M217" s="5">
        <v>0.19322033898306931</v>
      </c>
    </row>
    <row r="218" spans="1:13">
      <c r="A218" t="s">
        <v>2</v>
      </c>
      <c r="B218" s="4">
        <v>46311.624699965279</v>
      </c>
      <c r="C218" s="5">
        <v>1079.5939999999971</v>
      </c>
      <c r="D218" s="5">
        <v>17.99323333333329</v>
      </c>
      <c r="E218" s="5">
        <v>217</v>
      </c>
      <c r="F218" s="5">
        <v>1784538</v>
      </c>
      <c r="G218" s="5">
        <v>432.88</v>
      </c>
      <c r="H218" s="5">
        <v>0.58630000000000004</v>
      </c>
      <c r="I218" s="5">
        <v>2.1157379999999999</v>
      </c>
      <c r="J218" s="5">
        <v>3.9491200000000002</v>
      </c>
      <c r="K218" s="5">
        <v>-3.4573299999999998</v>
      </c>
      <c r="L218" s="5">
        <v>-1.037999999999961E-2</v>
      </c>
      <c r="M218" s="5">
        <v>-0.1249348044132205</v>
      </c>
    </row>
    <row r="219" spans="1:13">
      <c r="A219" t="s">
        <v>2</v>
      </c>
      <c r="B219" s="4">
        <v>46311.624757731479</v>
      </c>
      <c r="C219" s="5">
        <v>1084.5939999999971</v>
      </c>
      <c r="D219" s="5">
        <v>18.076566666666618</v>
      </c>
      <c r="E219" s="5">
        <v>218</v>
      </c>
      <c r="F219" s="5">
        <v>1789538</v>
      </c>
      <c r="G219" s="5">
        <v>433.2</v>
      </c>
      <c r="H219" s="5">
        <v>0.48409999999999997</v>
      </c>
      <c r="I219" s="5">
        <v>2.117302</v>
      </c>
      <c r="J219" s="5">
        <v>3.9398900000000001</v>
      </c>
      <c r="K219" s="5">
        <v>-3.4665599999999999</v>
      </c>
      <c r="L219" s="5">
        <v>-9.2300000000000715E-3</v>
      </c>
      <c r="M219" s="5">
        <v>-0.1107600000000009</v>
      </c>
    </row>
    <row r="220" spans="1:13">
      <c r="A220" t="s">
        <v>2</v>
      </c>
      <c r="B220" s="4">
        <v>46311.624815671297</v>
      </c>
      <c r="C220" s="5">
        <v>1089.5939999999971</v>
      </c>
      <c r="D220" s="5">
        <v>18.159899999999951</v>
      </c>
      <c r="E220" s="5">
        <v>219</v>
      </c>
      <c r="F220" s="5">
        <v>1794538</v>
      </c>
      <c r="G220" s="5">
        <v>433.08</v>
      </c>
      <c r="H220" s="5">
        <v>0.39529999999999998</v>
      </c>
      <c r="I220" s="5">
        <v>2.1167150000000001</v>
      </c>
      <c r="J220" s="5">
        <v>3.9433500000000001</v>
      </c>
      <c r="K220" s="5">
        <v>-3.4630999999999998</v>
      </c>
      <c r="L220" s="5">
        <v>3.460000000000019E-3</v>
      </c>
      <c r="M220" s="5">
        <v>4.1520000000000223E-2</v>
      </c>
    </row>
    <row r="221" spans="1:13">
      <c r="A221" t="s">
        <v>2</v>
      </c>
      <c r="B221" s="4">
        <v>46311.624873460649</v>
      </c>
      <c r="C221" s="5">
        <v>1094.5779999999941</v>
      </c>
      <c r="D221" s="5">
        <v>18.242966666666572</v>
      </c>
      <c r="E221" s="5">
        <v>220</v>
      </c>
      <c r="F221" s="5">
        <v>1799538</v>
      </c>
      <c r="G221" s="5">
        <v>433.08</v>
      </c>
      <c r="H221" s="5">
        <v>0.48409999999999997</v>
      </c>
      <c r="I221" s="5">
        <v>2.1167150000000001</v>
      </c>
      <c r="J221" s="5">
        <v>3.9433500000000001</v>
      </c>
      <c r="K221" s="5">
        <v>-3.4630999999999998</v>
      </c>
      <c r="L221" s="5">
        <v>0</v>
      </c>
      <c r="M221" s="5">
        <v>0</v>
      </c>
    </row>
    <row r="222" spans="1:13">
      <c r="A222" t="s">
        <v>2</v>
      </c>
      <c r="B222" s="4">
        <v>46311.624931226848</v>
      </c>
      <c r="C222" s="5">
        <v>1099.5779999999941</v>
      </c>
      <c r="D222" s="5">
        <v>18.3262999999999</v>
      </c>
      <c r="E222" s="5">
        <v>221</v>
      </c>
      <c r="F222" s="5">
        <v>1804537</v>
      </c>
      <c r="G222" s="5">
        <v>433.24</v>
      </c>
      <c r="H222" s="5">
        <v>0.433</v>
      </c>
      <c r="I222" s="5">
        <v>2.1174970000000002</v>
      </c>
      <c r="J222" s="5">
        <v>3.9387300000000001</v>
      </c>
      <c r="K222" s="5">
        <v>-3.4677199999999999</v>
      </c>
      <c r="L222" s="5">
        <v>-4.6200000000000676E-3</v>
      </c>
      <c r="M222" s="5">
        <v>-5.5440000000000822E-2</v>
      </c>
    </row>
    <row r="223" spans="1:13">
      <c r="A223" t="s">
        <v>2</v>
      </c>
      <c r="B223" s="4">
        <v>46311.624989016207</v>
      </c>
      <c r="C223" s="5">
        <v>1104.5619999999981</v>
      </c>
      <c r="D223" s="5">
        <v>18.409366666666639</v>
      </c>
      <c r="E223" s="5">
        <v>222</v>
      </c>
      <c r="F223" s="5">
        <v>1809538</v>
      </c>
      <c r="G223" s="5">
        <v>433.12</v>
      </c>
      <c r="H223" s="5">
        <v>0.58630000000000004</v>
      </c>
      <c r="I223" s="5">
        <v>2.116911</v>
      </c>
      <c r="J223" s="5">
        <v>3.9422000000000001</v>
      </c>
      <c r="K223" s="5">
        <v>-3.4642499999999998</v>
      </c>
      <c r="L223" s="5">
        <v>3.4700000000000841E-3</v>
      </c>
      <c r="M223" s="5">
        <v>4.1773675762407148E-2</v>
      </c>
    </row>
    <row r="224" spans="1:13">
      <c r="A224" t="s">
        <v>2</v>
      </c>
      <c r="B224" s="4">
        <v>46311.625046967594</v>
      </c>
      <c r="C224" s="5">
        <v>1109.5779999999941</v>
      </c>
      <c r="D224" s="5">
        <v>18.492966666666572</v>
      </c>
      <c r="E224" s="5">
        <v>223</v>
      </c>
      <c r="F224" s="5">
        <v>1814538</v>
      </c>
      <c r="G224" s="5">
        <v>433.48</v>
      </c>
      <c r="H224" s="5">
        <v>0.48409999999999997</v>
      </c>
      <c r="I224" s="5">
        <v>2.118671</v>
      </c>
      <c r="J224" s="5">
        <v>3.93181</v>
      </c>
      <c r="K224" s="5">
        <v>-3.47464</v>
      </c>
      <c r="L224" s="5">
        <v>-1.039000000000012E-2</v>
      </c>
      <c r="M224" s="5">
        <v>-0.1242822966508187</v>
      </c>
    </row>
    <row r="225" spans="1:13">
      <c r="A225" t="s">
        <v>2</v>
      </c>
      <c r="B225" s="4">
        <v>46311.625104733794</v>
      </c>
      <c r="C225" s="5">
        <v>1114.5619999999981</v>
      </c>
      <c r="D225" s="5">
        <v>18.576033333333299</v>
      </c>
      <c r="E225" s="5">
        <v>224</v>
      </c>
      <c r="F225" s="5">
        <v>1819538</v>
      </c>
      <c r="G225" s="5">
        <v>433.44</v>
      </c>
      <c r="H225" s="5">
        <v>0.5</v>
      </c>
      <c r="I225" s="5">
        <v>2.1184750000000001</v>
      </c>
      <c r="J225" s="5">
        <v>3.9329700000000001</v>
      </c>
      <c r="K225" s="5">
        <v>-3.4734799999999999</v>
      </c>
      <c r="L225" s="5">
        <v>1.1600000000000501E-3</v>
      </c>
      <c r="M225" s="5">
        <v>1.3964686998384211E-2</v>
      </c>
    </row>
    <row r="226" spans="1:13">
      <c r="A226" t="s">
        <v>2</v>
      </c>
      <c r="B226" s="4">
        <v>46311.625162523145</v>
      </c>
      <c r="C226" s="5">
        <v>1119.5619999999981</v>
      </c>
      <c r="D226" s="5">
        <v>18.659366666666639</v>
      </c>
      <c r="E226" s="5">
        <v>225</v>
      </c>
      <c r="F226" s="5">
        <v>1824538</v>
      </c>
      <c r="G226" s="5">
        <v>433.32</v>
      </c>
      <c r="H226" s="5">
        <v>0.45069999999999999</v>
      </c>
      <c r="I226" s="5">
        <v>2.1178889999999999</v>
      </c>
      <c r="J226" s="5">
        <v>3.9364300000000001</v>
      </c>
      <c r="K226" s="5">
        <v>-3.4700199999999999</v>
      </c>
      <c r="L226" s="5">
        <v>3.460000000000019E-3</v>
      </c>
      <c r="M226" s="5">
        <v>4.1520000000000223E-2</v>
      </c>
    </row>
    <row r="227" spans="1:13">
      <c r="A227" t="s">
        <v>2</v>
      </c>
      <c r="B227" s="4">
        <v>46311.62522047454</v>
      </c>
      <c r="C227" s="5">
        <v>1124.5619999999981</v>
      </c>
      <c r="D227" s="5">
        <v>18.742699999999971</v>
      </c>
      <c r="E227" s="5">
        <v>226</v>
      </c>
      <c r="F227" s="5">
        <v>1829538</v>
      </c>
      <c r="G227" s="5">
        <v>433.6</v>
      </c>
      <c r="H227" s="5">
        <v>0.48409999999999997</v>
      </c>
      <c r="I227" s="5">
        <v>2.1192570000000002</v>
      </c>
      <c r="J227" s="5">
        <v>3.92835</v>
      </c>
      <c r="K227" s="5">
        <v>-3.4781</v>
      </c>
      <c r="L227" s="5">
        <v>-8.0800000000000871E-3</v>
      </c>
      <c r="M227" s="5">
        <v>-9.6960000000001045E-2</v>
      </c>
    </row>
    <row r="228" spans="1:13">
      <c r="A228" t="s">
        <v>2</v>
      </c>
      <c r="B228" s="4">
        <v>46311.625278252315</v>
      </c>
      <c r="C228" s="5">
        <v>1129.5619999999981</v>
      </c>
      <c r="D228" s="5">
        <v>18.826033333333299</v>
      </c>
      <c r="E228" s="5">
        <v>227</v>
      </c>
      <c r="F228" s="5">
        <v>1834537</v>
      </c>
      <c r="G228" s="5">
        <v>433.56</v>
      </c>
      <c r="H228" s="5">
        <v>0.5</v>
      </c>
      <c r="I228" s="5">
        <v>2.119062</v>
      </c>
      <c r="J228" s="5">
        <v>3.9295100000000001</v>
      </c>
      <c r="K228" s="5">
        <v>-3.4769399999999999</v>
      </c>
      <c r="L228" s="5">
        <v>1.1600000000000501E-3</v>
      </c>
      <c r="M228" s="5">
        <v>1.39200000000006E-2</v>
      </c>
    </row>
    <row r="229" spans="1:13">
      <c r="A229" t="s">
        <v>2</v>
      </c>
      <c r="B229" s="4">
        <v>46311.625336030091</v>
      </c>
      <c r="C229" s="5">
        <v>1134.5469999999989</v>
      </c>
      <c r="D229" s="5">
        <v>18.909116666666641</v>
      </c>
      <c r="E229" s="5">
        <v>228</v>
      </c>
      <c r="F229" s="5">
        <v>1839537</v>
      </c>
      <c r="G229" s="5">
        <v>433.84</v>
      </c>
      <c r="H229" s="5">
        <v>0.4677</v>
      </c>
      <c r="I229" s="5">
        <v>2.1204299999999998</v>
      </c>
      <c r="J229" s="5">
        <v>3.92143</v>
      </c>
      <c r="K229" s="5">
        <v>-3.48502</v>
      </c>
      <c r="L229" s="5">
        <v>-8.0800000000000871E-3</v>
      </c>
      <c r="M229" s="5">
        <v>-9.7251755265787096E-2</v>
      </c>
    </row>
    <row r="230" spans="1:13">
      <c r="A230" t="s">
        <v>2</v>
      </c>
      <c r="B230" s="4">
        <v>46311.625393993054</v>
      </c>
      <c r="C230" s="5">
        <v>1139.5619999999981</v>
      </c>
      <c r="D230" s="5">
        <v>18.992699999999971</v>
      </c>
      <c r="E230" s="5">
        <v>229</v>
      </c>
      <c r="F230" s="5">
        <v>1844538</v>
      </c>
      <c r="G230" s="5">
        <v>433.6</v>
      </c>
      <c r="H230" s="5">
        <v>0.48409999999999997</v>
      </c>
      <c r="I230" s="5">
        <v>2.1192570000000002</v>
      </c>
      <c r="J230" s="5">
        <v>3.92835</v>
      </c>
      <c r="K230" s="5">
        <v>-3.4781</v>
      </c>
      <c r="L230" s="5">
        <v>6.9200000000000372E-3</v>
      </c>
      <c r="M230" s="5">
        <v>8.2791625124636184E-2</v>
      </c>
    </row>
    <row r="231" spans="1:13">
      <c r="A231" t="s">
        <v>2</v>
      </c>
      <c r="B231" s="4">
        <v>46311.625451770837</v>
      </c>
      <c r="C231" s="5">
        <v>1144.5469999999989</v>
      </c>
      <c r="D231" s="5">
        <v>19.075783333333309</v>
      </c>
      <c r="E231" s="5">
        <v>230</v>
      </c>
      <c r="F231" s="5">
        <v>1849537</v>
      </c>
      <c r="G231" s="5">
        <v>434.2</v>
      </c>
      <c r="H231" s="5">
        <v>0.375</v>
      </c>
      <c r="I231" s="5">
        <v>2.1221890000000001</v>
      </c>
      <c r="J231" s="5">
        <v>3.9110499999999999</v>
      </c>
      <c r="K231" s="5">
        <v>-3.495400000000001</v>
      </c>
      <c r="L231" s="5">
        <v>-1.730000000000009E-2</v>
      </c>
      <c r="M231" s="5">
        <v>-0.208224674022043</v>
      </c>
    </row>
    <row r="232" spans="1:13">
      <c r="A232" t="s">
        <v>2</v>
      </c>
      <c r="B232" s="4">
        <v>46311.625509537036</v>
      </c>
      <c r="C232" s="5">
        <v>1149.5469999999989</v>
      </c>
      <c r="D232" s="5">
        <v>19.159116666666641</v>
      </c>
      <c r="E232" s="5">
        <v>231</v>
      </c>
      <c r="F232" s="5">
        <v>1854538</v>
      </c>
      <c r="G232" s="5">
        <v>434.44</v>
      </c>
      <c r="H232" s="5">
        <v>0.5</v>
      </c>
      <c r="I232" s="5">
        <v>2.1233629999999999</v>
      </c>
      <c r="J232" s="5">
        <v>3.9041299999999999</v>
      </c>
      <c r="K232" s="5">
        <v>-3.502320000000001</v>
      </c>
      <c r="L232" s="5">
        <v>-6.9200000000000372E-3</v>
      </c>
      <c r="M232" s="5">
        <v>-8.3040000000000447E-2</v>
      </c>
    </row>
    <row r="233" spans="1:13">
      <c r="A233" t="s">
        <v>2</v>
      </c>
      <c r="B233" s="4">
        <v>46311.625567499999</v>
      </c>
      <c r="C233" s="5">
        <v>1154.5469999999989</v>
      </c>
      <c r="D233" s="5">
        <v>19.24244999999998</v>
      </c>
      <c r="E233" s="5">
        <v>232</v>
      </c>
      <c r="F233" s="5">
        <v>1859538</v>
      </c>
      <c r="G233" s="5">
        <v>433.84</v>
      </c>
      <c r="H233" s="5">
        <v>0.54490000000000005</v>
      </c>
      <c r="I233" s="5">
        <v>2.1204299999999998</v>
      </c>
      <c r="J233" s="5">
        <v>3.92143</v>
      </c>
      <c r="K233" s="5">
        <v>-3.48502</v>
      </c>
      <c r="L233" s="5">
        <v>1.730000000000009E-2</v>
      </c>
      <c r="M233" s="5">
        <v>0.20760000000000109</v>
      </c>
    </row>
    <row r="234" spans="1:13">
      <c r="A234" t="s">
        <v>2</v>
      </c>
      <c r="B234" s="4">
        <v>46311.625625266206</v>
      </c>
      <c r="C234" s="5">
        <v>1159.5469999999989</v>
      </c>
      <c r="D234" s="5">
        <v>19.325783333333309</v>
      </c>
      <c r="E234" s="5">
        <v>233</v>
      </c>
      <c r="F234" s="5">
        <v>1864538</v>
      </c>
      <c r="G234" s="5">
        <v>434</v>
      </c>
      <c r="H234" s="5">
        <v>0.48409999999999997</v>
      </c>
      <c r="I234" s="5">
        <v>2.1212119999999999</v>
      </c>
      <c r="J234" s="5">
        <v>3.91682</v>
      </c>
      <c r="K234" s="5">
        <v>-3.48963</v>
      </c>
      <c r="L234" s="5">
        <v>-4.610000000000003E-3</v>
      </c>
      <c r="M234" s="5">
        <v>-5.5320000000000043E-2</v>
      </c>
    </row>
    <row r="235" spans="1:13">
      <c r="A235" t="s">
        <v>2</v>
      </c>
      <c r="B235" s="4">
        <v>46311.625683032406</v>
      </c>
      <c r="C235" s="5">
        <v>1164.5309999999949</v>
      </c>
      <c r="D235" s="5">
        <v>19.408849999999919</v>
      </c>
      <c r="E235" s="5">
        <v>234</v>
      </c>
      <c r="F235" s="5">
        <v>1869538</v>
      </c>
      <c r="G235" s="5">
        <v>434.52</v>
      </c>
      <c r="H235" s="5">
        <v>0.5</v>
      </c>
      <c r="I235" s="5">
        <v>2.1237539999999999</v>
      </c>
      <c r="J235" s="5">
        <v>3.9018199999999998</v>
      </c>
      <c r="K235" s="5">
        <v>-3.504630000000001</v>
      </c>
      <c r="L235" s="5">
        <v>-1.5000000000000119E-2</v>
      </c>
      <c r="M235" s="5">
        <v>-0.18057784911729449</v>
      </c>
    </row>
    <row r="236" spans="1:13">
      <c r="A236" t="s">
        <v>2</v>
      </c>
      <c r="B236" s="4">
        <v>46311.625740995369</v>
      </c>
      <c r="C236" s="5">
        <v>1169.5469999999989</v>
      </c>
      <c r="D236" s="5">
        <v>19.49244999999998</v>
      </c>
      <c r="E236" s="5">
        <v>235</v>
      </c>
      <c r="F236" s="5">
        <v>1874537</v>
      </c>
      <c r="G236" s="5">
        <v>434.4</v>
      </c>
      <c r="H236" s="5">
        <v>0.48409999999999997</v>
      </c>
      <c r="I236" s="5">
        <v>2.123167</v>
      </c>
      <c r="J236" s="5">
        <v>3.9052799999999999</v>
      </c>
      <c r="K236" s="5">
        <v>-3.501170000000001</v>
      </c>
      <c r="L236" s="5">
        <v>3.460000000000019E-3</v>
      </c>
      <c r="M236" s="5">
        <v>4.1387559808585772E-2</v>
      </c>
    </row>
    <row r="237" spans="1:13">
      <c r="A237" t="s">
        <v>2</v>
      </c>
      <c r="B237" s="4">
        <v>46311.625798773151</v>
      </c>
      <c r="C237" s="5">
        <v>1174.5309999999949</v>
      </c>
      <c r="D237" s="5">
        <v>19.575516666666591</v>
      </c>
      <c r="E237" s="5">
        <v>236</v>
      </c>
      <c r="F237" s="5">
        <v>1879538</v>
      </c>
      <c r="G237" s="5">
        <v>434.12</v>
      </c>
      <c r="H237" s="5">
        <v>0.33069999999999999</v>
      </c>
      <c r="I237" s="5">
        <v>2.1217990000000002</v>
      </c>
      <c r="J237" s="5">
        <v>3.9133599999999999</v>
      </c>
      <c r="K237" s="5">
        <v>-3.49309</v>
      </c>
      <c r="L237" s="5">
        <v>8.0800000000000871E-3</v>
      </c>
      <c r="M237" s="5">
        <v>9.7271268057849566E-2</v>
      </c>
    </row>
    <row r="238" spans="1:13">
      <c r="A238" t="s">
        <v>2</v>
      </c>
      <c r="B238" s="4">
        <v>46311.625856550927</v>
      </c>
      <c r="C238" s="5">
        <v>1179.514999999999</v>
      </c>
      <c r="D238" s="5">
        <v>19.658583333333318</v>
      </c>
      <c r="E238" s="5">
        <v>237</v>
      </c>
      <c r="F238" s="5">
        <v>1884537</v>
      </c>
      <c r="G238" s="5">
        <v>434.56</v>
      </c>
      <c r="H238" s="5">
        <v>0.5</v>
      </c>
      <c r="I238" s="5">
        <v>2.1239490000000001</v>
      </c>
      <c r="J238" s="5">
        <v>3.9006699999999999</v>
      </c>
      <c r="K238" s="5">
        <v>-3.505780000000001</v>
      </c>
      <c r="L238" s="5">
        <v>-1.269000000000009E-2</v>
      </c>
      <c r="M238" s="5">
        <v>-0.15276886035300799</v>
      </c>
    </row>
    <row r="239" spans="1:13">
      <c r="A239" t="s">
        <v>2</v>
      </c>
      <c r="B239" s="4">
        <v>46311.625914502314</v>
      </c>
      <c r="C239" s="5">
        <v>1184.5309999999949</v>
      </c>
      <c r="D239" s="5">
        <v>19.742183333333259</v>
      </c>
      <c r="E239" s="5">
        <v>238</v>
      </c>
      <c r="F239" s="5">
        <v>1889538</v>
      </c>
      <c r="G239" s="5">
        <v>434.28</v>
      </c>
      <c r="H239" s="5">
        <v>0.433</v>
      </c>
      <c r="I239" s="5">
        <v>2.1225809999999998</v>
      </c>
      <c r="J239" s="5">
        <v>3.9087399999999999</v>
      </c>
      <c r="K239" s="5">
        <v>-3.497710000000001</v>
      </c>
      <c r="L239" s="5">
        <v>8.0700000000000216E-3</v>
      </c>
      <c r="M239" s="5">
        <v>9.6531100478546447E-2</v>
      </c>
    </row>
    <row r="240" spans="1:13">
      <c r="A240" t="s">
        <v>2</v>
      </c>
      <c r="B240" s="4">
        <v>46311.62597228009</v>
      </c>
      <c r="C240" s="5">
        <v>1189.514999999999</v>
      </c>
      <c r="D240" s="5">
        <v>19.82524999999999</v>
      </c>
      <c r="E240" s="5">
        <v>239</v>
      </c>
      <c r="F240" s="5">
        <v>1894538</v>
      </c>
      <c r="G240" s="5">
        <v>434.56</v>
      </c>
      <c r="H240" s="5">
        <v>0.5</v>
      </c>
      <c r="I240" s="5">
        <v>2.1239490000000001</v>
      </c>
      <c r="J240" s="5">
        <v>3.9006699999999999</v>
      </c>
      <c r="K240" s="5">
        <v>-3.505780000000001</v>
      </c>
      <c r="L240" s="5">
        <v>-8.0700000000000216E-3</v>
      </c>
      <c r="M240" s="5">
        <v>-9.7150882824962093E-2</v>
      </c>
    </row>
    <row r="241" spans="1:13">
      <c r="A241" t="s">
        <v>2</v>
      </c>
      <c r="B241" s="4">
        <v>46311.626030057872</v>
      </c>
      <c r="C241" s="5">
        <v>1194.514999999999</v>
      </c>
      <c r="D241" s="5">
        <v>19.908583333333318</v>
      </c>
      <c r="E241" s="5">
        <v>240</v>
      </c>
      <c r="F241" s="5">
        <v>1899538</v>
      </c>
      <c r="G241" s="5">
        <v>434.56</v>
      </c>
      <c r="H241" s="5">
        <v>0.5</v>
      </c>
      <c r="I241" s="5">
        <v>2.1239490000000001</v>
      </c>
      <c r="J241" s="5">
        <v>3.9006699999999999</v>
      </c>
      <c r="K241" s="5">
        <v>-3.505780000000001</v>
      </c>
      <c r="L241" s="5">
        <v>0</v>
      </c>
      <c r="M241" s="5">
        <v>0</v>
      </c>
    </row>
    <row r="242" spans="1:13">
      <c r="A242" t="s">
        <v>2</v>
      </c>
      <c r="B242" s="4">
        <v>46311.62608800926</v>
      </c>
      <c r="C242" s="5">
        <v>1199.514999999999</v>
      </c>
      <c r="D242" s="5">
        <v>19.991916666666661</v>
      </c>
      <c r="E242" s="5">
        <v>241</v>
      </c>
      <c r="F242" s="5">
        <v>1904538</v>
      </c>
      <c r="G242" s="5">
        <v>434.76</v>
      </c>
      <c r="H242" s="5">
        <v>0.41460000000000002</v>
      </c>
      <c r="I242" s="5">
        <v>2.124927</v>
      </c>
      <c r="J242" s="5">
        <v>3.8948999999999998</v>
      </c>
      <c r="K242" s="5">
        <v>-3.5115500000000011</v>
      </c>
      <c r="L242" s="5">
        <v>-5.7700000000000529E-3</v>
      </c>
      <c r="M242" s="5">
        <v>-6.9240000000000634E-2</v>
      </c>
    </row>
    <row r="243" spans="1:13">
      <c r="A243" t="s">
        <v>2</v>
      </c>
      <c r="B243" s="4">
        <v>46311.626145798611</v>
      </c>
      <c r="C243" s="5">
        <v>1204.514999999999</v>
      </c>
      <c r="D243" s="5">
        <v>20.07524999999999</v>
      </c>
      <c r="E243" s="5">
        <v>242</v>
      </c>
      <c r="F243" s="5">
        <v>1909538</v>
      </c>
      <c r="G243" s="5">
        <v>434.92</v>
      </c>
      <c r="H243" s="5">
        <v>0.4677</v>
      </c>
      <c r="I243" s="5">
        <v>2.1257090000000001</v>
      </c>
      <c r="J243" s="5">
        <v>3.8902800000000002</v>
      </c>
      <c r="K243" s="5">
        <v>-3.5161699999999998</v>
      </c>
      <c r="L243" s="5">
        <v>-4.6199999999996244E-3</v>
      </c>
      <c r="M243" s="5">
        <v>-5.5439999999995493E-2</v>
      </c>
    </row>
    <row r="244" spans="1:13">
      <c r="A244" t="s">
        <v>3</v>
      </c>
      <c r="B244" s="4">
        <v>46311.62959556713</v>
      </c>
      <c r="C244" s="5">
        <v>0.29699999999866122</v>
      </c>
      <c r="D244" s="5">
        <v>4.9499999999776867E-3</v>
      </c>
      <c r="E244" s="5">
        <v>1</v>
      </c>
      <c r="F244" s="5">
        <v>2207785</v>
      </c>
      <c r="G244" s="5">
        <v>318</v>
      </c>
      <c r="H244" s="5">
        <v>0.49209999999999998</v>
      </c>
      <c r="I244" s="5">
        <v>1.554252</v>
      </c>
      <c r="J244" s="5">
        <v>7.2622499999999999</v>
      </c>
      <c r="K244" s="5">
        <v>0</v>
      </c>
      <c r="L244" s="5">
        <v>0</v>
      </c>
      <c r="M244" s="5"/>
    </row>
    <row r="245" spans="1:13">
      <c r="A245" t="s">
        <v>3</v>
      </c>
      <c r="B245" s="4">
        <v>46311.629653344906</v>
      </c>
      <c r="C245" s="5">
        <v>5.2810000000026784</v>
      </c>
      <c r="D245" s="5">
        <v>8.8016666666711291E-2</v>
      </c>
      <c r="E245" s="5">
        <v>2</v>
      </c>
      <c r="F245" s="5">
        <v>2212785</v>
      </c>
      <c r="G245" s="5">
        <v>317.48</v>
      </c>
      <c r="H245" s="5">
        <v>0.49209999999999998</v>
      </c>
      <c r="I245" s="5">
        <v>1.5517110000000001</v>
      </c>
      <c r="J245" s="5">
        <v>7.2772500000000004</v>
      </c>
      <c r="K245" s="5">
        <v>1.500000000000057E-2</v>
      </c>
      <c r="L245" s="5">
        <v>1.500000000000057E-2</v>
      </c>
      <c r="M245" s="5">
        <v>0.18057784911703631</v>
      </c>
    </row>
    <row r="246" spans="1:13">
      <c r="A246" t="s">
        <v>3</v>
      </c>
      <c r="B246" s="4">
        <v>46311.629711111113</v>
      </c>
      <c r="C246" s="5">
        <v>10.281000000002679</v>
      </c>
      <c r="D246" s="5">
        <v>0.17135000000004461</v>
      </c>
      <c r="E246" s="5">
        <v>3</v>
      </c>
      <c r="F246" s="5">
        <v>2217785</v>
      </c>
      <c r="G246" s="5">
        <v>318.64</v>
      </c>
      <c r="H246" s="5">
        <v>0.4677</v>
      </c>
      <c r="I246" s="5">
        <v>1.55738</v>
      </c>
      <c r="J246" s="5">
        <v>7.2437899999999997</v>
      </c>
      <c r="K246" s="5">
        <v>-1.8460000000000139E-2</v>
      </c>
      <c r="L246" s="5">
        <v>-3.3460000000000711E-2</v>
      </c>
      <c r="M246" s="5">
        <v>-0.40152000000000848</v>
      </c>
    </row>
    <row r="247" spans="1:13">
      <c r="A247" t="s">
        <v>3</v>
      </c>
      <c r="B247" s="4">
        <v>46311.6297690625</v>
      </c>
      <c r="C247" s="5">
        <v>15.281000000002679</v>
      </c>
      <c r="D247" s="5">
        <v>0.25468333333337789</v>
      </c>
      <c r="E247" s="5">
        <v>4</v>
      </c>
      <c r="F247" s="5">
        <v>2222785</v>
      </c>
      <c r="G247" s="5">
        <v>320.27999999999997</v>
      </c>
      <c r="H247" s="5">
        <v>0.44190000000000002</v>
      </c>
      <c r="I247" s="5">
        <v>1.565396</v>
      </c>
      <c r="J247" s="5">
        <v>7.1964899999999998</v>
      </c>
      <c r="K247" s="5">
        <v>-6.5760000000000041E-2</v>
      </c>
      <c r="L247" s="5">
        <v>-4.7299999999999898E-2</v>
      </c>
      <c r="M247" s="5">
        <v>-0.56759999999999877</v>
      </c>
    </row>
    <row r="248" spans="1:13">
      <c r="A248" t="s">
        <v>3</v>
      </c>
      <c r="B248" s="4">
        <v>46311.629826851851</v>
      </c>
      <c r="C248" s="5">
        <v>20.281000000002681</v>
      </c>
      <c r="D248" s="5">
        <v>0.33801666666671132</v>
      </c>
      <c r="E248" s="5">
        <v>5</v>
      </c>
      <c r="F248" s="5">
        <v>2227785</v>
      </c>
      <c r="G248" s="5">
        <v>321.72000000000003</v>
      </c>
      <c r="H248" s="5">
        <v>0.72350000000000003</v>
      </c>
      <c r="I248" s="5">
        <v>1.5724340000000001</v>
      </c>
      <c r="J248" s="5">
        <v>7.1549699999999996</v>
      </c>
      <c r="K248" s="5">
        <v>-0.10728000000000031</v>
      </c>
      <c r="L248" s="5">
        <v>-4.1520000000000223E-2</v>
      </c>
      <c r="M248" s="5">
        <v>-0.49824000000000268</v>
      </c>
    </row>
    <row r="249" spans="1:13">
      <c r="A249" t="s">
        <v>3</v>
      </c>
      <c r="B249" s="4">
        <v>46311.629884618058</v>
      </c>
      <c r="C249" s="5">
        <v>25.26600000000326</v>
      </c>
      <c r="D249" s="5">
        <v>0.42110000000005432</v>
      </c>
      <c r="E249" s="5">
        <v>6</v>
      </c>
      <c r="F249" s="5">
        <v>2232785</v>
      </c>
      <c r="G249" s="5">
        <v>323.52</v>
      </c>
      <c r="H249" s="5">
        <v>0.50780000000000003</v>
      </c>
      <c r="I249" s="5">
        <v>1.581232</v>
      </c>
      <c r="J249" s="5">
        <v>7.1030499999999996</v>
      </c>
      <c r="K249" s="5">
        <v>-0.1592000000000002</v>
      </c>
      <c r="L249" s="5">
        <v>-5.1919999999999973E-2</v>
      </c>
      <c r="M249" s="5">
        <v>-0.62491474423262472</v>
      </c>
    </row>
    <row r="250" spans="1:13">
      <c r="A250" t="s">
        <v>3</v>
      </c>
      <c r="B250" s="4">
        <v>46311.629942581021</v>
      </c>
      <c r="C250" s="5">
        <v>30.281000000002681</v>
      </c>
      <c r="D250" s="5">
        <v>0.504683333333378</v>
      </c>
      <c r="E250" s="5">
        <v>7</v>
      </c>
      <c r="F250" s="5">
        <v>2237785</v>
      </c>
      <c r="G250" s="5">
        <v>325.24</v>
      </c>
      <c r="H250" s="5">
        <v>0.51539999999999997</v>
      </c>
      <c r="I250" s="5">
        <v>1.5896380000000001</v>
      </c>
      <c r="J250" s="5">
        <v>7.0534499999999998</v>
      </c>
      <c r="K250" s="5">
        <v>-0.2088000000000001</v>
      </c>
      <c r="L250" s="5">
        <v>-4.9599999999999873E-2</v>
      </c>
      <c r="M250" s="5">
        <v>-0.59341974077773429</v>
      </c>
    </row>
    <row r="251" spans="1:13">
      <c r="A251" t="s">
        <v>3</v>
      </c>
      <c r="B251" s="4">
        <v>46311.630000347221</v>
      </c>
      <c r="C251" s="5">
        <v>35.26600000000326</v>
      </c>
      <c r="D251" s="5">
        <v>0.58776666666672095</v>
      </c>
      <c r="E251" s="5">
        <v>8</v>
      </c>
      <c r="F251" s="5">
        <v>2242785</v>
      </c>
      <c r="G251" s="5">
        <v>327.04000000000002</v>
      </c>
      <c r="H251" s="5">
        <v>0.34229999999999999</v>
      </c>
      <c r="I251" s="5">
        <v>1.598436</v>
      </c>
      <c r="J251" s="5">
        <v>7.0015400000000003</v>
      </c>
      <c r="K251" s="5">
        <v>-0.26070999999999961</v>
      </c>
      <c r="L251" s="5">
        <v>-5.1909999999999457E-2</v>
      </c>
      <c r="M251" s="5">
        <v>-0.62479438314936886</v>
      </c>
    </row>
    <row r="252" spans="1:13">
      <c r="A252" t="s">
        <v>3</v>
      </c>
      <c r="B252" s="4">
        <v>46311.630058125003</v>
      </c>
      <c r="C252" s="5">
        <v>40.26600000000326</v>
      </c>
      <c r="D252" s="5">
        <v>0.67110000000005432</v>
      </c>
      <c r="E252" s="5">
        <v>9</v>
      </c>
      <c r="F252" s="5">
        <v>2247785</v>
      </c>
      <c r="G252" s="5">
        <v>328.68</v>
      </c>
      <c r="H252" s="5">
        <v>0.55200000000000005</v>
      </c>
      <c r="I252" s="5">
        <v>1.6064510000000001</v>
      </c>
      <c r="J252" s="5">
        <v>6.9542400000000004</v>
      </c>
      <c r="K252" s="5">
        <v>-0.30800999999999951</v>
      </c>
      <c r="L252" s="5">
        <v>-4.7299999999999898E-2</v>
      </c>
      <c r="M252" s="5">
        <v>-0.56759999999999877</v>
      </c>
    </row>
    <row r="253" spans="1:13">
      <c r="A253" t="s">
        <v>3</v>
      </c>
      <c r="B253" s="4">
        <v>46311.630116087967</v>
      </c>
      <c r="C253" s="5">
        <v>45.26600000000326</v>
      </c>
      <c r="D253" s="5">
        <v>0.75443333333338769</v>
      </c>
      <c r="E253" s="5">
        <v>10</v>
      </c>
      <c r="F253" s="5">
        <v>2252785</v>
      </c>
      <c r="G253" s="5">
        <v>330.48</v>
      </c>
      <c r="H253" s="5">
        <v>0.49209999999999998</v>
      </c>
      <c r="I253" s="5">
        <v>1.6152489999999999</v>
      </c>
      <c r="J253" s="5">
        <v>6.9023300000000001</v>
      </c>
      <c r="K253" s="5">
        <v>-0.3599199999999998</v>
      </c>
      <c r="L253" s="5">
        <v>-5.1910000000000338E-2</v>
      </c>
      <c r="M253" s="5">
        <v>-0.62292000000000414</v>
      </c>
    </row>
    <row r="254" spans="1:13">
      <c r="A254" t="s">
        <v>3</v>
      </c>
      <c r="B254" s="4">
        <v>46311.630173865742</v>
      </c>
      <c r="C254" s="5">
        <v>50.26600000000326</v>
      </c>
      <c r="D254" s="5">
        <v>0.83776666666672095</v>
      </c>
      <c r="E254" s="5">
        <v>11</v>
      </c>
      <c r="F254" s="5">
        <v>2257785</v>
      </c>
      <c r="G254" s="5">
        <v>332.48</v>
      </c>
      <c r="H254" s="5">
        <v>0.56599999999999995</v>
      </c>
      <c r="I254" s="5">
        <v>1.625024</v>
      </c>
      <c r="J254" s="5">
        <v>6.8446499999999997</v>
      </c>
      <c r="K254" s="5">
        <v>-0.41760000000000019</v>
      </c>
      <c r="L254" s="5">
        <v>-5.7680000000000398E-2</v>
      </c>
      <c r="M254" s="5">
        <v>-0.69216000000000477</v>
      </c>
    </row>
    <row r="255" spans="1:13">
      <c r="A255" t="s">
        <v>3</v>
      </c>
      <c r="B255" s="4">
        <v>46311.630231620373</v>
      </c>
      <c r="C255" s="5">
        <v>55.25</v>
      </c>
      <c r="D255" s="5">
        <v>0.92083333333333328</v>
      </c>
      <c r="E255" s="5">
        <v>12</v>
      </c>
      <c r="F255" s="5">
        <v>2262785</v>
      </c>
      <c r="G255" s="5">
        <v>334.08</v>
      </c>
      <c r="H255" s="5">
        <v>0.49209999999999998</v>
      </c>
      <c r="I255" s="5">
        <v>1.632844</v>
      </c>
      <c r="J255" s="5">
        <v>6.7984999999999998</v>
      </c>
      <c r="K255" s="5">
        <v>-0.46375000000000011</v>
      </c>
      <c r="L255" s="5">
        <v>-4.6149999999999913E-2</v>
      </c>
      <c r="M255" s="5">
        <v>-0.55557784911753727</v>
      </c>
    </row>
    <row r="256" spans="1:13">
      <c r="A256" t="s">
        <v>3</v>
      </c>
      <c r="B256" s="4">
        <v>46311.630289594905</v>
      </c>
      <c r="C256" s="5">
        <v>60.25</v>
      </c>
      <c r="D256" s="5">
        <v>1.0041666666666671</v>
      </c>
      <c r="E256" s="5">
        <v>13</v>
      </c>
      <c r="F256" s="5">
        <v>2267785</v>
      </c>
      <c r="G256" s="5">
        <v>335.68</v>
      </c>
      <c r="H256" s="5">
        <v>0.55200000000000005</v>
      </c>
      <c r="I256" s="5">
        <v>1.640665</v>
      </c>
      <c r="J256" s="5">
        <v>6.7523600000000004</v>
      </c>
      <c r="K256" s="5">
        <v>-0.50988999999999951</v>
      </c>
      <c r="L256" s="5">
        <v>-4.6139999999999397E-2</v>
      </c>
      <c r="M256" s="5">
        <v>-0.55367999999999284</v>
      </c>
    </row>
    <row r="257" spans="1:13">
      <c r="A257" t="s">
        <v>3</v>
      </c>
      <c r="B257" s="4">
        <v>46311.630347361111</v>
      </c>
      <c r="C257" s="5">
        <v>65.25</v>
      </c>
      <c r="D257" s="5">
        <v>1.0874999999999999</v>
      </c>
      <c r="E257" s="5">
        <v>14</v>
      </c>
      <c r="F257" s="5">
        <v>2272785</v>
      </c>
      <c r="G257" s="5">
        <v>337.24</v>
      </c>
      <c r="H257" s="5">
        <v>0.433</v>
      </c>
      <c r="I257" s="5">
        <v>1.6482889999999999</v>
      </c>
      <c r="J257" s="5">
        <v>6.7073700000000001</v>
      </c>
      <c r="K257" s="5">
        <v>-0.55487999999999982</v>
      </c>
      <c r="L257" s="5">
        <v>-4.4990000000000308E-2</v>
      </c>
      <c r="M257" s="5">
        <v>-0.53988000000000369</v>
      </c>
    </row>
    <row r="258" spans="1:13">
      <c r="A258" t="s">
        <v>3</v>
      </c>
      <c r="B258" s="4">
        <v>46311.630405138887</v>
      </c>
      <c r="C258" s="5">
        <v>70.234000000004016</v>
      </c>
      <c r="D258" s="5">
        <v>1.170566666666734</v>
      </c>
      <c r="E258" s="5">
        <v>15</v>
      </c>
      <c r="F258" s="5">
        <v>2277785</v>
      </c>
      <c r="G258" s="5">
        <v>338.84</v>
      </c>
      <c r="H258" s="5">
        <v>0.61240000000000006</v>
      </c>
      <c r="I258" s="5">
        <v>1.6561090000000001</v>
      </c>
      <c r="J258" s="5">
        <v>6.6612299999999998</v>
      </c>
      <c r="K258" s="5">
        <v>-0.60102000000000011</v>
      </c>
      <c r="L258" s="5">
        <v>-4.6140000000000292E-2</v>
      </c>
      <c r="M258" s="5">
        <v>-0.55545746388398609</v>
      </c>
    </row>
    <row r="259" spans="1:13">
      <c r="A259" t="s">
        <v>3</v>
      </c>
      <c r="B259" s="4">
        <v>46311.630463090281</v>
      </c>
      <c r="C259" s="5">
        <v>75.25</v>
      </c>
      <c r="D259" s="5">
        <v>1.2541666666666671</v>
      </c>
      <c r="E259" s="5">
        <v>16</v>
      </c>
      <c r="F259" s="5">
        <v>2282785</v>
      </c>
      <c r="G259" s="5">
        <v>340.56</v>
      </c>
      <c r="H259" s="5">
        <v>0.5</v>
      </c>
      <c r="I259" s="5">
        <v>1.6645160000000001</v>
      </c>
      <c r="J259" s="5">
        <v>6.6116200000000003</v>
      </c>
      <c r="K259" s="5">
        <v>-0.6506299999999996</v>
      </c>
      <c r="L259" s="5">
        <v>-4.9609999999999488E-2</v>
      </c>
      <c r="M259" s="5">
        <v>-0.59342105263204803</v>
      </c>
    </row>
    <row r="260" spans="1:13">
      <c r="A260" t="s">
        <v>3</v>
      </c>
      <c r="B260" s="4">
        <v>46311.630520868057</v>
      </c>
      <c r="C260" s="5">
        <v>80.234000000004016</v>
      </c>
      <c r="D260" s="5">
        <v>1.3372333333334001</v>
      </c>
      <c r="E260" s="5">
        <v>17</v>
      </c>
      <c r="F260" s="5">
        <v>2287784</v>
      </c>
      <c r="G260" s="5">
        <v>342.44</v>
      </c>
      <c r="H260" s="5">
        <v>0.49209999999999998</v>
      </c>
      <c r="I260" s="5">
        <v>1.673705</v>
      </c>
      <c r="J260" s="5">
        <v>6.5574000000000003</v>
      </c>
      <c r="K260" s="5">
        <v>-0.70484999999999953</v>
      </c>
      <c r="L260" s="5">
        <v>-5.4219999999999928E-2</v>
      </c>
      <c r="M260" s="5">
        <v>-0.65272873194168823</v>
      </c>
    </row>
    <row r="261" spans="1:13">
      <c r="A261" t="s">
        <v>3</v>
      </c>
      <c r="B261" s="4">
        <v>46311.630578657408</v>
      </c>
      <c r="C261" s="5">
        <v>85.234000000004016</v>
      </c>
      <c r="D261" s="5">
        <v>1.420566666666734</v>
      </c>
      <c r="E261" s="5">
        <v>18</v>
      </c>
      <c r="F261" s="5">
        <v>2292785</v>
      </c>
      <c r="G261" s="5">
        <v>343.52</v>
      </c>
      <c r="H261" s="5">
        <v>0.5796</v>
      </c>
      <c r="I261" s="5">
        <v>1.6789829999999999</v>
      </c>
      <c r="J261" s="5">
        <v>6.5262500000000001</v>
      </c>
      <c r="K261" s="5">
        <v>-0.73599999999999977</v>
      </c>
      <c r="L261" s="5">
        <v>-3.115000000000023E-2</v>
      </c>
      <c r="M261" s="5">
        <v>-0.3738000000000028</v>
      </c>
    </row>
    <row r="262" spans="1:13">
      <c r="A262" t="s">
        <v>3</v>
      </c>
      <c r="B262" s="4">
        <v>46311.63063659722</v>
      </c>
      <c r="C262" s="5">
        <v>90.234000000004016</v>
      </c>
      <c r="D262" s="5">
        <v>1.5039000000000671</v>
      </c>
      <c r="E262" s="5">
        <v>19</v>
      </c>
      <c r="F262" s="5">
        <v>2297785</v>
      </c>
      <c r="G262" s="5">
        <v>344.88</v>
      </c>
      <c r="H262" s="5">
        <v>0.50780000000000003</v>
      </c>
      <c r="I262" s="5">
        <v>1.6856310000000001</v>
      </c>
      <c r="J262" s="5">
        <v>6.4870299999999999</v>
      </c>
      <c r="K262" s="5">
        <v>-0.77522000000000002</v>
      </c>
      <c r="L262" s="5">
        <v>-3.9220000000000248E-2</v>
      </c>
      <c r="M262" s="5">
        <v>-0.47064000000000311</v>
      </c>
    </row>
    <row r="263" spans="1:13">
      <c r="A263" t="s">
        <v>3</v>
      </c>
      <c r="B263" s="4">
        <v>46311.630694375002</v>
      </c>
      <c r="C263" s="5">
        <v>95.234000000004016</v>
      </c>
      <c r="D263" s="5">
        <v>1.5872333333334001</v>
      </c>
      <c r="E263" s="5">
        <v>20</v>
      </c>
      <c r="F263" s="5">
        <v>2302785</v>
      </c>
      <c r="G263" s="5">
        <v>346.76</v>
      </c>
      <c r="H263" s="5">
        <v>0.41460000000000002</v>
      </c>
      <c r="I263" s="5">
        <v>1.6948190000000001</v>
      </c>
      <c r="J263" s="5">
        <v>6.4328099999999999</v>
      </c>
      <c r="K263" s="5">
        <v>-0.82943999999999996</v>
      </c>
      <c r="L263" s="5">
        <v>-5.4219999999999928E-2</v>
      </c>
      <c r="M263" s="5">
        <v>-0.65063999999999922</v>
      </c>
    </row>
    <row r="264" spans="1:13">
      <c r="A264" t="s">
        <v>3</v>
      </c>
      <c r="B264" s="4">
        <v>46311.630752164354</v>
      </c>
      <c r="C264" s="5">
        <v>100.2190000000046</v>
      </c>
      <c r="D264" s="5">
        <v>1.6703166666667431</v>
      </c>
      <c r="E264" s="5">
        <v>21</v>
      </c>
      <c r="F264" s="5">
        <v>2307785</v>
      </c>
      <c r="G264" s="5">
        <v>347.92</v>
      </c>
      <c r="H264" s="5">
        <v>0.47599999999999998</v>
      </c>
      <c r="I264" s="5">
        <v>1.7004889999999999</v>
      </c>
      <c r="J264" s="5">
        <v>6.3993599999999997</v>
      </c>
      <c r="K264" s="5">
        <v>-0.86289000000000016</v>
      </c>
      <c r="L264" s="5">
        <v>-3.3450000000000202E-2</v>
      </c>
      <c r="M264" s="5">
        <v>-0.40260782347036672</v>
      </c>
    </row>
    <row r="265" spans="1:13">
      <c r="A265" t="s">
        <v>3</v>
      </c>
      <c r="B265" s="4">
        <v>46311.630810127317</v>
      </c>
      <c r="C265" s="5">
        <v>105.234000000004</v>
      </c>
      <c r="D265" s="5">
        <v>1.7539000000000671</v>
      </c>
      <c r="E265" s="5">
        <v>22</v>
      </c>
      <c r="F265" s="5">
        <v>2312786</v>
      </c>
      <c r="G265" s="5">
        <v>349.4</v>
      </c>
      <c r="H265" s="5">
        <v>0.49209999999999998</v>
      </c>
      <c r="I265" s="5">
        <v>1.707722</v>
      </c>
      <c r="J265" s="5">
        <v>6.3566799999999999</v>
      </c>
      <c r="K265" s="5">
        <v>-0.90556999999999999</v>
      </c>
      <c r="L265" s="5">
        <v>-4.2679999999999829E-2</v>
      </c>
      <c r="M265" s="5">
        <v>-0.51062811565309807</v>
      </c>
    </row>
    <row r="266" spans="1:13">
      <c r="A266" t="s">
        <v>3</v>
      </c>
      <c r="B266" s="4">
        <v>46311.630867893517</v>
      </c>
      <c r="C266" s="5">
        <v>110.2190000000046</v>
      </c>
      <c r="D266" s="5">
        <v>1.83698333333341</v>
      </c>
      <c r="E266" s="5">
        <v>23</v>
      </c>
      <c r="F266" s="5">
        <v>2317786</v>
      </c>
      <c r="G266" s="5">
        <v>350.88</v>
      </c>
      <c r="H266" s="5">
        <v>0.50780000000000003</v>
      </c>
      <c r="I266" s="5">
        <v>1.7149559999999999</v>
      </c>
      <c r="J266" s="5">
        <v>6.3139900000000004</v>
      </c>
      <c r="K266" s="5">
        <v>-0.94825999999999944</v>
      </c>
      <c r="L266" s="5">
        <v>-4.2689999999999451E-2</v>
      </c>
      <c r="M266" s="5">
        <v>-0.51382146439311294</v>
      </c>
    </row>
    <row r="267" spans="1:13">
      <c r="A267" t="s">
        <v>3</v>
      </c>
      <c r="B267" s="4">
        <v>46311.630925671299</v>
      </c>
      <c r="C267" s="5">
        <v>115.2190000000046</v>
      </c>
      <c r="D267" s="5">
        <v>1.9203166666667431</v>
      </c>
      <c r="E267" s="5">
        <v>24</v>
      </c>
      <c r="F267" s="5">
        <v>2322785</v>
      </c>
      <c r="G267" s="5">
        <v>352.4</v>
      </c>
      <c r="H267" s="5">
        <v>0.49209999999999998</v>
      </c>
      <c r="I267" s="5">
        <v>1.7223850000000001</v>
      </c>
      <c r="J267" s="5">
        <v>6.2701599999999997</v>
      </c>
      <c r="K267" s="5">
        <v>-0.99209000000000014</v>
      </c>
      <c r="L267" s="5">
        <v>-4.3830000000000702E-2</v>
      </c>
      <c r="M267" s="5">
        <v>-0.52596000000000842</v>
      </c>
    </row>
    <row r="268" spans="1:13">
      <c r="A268" t="s">
        <v>3</v>
      </c>
      <c r="B268" s="4">
        <v>46311.630983437499</v>
      </c>
      <c r="C268" s="5">
        <v>120.2030000000013</v>
      </c>
      <c r="D268" s="5">
        <v>2.0033833333333551</v>
      </c>
      <c r="E268" s="5">
        <v>25</v>
      </c>
      <c r="F268" s="5">
        <v>2327786</v>
      </c>
      <c r="G268" s="5">
        <v>354.08</v>
      </c>
      <c r="H268" s="5">
        <v>0.27950000000000003</v>
      </c>
      <c r="I268" s="5">
        <v>1.730596</v>
      </c>
      <c r="J268" s="5">
        <v>6.2217099999999999</v>
      </c>
      <c r="K268" s="5">
        <v>-1.04054</v>
      </c>
      <c r="L268" s="5">
        <v>-4.8449999999999882E-2</v>
      </c>
      <c r="M268" s="5">
        <v>-0.58326645264885513</v>
      </c>
    </row>
    <row r="269" spans="1:13">
      <c r="A269" t="s">
        <v>3</v>
      </c>
      <c r="B269" s="4">
        <v>46311.631041388886</v>
      </c>
      <c r="C269" s="5">
        <v>125.2190000000046</v>
      </c>
      <c r="D269" s="5">
        <v>2.0869833333334098</v>
      </c>
      <c r="E269" s="5">
        <v>26</v>
      </c>
      <c r="F269" s="5">
        <v>2332786</v>
      </c>
      <c r="G269" s="5">
        <v>355.36</v>
      </c>
      <c r="H269" s="5">
        <v>0.49209999999999998</v>
      </c>
      <c r="I269" s="5">
        <v>1.7368520000000001</v>
      </c>
      <c r="J269" s="5">
        <v>6.1847899999999996</v>
      </c>
      <c r="K269" s="5">
        <v>-1.0774600000000001</v>
      </c>
      <c r="L269" s="5">
        <v>-3.6920000000000293E-2</v>
      </c>
      <c r="M269" s="5">
        <v>-0.44162679425808959</v>
      </c>
    </row>
    <row r="270" spans="1:13">
      <c r="A270" t="s">
        <v>3</v>
      </c>
      <c r="B270" s="4">
        <v>46311.631099178237</v>
      </c>
      <c r="C270" s="5">
        <v>130.20300000000131</v>
      </c>
      <c r="D270" s="5">
        <v>2.170050000000022</v>
      </c>
      <c r="E270" s="5">
        <v>27</v>
      </c>
      <c r="F270" s="5">
        <v>2337785</v>
      </c>
      <c r="G270" s="5">
        <v>357.16</v>
      </c>
      <c r="H270" s="5">
        <v>0.45929999999999999</v>
      </c>
      <c r="I270" s="5">
        <v>1.7456499999999999</v>
      </c>
      <c r="J270" s="5">
        <v>6.1328800000000001</v>
      </c>
      <c r="K270" s="5">
        <v>-1.12937</v>
      </c>
      <c r="L270" s="5">
        <v>-5.1909999999999457E-2</v>
      </c>
      <c r="M270" s="5">
        <v>-0.62491974317857224</v>
      </c>
    </row>
    <row r="271" spans="1:13">
      <c r="A271" t="s">
        <v>3</v>
      </c>
      <c r="B271" s="4">
        <v>46311.631156944444</v>
      </c>
      <c r="C271" s="5">
        <v>135.20300000000131</v>
      </c>
      <c r="D271" s="5">
        <v>2.2533833333333551</v>
      </c>
      <c r="E271" s="5">
        <v>28</v>
      </c>
      <c r="F271" s="5">
        <v>2342785</v>
      </c>
      <c r="G271" s="5">
        <v>358.64</v>
      </c>
      <c r="H271" s="5">
        <v>0.55200000000000005</v>
      </c>
      <c r="I271" s="5">
        <v>1.7528840000000001</v>
      </c>
      <c r="J271" s="5">
        <v>6.0901899999999998</v>
      </c>
      <c r="K271" s="5">
        <v>-1.1720600000000001</v>
      </c>
      <c r="L271" s="5">
        <v>-4.2690000000000339E-2</v>
      </c>
      <c r="M271" s="5">
        <v>-0.51228000000000407</v>
      </c>
    </row>
    <row r="272" spans="1:13">
      <c r="A272" t="s">
        <v>3</v>
      </c>
      <c r="B272" s="4">
        <v>46311.631214918983</v>
      </c>
      <c r="C272" s="5">
        <v>140.20300000000131</v>
      </c>
      <c r="D272" s="5">
        <v>2.336716666666689</v>
      </c>
      <c r="E272" s="5">
        <v>29</v>
      </c>
      <c r="F272" s="5">
        <v>2347786</v>
      </c>
      <c r="G272" s="5">
        <v>360.4</v>
      </c>
      <c r="H272" s="5">
        <v>0.49209999999999998</v>
      </c>
      <c r="I272" s="5">
        <v>1.7614860000000001</v>
      </c>
      <c r="J272" s="5">
        <v>6.0394399999999999</v>
      </c>
      <c r="K272" s="5">
        <v>-1.22281</v>
      </c>
      <c r="L272" s="5">
        <v>-5.0749999999999851E-2</v>
      </c>
      <c r="M272" s="5">
        <v>-0.60899999999999821</v>
      </c>
    </row>
    <row r="273" spans="1:13">
      <c r="A273" t="s">
        <v>3</v>
      </c>
      <c r="B273" s="4">
        <v>46311.631272685183</v>
      </c>
      <c r="C273" s="5">
        <v>145.20300000000131</v>
      </c>
      <c r="D273" s="5">
        <v>2.420050000000022</v>
      </c>
      <c r="E273" s="5">
        <v>30</v>
      </c>
      <c r="F273" s="5">
        <v>2352785</v>
      </c>
      <c r="G273" s="5">
        <v>362.24</v>
      </c>
      <c r="H273" s="5">
        <v>0.58630000000000004</v>
      </c>
      <c r="I273" s="5">
        <v>1.7704789999999999</v>
      </c>
      <c r="J273" s="5">
        <v>5.98637</v>
      </c>
      <c r="K273" s="5">
        <v>-1.2758799999999999</v>
      </c>
      <c r="L273" s="5">
        <v>-5.3069999999999951E-2</v>
      </c>
      <c r="M273" s="5">
        <v>-0.63683999999999941</v>
      </c>
    </row>
    <row r="274" spans="1:13">
      <c r="A274" t="s">
        <v>3</v>
      </c>
      <c r="B274" s="4">
        <v>46311.63133045139</v>
      </c>
      <c r="C274" s="5">
        <v>150.18800000000189</v>
      </c>
      <c r="D274" s="5">
        <v>2.503133333333365</v>
      </c>
      <c r="E274" s="5">
        <v>31</v>
      </c>
      <c r="F274" s="5">
        <v>2357785</v>
      </c>
      <c r="G274" s="5">
        <v>364.04</v>
      </c>
      <c r="H274" s="5">
        <v>0.433</v>
      </c>
      <c r="I274" s="5">
        <v>1.779277</v>
      </c>
      <c r="J274" s="5">
        <v>5.9344599999999996</v>
      </c>
      <c r="K274" s="5">
        <v>-1.32779</v>
      </c>
      <c r="L274" s="5">
        <v>-5.1910000000000338E-2</v>
      </c>
      <c r="M274" s="5">
        <v>-0.62479438314937963</v>
      </c>
    </row>
    <row r="275" spans="1:13">
      <c r="A275" t="s">
        <v>3</v>
      </c>
      <c r="B275" s="4">
        <v>46311.631388414353</v>
      </c>
      <c r="C275" s="5">
        <v>155.18800000000189</v>
      </c>
      <c r="D275" s="5">
        <v>2.5864666666666989</v>
      </c>
      <c r="E275" s="5">
        <v>32</v>
      </c>
      <c r="F275" s="5">
        <v>2362785</v>
      </c>
      <c r="G275" s="5">
        <v>366.08</v>
      </c>
      <c r="H275" s="5">
        <v>0.39529999999999998</v>
      </c>
      <c r="I275" s="5">
        <v>1.789247</v>
      </c>
      <c r="J275" s="5">
        <v>5.8756300000000001</v>
      </c>
      <c r="K275" s="5">
        <v>-1.38662</v>
      </c>
      <c r="L275" s="5">
        <v>-5.8829999999999487E-2</v>
      </c>
      <c r="M275" s="5">
        <v>-0.70595999999999393</v>
      </c>
    </row>
    <row r="276" spans="1:13">
      <c r="A276" t="s">
        <v>3</v>
      </c>
      <c r="B276" s="4">
        <v>46311.631446180552</v>
      </c>
      <c r="C276" s="5">
        <v>160.18800000000189</v>
      </c>
      <c r="D276" s="5">
        <v>2.6698000000000319</v>
      </c>
      <c r="E276" s="5">
        <v>33</v>
      </c>
      <c r="F276" s="5">
        <v>2367784</v>
      </c>
      <c r="G276" s="5">
        <v>368.08</v>
      </c>
      <c r="H276" s="5">
        <v>0.27950000000000003</v>
      </c>
      <c r="I276" s="5">
        <v>1.7990219999999999</v>
      </c>
      <c r="J276" s="5">
        <v>5.8179499999999997</v>
      </c>
      <c r="K276" s="5">
        <v>-1.4442999999999999</v>
      </c>
      <c r="L276" s="5">
        <v>-5.7680000000000398E-2</v>
      </c>
      <c r="M276" s="5">
        <v>-0.69216000000000477</v>
      </c>
    </row>
    <row r="277" spans="1:13">
      <c r="A277" t="s">
        <v>3</v>
      </c>
      <c r="B277" s="4">
        <v>46311.631503969904</v>
      </c>
      <c r="C277" s="5">
        <v>165.17199999999869</v>
      </c>
      <c r="D277" s="5">
        <v>2.7528666666666441</v>
      </c>
      <c r="E277" s="5">
        <v>34</v>
      </c>
      <c r="F277" s="5">
        <v>2372785</v>
      </c>
      <c r="G277" s="5">
        <v>369.8</v>
      </c>
      <c r="H277" s="5">
        <v>0.57279999999999998</v>
      </c>
      <c r="I277" s="5">
        <v>1.807429</v>
      </c>
      <c r="J277" s="5">
        <v>5.7683400000000002</v>
      </c>
      <c r="K277" s="5">
        <v>-1.4939100000000001</v>
      </c>
      <c r="L277" s="5">
        <v>-4.9609999999999488E-2</v>
      </c>
      <c r="M277" s="5">
        <v>-0.59723113964725438</v>
      </c>
    </row>
    <row r="278" spans="1:13">
      <c r="A278" t="s">
        <v>3</v>
      </c>
      <c r="B278" s="4">
        <v>46311.631561921298</v>
      </c>
      <c r="C278" s="5">
        <v>170.18800000000189</v>
      </c>
      <c r="D278" s="5">
        <v>2.8364666666666989</v>
      </c>
      <c r="E278" s="5">
        <v>35</v>
      </c>
      <c r="F278" s="5">
        <v>2377785</v>
      </c>
      <c r="G278" s="5">
        <v>371.8</v>
      </c>
      <c r="H278" s="5">
        <v>0.5</v>
      </c>
      <c r="I278" s="5">
        <v>1.817204</v>
      </c>
      <c r="J278" s="5">
        <v>5.7106599999999998</v>
      </c>
      <c r="K278" s="5">
        <v>-1.55159</v>
      </c>
      <c r="L278" s="5">
        <v>-5.7680000000000398E-2</v>
      </c>
      <c r="M278" s="5">
        <v>-0.68995215310960423</v>
      </c>
    </row>
    <row r="279" spans="1:13">
      <c r="A279" t="s">
        <v>3</v>
      </c>
      <c r="B279" s="4">
        <v>46311.631619687498</v>
      </c>
      <c r="C279" s="5">
        <v>175.17199999999869</v>
      </c>
      <c r="D279" s="5">
        <v>2.9195333333333111</v>
      </c>
      <c r="E279" s="5">
        <v>36</v>
      </c>
      <c r="F279" s="5">
        <v>2382785</v>
      </c>
      <c r="G279" s="5">
        <v>374.44</v>
      </c>
      <c r="H279" s="5">
        <v>0.5</v>
      </c>
      <c r="I279" s="5">
        <v>1.8301069999999999</v>
      </c>
      <c r="J279" s="5">
        <v>5.6345200000000002</v>
      </c>
      <c r="K279" s="5">
        <v>-1.6277299999999999</v>
      </c>
      <c r="L279" s="5">
        <v>-7.6139999999999652E-2</v>
      </c>
      <c r="M279" s="5">
        <v>-0.91661316211937527</v>
      </c>
    </row>
    <row r="280" spans="1:13">
      <c r="A280" t="s">
        <v>3</v>
      </c>
      <c r="B280" s="4">
        <v>46311.631677465281</v>
      </c>
      <c r="C280" s="5">
        <v>180.17199999999869</v>
      </c>
      <c r="D280" s="5">
        <v>3.0028666666666441</v>
      </c>
      <c r="E280" s="5">
        <v>37</v>
      </c>
      <c r="F280" s="5">
        <v>2387785</v>
      </c>
      <c r="G280" s="5">
        <v>376.04</v>
      </c>
      <c r="H280" s="5">
        <v>0.433</v>
      </c>
      <c r="I280" s="5">
        <v>1.837928</v>
      </c>
      <c r="J280" s="5">
        <v>5.5883799999999999</v>
      </c>
      <c r="K280" s="5">
        <v>-1.67387</v>
      </c>
      <c r="L280" s="5">
        <v>-4.6140000000000292E-2</v>
      </c>
      <c r="M280" s="5">
        <v>-0.5536800000000035</v>
      </c>
    </row>
    <row r="281" spans="1:13">
      <c r="A281" t="s">
        <v>3</v>
      </c>
      <c r="B281" s="4">
        <v>46311.631735428244</v>
      </c>
      <c r="C281" s="5">
        <v>185.17199999999869</v>
      </c>
      <c r="D281" s="5">
        <v>3.0861999999999781</v>
      </c>
      <c r="E281" s="5">
        <v>38</v>
      </c>
      <c r="F281" s="5">
        <v>2392785</v>
      </c>
      <c r="G281" s="5">
        <v>378.24</v>
      </c>
      <c r="H281" s="5">
        <v>0.45069999999999999</v>
      </c>
      <c r="I281" s="5">
        <v>1.8486800000000001</v>
      </c>
      <c r="J281" s="5">
        <v>5.5249300000000003</v>
      </c>
      <c r="K281" s="5">
        <v>-1.73732</v>
      </c>
      <c r="L281" s="5">
        <v>-6.3449999999999562E-2</v>
      </c>
      <c r="M281" s="5">
        <v>-0.76139999999999475</v>
      </c>
    </row>
    <row r="282" spans="1:13">
      <c r="A282" t="s">
        <v>3</v>
      </c>
      <c r="B282" s="4">
        <v>46311.631793194443</v>
      </c>
      <c r="C282" s="5">
        <v>190.17199999999869</v>
      </c>
      <c r="D282" s="5">
        <v>3.1695333333333111</v>
      </c>
      <c r="E282" s="5">
        <v>39</v>
      </c>
      <c r="F282" s="5">
        <v>2397785</v>
      </c>
      <c r="G282" s="5">
        <v>380.4</v>
      </c>
      <c r="H282" s="5">
        <v>0.5</v>
      </c>
      <c r="I282" s="5">
        <v>1.8592379999999999</v>
      </c>
      <c r="J282" s="5">
        <v>5.4626400000000004</v>
      </c>
      <c r="K282" s="5">
        <v>-1.799609999999999</v>
      </c>
      <c r="L282" s="5">
        <v>-6.2289999999999963E-2</v>
      </c>
      <c r="M282" s="5">
        <v>-0.74747999999999948</v>
      </c>
    </row>
    <row r="283" spans="1:13">
      <c r="A283" t="s">
        <v>3</v>
      </c>
      <c r="B283" s="4">
        <v>46311.631850972219</v>
      </c>
      <c r="C283" s="5">
        <v>195.15600000000271</v>
      </c>
      <c r="D283" s="5">
        <v>3.252600000000045</v>
      </c>
      <c r="E283" s="5">
        <v>40</v>
      </c>
      <c r="F283" s="5">
        <v>2402785</v>
      </c>
      <c r="G283" s="5">
        <v>382.56</v>
      </c>
      <c r="H283" s="5">
        <v>0.57279999999999998</v>
      </c>
      <c r="I283" s="5">
        <v>1.8697950000000001</v>
      </c>
      <c r="J283" s="5">
        <v>5.4003399999999999</v>
      </c>
      <c r="K283" s="5">
        <v>-1.86191</v>
      </c>
      <c r="L283" s="5">
        <v>-6.2300000000000473E-2</v>
      </c>
      <c r="M283" s="5">
        <v>-0.74999999999940115</v>
      </c>
    </row>
    <row r="284" spans="1:13">
      <c r="A284" t="s">
        <v>3</v>
      </c>
      <c r="B284" s="4">
        <v>46311.631908935182</v>
      </c>
      <c r="C284" s="5">
        <v>200.17199999999869</v>
      </c>
      <c r="D284" s="5">
        <v>3.3361999999999781</v>
      </c>
      <c r="E284" s="5">
        <v>41</v>
      </c>
      <c r="F284" s="5">
        <v>2407785</v>
      </c>
      <c r="G284" s="5">
        <v>384.56</v>
      </c>
      <c r="H284" s="5">
        <v>0.57279999999999998</v>
      </c>
      <c r="I284" s="5">
        <v>1.87957</v>
      </c>
      <c r="J284" s="5">
        <v>5.3426600000000004</v>
      </c>
      <c r="K284" s="5">
        <v>-1.919589999999999</v>
      </c>
      <c r="L284" s="5">
        <v>-5.7679999999999509E-2</v>
      </c>
      <c r="M284" s="5">
        <v>-0.68995215311059443</v>
      </c>
    </row>
    <row r="285" spans="1:13">
      <c r="A285" t="s">
        <v>3</v>
      </c>
      <c r="B285" s="4">
        <v>46311.631966701389</v>
      </c>
      <c r="C285" s="5">
        <v>205.15600000000271</v>
      </c>
      <c r="D285" s="5">
        <v>3.4192666666667111</v>
      </c>
      <c r="E285" s="5">
        <v>42</v>
      </c>
      <c r="F285" s="5">
        <v>2412785</v>
      </c>
      <c r="G285" s="5">
        <v>386.76</v>
      </c>
      <c r="H285" s="5">
        <v>0.57279999999999998</v>
      </c>
      <c r="I285" s="5">
        <v>1.890323</v>
      </c>
      <c r="J285" s="5">
        <v>5.27921</v>
      </c>
      <c r="K285" s="5">
        <v>-1.9830399999999999</v>
      </c>
      <c r="L285" s="5">
        <v>-6.345000000000045E-2</v>
      </c>
      <c r="M285" s="5">
        <v>-0.76384430176503992</v>
      </c>
    </row>
    <row r="286" spans="1:13">
      <c r="A286" t="s">
        <v>3</v>
      </c>
      <c r="B286" s="4">
        <v>46311.632024479164</v>
      </c>
      <c r="C286" s="5">
        <v>210.15600000000271</v>
      </c>
      <c r="D286" s="5">
        <v>3.502600000000045</v>
      </c>
      <c r="E286" s="5">
        <v>43</v>
      </c>
      <c r="F286" s="5">
        <v>2417785</v>
      </c>
      <c r="G286" s="5">
        <v>389</v>
      </c>
      <c r="H286" s="5">
        <v>0.39529999999999998</v>
      </c>
      <c r="I286" s="5">
        <v>1.9012709999999999</v>
      </c>
      <c r="J286" s="5">
        <v>5.2146100000000004</v>
      </c>
      <c r="K286" s="5">
        <v>-2.047639999999999</v>
      </c>
      <c r="L286" s="5">
        <v>-6.4599999999999547E-2</v>
      </c>
      <c r="M286" s="5">
        <v>-0.77519999999999456</v>
      </c>
    </row>
    <row r="287" spans="1:13">
      <c r="A287" t="s">
        <v>3</v>
      </c>
      <c r="B287" s="4">
        <v>46311.632082442127</v>
      </c>
      <c r="C287" s="5">
        <v>215.15600000000271</v>
      </c>
      <c r="D287" s="5">
        <v>3.585933333333378</v>
      </c>
      <c r="E287" s="5">
        <v>44</v>
      </c>
      <c r="F287" s="5">
        <v>2422785</v>
      </c>
      <c r="G287" s="5">
        <v>391.08</v>
      </c>
      <c r="H287" s="5">
        <v>0.39529999999999998</v>
      </c>
      <c r="I287" s="5">
        <v>1.9114370000000001</v>
      </c>
      <c r="J287" s="5">
        <v>5.15463</v>
      </c>
      <c r="K287" s="5">
        <v>-2.1076199999999998</v>
      </c>
      <c r="L287" s="5">
        <v>-5.9980000000000373E-2</v>
      </c>
      <c r="M287" s="5">
        <v>-0.7197600000000044</v>
      </c>
    </row>
    <row r="288" spans="1:13">
      <c r="A288" t="s">
        <v>3</v>
      </c>
      <c r="B288" s="4">
        <v>46311.63214021991</v>
      </c>
      <c r="C288" s="5">
        <v>220.15600000000271</v>
      </c>
      <c r="D288" s="5">
        <v>3.6692666666667111</v>
      </c>
      <c r="E288" s="5">
        <v>45</v>
      </c>
      <c r="F288" s="5">
        <v>2427785</v>
      </c>
      <c r="G288" s="5">
        <v>393.04</v>
      </c>
      <c r="H288" s="5">
        <v>0.33069999999999999</v>
      </c>
      <c r="I288" s="5">
        <v>1.921017</v>
      </c>
      <c r="J288" s="5">
        <v>5.0980999999999996</v>
      </c>
      <c r="K288" s="5">
        <v>-2.1641499999999998</v>
      </c>
      <c r="L288" s="5">
        <v>-5.6530000000000413E-2</v>
      </c>
      <c r="M288" s="5">
        <v>-0.67836000000000496</v>
      </c>
    </row>
    <row r="289" spans="1:13">
      <c r="A289" t="s">
        <v>3</v>
      </c>
      <c r="B289" s="4">
        <v>46311.63219798611</v>
      </c>
      <c r="C289" s="5">
        <v>225.14100000000329</v>
      </c>
      <c r="D289" s="5">
        <v>3.752350000000054</v>
      </c>
      <c r="E289" s="5">
        <v>46</v>
      </c>
      <c r="F289" s="5">
        <v>2432785</v>
      </c>
      <c r="G289" s="5">
        <v>394.92</v>
      </c>
      <c r="H289" s="5">
        <v>0.48409999999999997</v>
      </c>
      <c r="I289" s="5">
        <v>1.9302049999999999</v>
      </c>
      <c r="J289" s="5">
        <v>5.0438799999999997</v>
      </c>
      <c r="K289" s="5">
        <v>-2.2183700000000002</v>
      </c>
      <c r="L289" s="5">
        <v>-5.4219999999999928E-2</v>
      </c>
      <c r="M289" s="5">
        <v>-0.65259779338006352</v>
      </c>
    </row>
    <row r="290" spans="1:13">
      <c r="A290" t="s">
        <v>3</v>
      </c>
      <c r="B290" s="4">
        <v>46311.632255937497</v>
      </c>
      <c r="C290" s="5">
        <v>230.15600000000271</v>
      </c>
      <c r="D290" s="5">
        <v>3.835933333333378</v>
      </c>
      <c r="E290" s="5">
        <v>47</v>
      </c>
      <c r="F290" s="5">
        <v>2437785</v>
      </c>
      <c r="G290" s="5">
        <v>397.2</v>
      </c>
      <c r="H290" s="5">
        <v>0.39529999999999998</v>
      </c>
      <c r="I290" s="5">
        <v>1.941349</v>
      </c>
      <c r="J290" s="5">
        <v>4.9781300000000002</v>
      </c>
      <c r="K290" s="5">
        <v>-2.2841200000000002</v>
      </c>
      <c r="L290" s="5">
        <v>-6.5749999999999531E-2</v>
      </c>
      <c r="M290" s="5">
        <v>-0.78664007976080352</v>
      </c>
    </row>
    <row r="291" spans="1:13">
      <c r="A291" t="s">
        <v>3</v>
      </c>
      <c r="B291" s="4">
        <v>46311.632313726848</v>
      </c>
      <c r="C291" s="5">
        <v>235.14100000000329</v>
      </c>
      <c r="D291" s="5">
        <v>3.919016666666721</v>
      </c>
      <c r="E291" s="5">
        <v>48</v>
      </c>
      <c r="F291" s="5">
        <v>2442785</v>
      </c>
      <c r="G291" s="5">
        <v>398.96</v>
      </c>
      <c r="H291" s="5">
        <v>0.45069999999999999</v>
      </c>
      <c r="I291" s="5">
        <v>1.949951</v>
      </c>
      <c r="J291" s="5">
        <v>4.9273699999999998</v>
      </c>
      <c r="K291" s="5">
        <v>-2.3348800000000001</v>
      </c>
      <c r="L291" s="5">
        <v>-5.076000000000036E-2</v>
      </c>
      <c r="M291" s="5">
        <v>-0.61095285857566017</v>
      </c>
    </row>
    <row r="292" spans="1:13">
      <c r="A292" t="s">
        <v>3</v>
      </c>
      <c r="B292" s="4">
        <v>46311.632371493055</v>
      </c>
      <c r="C292" s="5">
        <v>240.125</v>
      </c>
      <c r="D292" s="5">
        <v>4.0020833333333332</v>
      </c>
      <c r="E292" s="5">
        <v>49</v>
      </c>
      <c r="F292" s="5">
        <v>2447784</v>
      </c>
      <c r="G292" s="5">
        <v>400.92</v>
      </c>
      <c r="H292" s="5">
        <v>0.375</v>
      </c>
      <c r="I292" s="5">
        <v>1.9595309999999999</v>
      </c>
      <c r="J292" s="5">
        <v>4.8708400000000003</v>
      </c>
      <c r="K292" s="5">
        <v>-2.39141</v>
      </c>
      <c r="L292" s="5">
        <v>-5.6529999999999532E-2</v>
      </c>
      <c r="M292" s="5">
        <v>-0.68053772070669938</v>
      </c>
    </row>
    <row r="293" spans="1:13">
      <c r="A293" t="s">
        <v>3</v>
      </c>
      <c r="B293" s="4">
        <v>46311.632429259262</v>
      </c>
      <c r="C293" s="5">
        <v>245.125</v>
      </c>
      <c r="D293" s="5">
        <v>4.0854166666666663</v>
      </c>
      <c r="E293" s="5">
        <v>50</v>
      </c>
      <c r="F293" s="5">
        <v>2452785</v>
      </c>
      <c r="G293" s="5">
        <v>402.36</v>
      </c>
      <c r="H293" s="5">
        <v>0.55900000000000005</v>
      </c>
      <c r="I293" s="5">
        <v>1.966569</v>
      </c>
      <c r="J293" s="5">
        <v>4.8293100000000004</v>
      </c>
      <c r="K293" s="5">
        <v>-2.432939999999999</v>
      </c>
      <c r="L293" s="5">
        <v>-4.1529999999999838E-2</v>
      </c>
      <c r="M293" s="5">
        <v>-0.49835999999999808</v>
      </c>
    </row>
    <row r="294" spans="1:13">
      <c r="A294" t="s">
        <v>3</v>
      </c>
      <c r="B294" s="4">
        <v>46311.632487222225</v>
      </c>
      <c r="C294" s="5">
        <v>250.125</v>
      </c>
      <c r="D294" s="5">
        <v>4.1687500000000002</v>
      </c>
      <c r="E294" s="5">
        <v>51</v>
      </c>
      <c r="F294" s="5">
        <v>2457785</v>
      </c>
      <c r="G294" s="5">
        <v>404.32</v>
      </c>
      <c r="H294" s="5">
        <v>0.53029999999999999</v>
      </c>
      <c r="I294" s="5">
        <v>1.9761489999999999</v>
      </c>
      <c r="J294" s="5">
        <v>4.7727899999999996</v>
      </c>
      <c r="K294" s="5">
        <v>-2.4894599999999998</v>
      </c>
      <c r="L294" s="5">
        <v>-5.6520000000000792E-2</v>
      </c>
      <c r="M294" s="5">
        <v>-0.6782400000000095</v>
      </c>
    </row>
    <row r="295" spans="1:13">
      <c r="A295" t="s">
        <v>3</v>
      </c>
      <c r="B295" s="4">
        <v>46311.632545</v>
      </c>
      <c r="C295" s="5">
        <v>255.125</v>
      </c>
      <c r="D295" s="5">
        <v>4.2520833333333332</v>
      </c>
      <c r="E295" s="5">
        <v>52</v>
      </c>
      <c r="F295" s="5">
        <v>2462785</v>
      </c>
      <c r="G295" s="5">
        <v>406</v>
      </c>
      <c r="H295" s="5">
        <v>0.39529999999999998</v>
      </c>
      <c r="I295" s="5">
        <v>1.9843599999999999</v>
      </c>
      <c r="J295" s="5">
        <v>4.7243300000000001</v>
      </c>
      <c r="K295" s="5">
        <v>-2.5379200000000002</v>
      </c>
      <c r="L295" s="5">
        <v>-4.8459999999999497E-2</v>
      </c>
      <c r="M295" s="5">
        <v>-0.58151999999999404</v>
      </c>
    </row>
    <row r="296" spans="1:13">
      <c r="A296" t="s">
        <v>3</v>
      </c>
      <c r="B296" s="4">
        <v>46311.632602766207</v>
      </c>
      <c r="C296" s="5">
        <v>260.10900000000402</v>
      </c>
      <c r="D296" s="5">
        <v>4.3351500000000671</v>
      </c>
      <c r="E296" s="5">
        <v>53</v>
      </c>
      <c r="F296" s="5">
        <v>2467785</v>
      </c>
      <c r="G296" s="5">
        <v>407.04</v>
      </c>
      <c r="H296" s="5">
        <v>0.45069999999999999</v>
      </c>
      <c r="I296" s="5">
        <v>1.9894430000000001</v>
      </c>
      <c r="J296" s="5">
        <v>4.6943400000000004</v>
      </c>
      <c r="K296" s="5">
        <v>-2.567909999999999</v>
      </c>
      <c r="L296" s="5">
        <v>-2.9989999999999739E-2</v>
      </c>
      <c r="M296" s="5">
        <v>-0.36103531300131098</v>
      </c>
    </row>
    <row r="297" spans="1:13">
      <c r="A297" t="s">
        <v>3</v>
      </c>
      <c r="B297" s="4">
        <v>46311.632660729163</v>
      </c>
      <c r="C297" s="5">
        <v>265.125</v>
      </c>
      <c r="D297" s="5">
        <v>4.4187500000000002</v>
      </c>
      <c r="E297" s="5">
        <v>54</v>
      </c>
      <c r="F297" s="5">
        <v>2472785</v>
      </c>
      <c r="G297" s="5">
        <v>408.68</v>
      </c>
      <c r="H297" s="5">
        <v>0.54490000000000005</v>
      </c>
      <c r="I297" s="5">
        <v>1.997458</v>
      </c>
      <c r="J297" s="5">
        <v>4.6470399999999996</v>
      </c>
      <c r="K297" s="5">
        <v>-2.6152099999999998</v>
      </c>
      <c r="L297" s="5">
        <v>-4.7300000000000793E-2</v>
      </c>
      <c r="M297" s="5">
        <v>-0.56578947368467292</v>
      </c>
    </row>
    <row r="298" spans="1:13">
      <c r="A298" t="s">
        <v>3</v>
      </c>
      <c r="B298" s="4">
        <v>46311.632718518522</v>
      </c>
      <c r="C298" s="5">
        <v>270.10900000000402</v>
      </c>
      <c r="D298" s="5">
        <v>4.5018166666667332</v>
      </c>
      <c r="E298" s="5">
        <v>55</v>
      </c>
      <c r="F298" s="5">
        <v>2477785</v>
      </c>
      <c r="G298" s="5">
        <v>410.08</v>
      </c>
      <c r="H298" s="5">
        <v>0.5</v>
      </c>
      <c r="I298" s="5">
        <v>2.0043009999999999</v>
      </c>
      <c r="J298" s="5">
        <v>4.6066700000000003</v>
      </c>
      <c r="K298" s="5">
        <v>-2.6555800000000001</v>
      </c>
      <c r="L298" s="5">
        <v>-4.0369999999999351E-2</v>
      </c>
      <c r="M298" s="5">
        <v>-0.48599518459029067</v>
      </c>
    </row>
    <row r="299" spans="1:13">
      <c r="A299" t="s">
        <v>3</v>
      </c>
      <c r="B299" s="4">
        <v>46311.632776296297</v>
      </c>
      <c r="C299" s="5">
        <v>275.10900000000402</v>
      </c>
      <c r="D299" s="5">
        <v>4.5851500000000671</v>
      </c>
      <c r="E299" s="5">
        <v>56</v>
      </c>
      <c r="F299" s="5">
        <v>2482785</v>
      </c>
      <c r="G299" s="5">
        <v>411.48</v>
      </c>
      <c r="H299" s="5">
        <v>0.5</v>
      </c>
      <c r="I299" s="5">
        <v>2.0111439999999998</v>
      </c>
      <c r="J299" s="5">
        <v>4.5662900000000004</v>
      </c>
      <c r="K299" s="5">
        <v>-2.695959999999999</v>
      </c>
      <c r="L299" s="5">
        <v>-4.037999999999986E-2</v>
      </c>
      <c r="M299" s="5">
        <v>-0.48455999999999833</v>
      </c>
    </row>
    <row r="300" spans="1:13">
      <c r="A300" t="s">
        <v>3</v>
      </c>
      <c r="B300" s="4">
        <v>46311.632834247685</v>
      </c>
      <c r="C300" s="5">
        <v>280.10900000000402</v>
      </c>
      <c r="D300" s="5">
        <v>4.6684833333334002</v>
      </c>
      <c r="E300" s="5">
        <v>57</v>
      </c>
      <c r="F300" s="5">
        <v>2487785</v>
      </c>
      <c r="G300" s="5">
        <v>412.6</v>
      </c>
      <c r="H300" s="5">
        <v>0.55900000000000005</v>
      </c>
      <c r="I300" s="5">
        <v>2.0166179999999998</v>
      </c>
      <c r="J300" s="5">
        <v>4.5339900000000002</v>
      </c>
      <c r="K300" s="5">
        <v>-2.7282600000000001</v>
      </c>
      <c r="L300" s="5">
        <v>-3.2300000000000217E-2</v>
      </c>
      <c r="M300" s="5">
        <v>-0.38760000000000261</v>
      </c>
    </row>
    <row r="301" spans="1:13">
      <c r="A301" t="s">
        <v>3</v>
      </c>
      <c r="B301" s="4">
        <v>46311.632892013891</v>
      </c>
      <c r="C301" s="5">
        <v>285.10900000000402</v>
      </c>
      <c r="D301" s="5">
        <v>4.7518166666667332</v>
      </c>
      <c r="E301" s="5">
        <v>58</v>
      </c>
      <c r="F301" s="5">
        <v>2492785</v>
      </c>
      <c r="G301" s="5">
        <v>413.84</v>
      </c>
      <c r="H301" s="5">
        <v>0.54490000000000005</v>
      </c>
      <c r="I301" s="5">
        <v>2.022678</v>
      </c>
      <c r="J301" s="5">
        <v>4.4982300000000004</v>
      </c>
      <c r="K301" s="5">
        <v>-2.764019999999999</v>
      </c>
      <c r="L301" s="5">
        <v>-3.5759999999999792E-2</v>
      </c>
      <c r="M301" s="5">
        <v>-0.4291199999999975</v>
      </c>
    </row>
    <row r="302" spans="1:13">
      <c r="A302" t="s">
        <v>3</v>
      </c>
      <c r="B302" s="4">
        <v>46311.632949803243</v>
      </c>
      <c r="C302" s="5">
        <v>290.0940000000046</v>
      </c>
      <c r="D302" s="5">
        <v>4.8349000000000766</v>
      </c>
      <c r="E302" s="5">
        <v>59</v>
      </c>
      <c r="F302" s="5">
        <v>2497785</v>
      </c>
      <c r="G302" s="5">
        <v>414.96</v>
      </c>
      <c r="H302" s="5">
        <v>0.53029999999999999</v>
      </c>
      <c r="I302" s="5">
        <v>2.028152</v>
      </c>
      <c r="J302" s="5">
        <v>4.4659300000000002</v>
      </c>
      <c r="K302" s="5">
        <v>-2.7963200000000001</v>
      </c>
      <c r="L302" s="5">
        <v>-3.2300000000000217E-2</v>
      </c>
      <c r="M302" s="5">
        <v>-0.38876629889664732</v>
      </c>
    </row>
    <row r="303" spans="1:13">
      <c r="A303" t="s">
        <v>3</v>
      </c>
      <c r="B303" s="4">
        <v>46311.633007743054</v>
      </c>
      <c r="C303" s="5">
        <v>295.10900000000402</v>
      </c>
      <c r="D303" s="5">
        <v>4.9184833333334002</v>
      </c>
      <c r="E303" s="5">
        <v>60</v>
      </c>
      <c r="F303" s="5">
        <v>2502785</v>
      </c>
      <c r="G303" s="5">
        <v>416.24</v>
      </c>
      <c r="H303" s="5">
        <v>0.433</v>
      </c>
      <c r="I303" s="5">
        <v>2.0344090000000001</v>
      </c>
      <c r="J303" s="5">
        <v>4.4290099999999999</v>
      </c>
      <c r="K303" s="5">
        <v>-2.83324</v>
      </c>
      <c r="L303" s="5">
        <v>-3.6920000000000293E-2</v>
      </c>
      <c r="M303" s="5">
        <v>-0.44171485543375361</v>
      </c>
    </row>
    <row r="304" spans="1:13">
      <c r="A304" t="s">
        <v>3</v>
      </c>
      <c r="B304" s="4">
        <v>46311.633065520837</v>
      </c>
      <c r="C304" s="5">
        <v>300.0940000000046</v>
      </c>
      <c r="D304" s="5">
        <v>5.0015666666667444</v>
      </c>
      <c r="E304" s="5">
        <v>61</v>
      </c>
      <c r="F304" s="5">
        <v>2507785</v>
      </c>
      <c r="G304" s="5">
        <v>416.96</v>
      </c>
      <c r="H304" s="5">
        <v>0.35360000000000003</v>
      </c>
      <c r="I304" s="5">
        <v>2.037928</v>
      </c>
      <c r="J304" s="5">
        <v>4.4082499999999998</v>
      </c>
      <c r="K304" s="5">
        <v>-2.8540000000000001</v>
      </c>
      <c r="L304" s="5">
        <v>-2.0760000000000112E-2</v>
      </c>
      <c r="M304" s="5">
        <v>-0.24986960882645159</v>
      </c>
    </row>
    <row r="305" spans="1:13">
      <c r="A305" t="s">
        <v>3</v>
      </c>
      <c r="B305" s="4">
        <v>46311.633123298612</v>
      </c>
      <c r="C305" s="5">
        <v>305.0940000000046</v>
      </c>
      <c r="D305" s="5">
        <v>5.0849000000000766</v>
      </c>
      <c r="E305" s="5">
        <v>62</v>
      </c>
      <c r="F305" s="5">
        <v>2512785</v>
      </c>
      <c r="G305" s="5">
        <v>418.12</v>
      </c>
      <c r="H305" s="5">
        <v>0.433</v>
      </c>
      <c r="I305" s="5">
        <v>2.0435970000000001</v>
      </c>
      <c r="J305" s="5">
        <v>4.37479</v>
      </c>
      <c r="K305" s="5">
        <v>-2.8874599999999999</v>
      </c>
      <c r="L305" s="5">
        <v>-3.3459999999999823E-2</v>
      </c>
      <c r="M305" s="5">
        <v>-0.40151999999999788</v>
      </c>
    </row>
    <row r="306" spans="1:13">
      <c r="A306" t="s">
        <v>3</v>
      </c>
      <c r="B306" s="4">
        <v>46311.633181249999</v>
      </c>
      <c r="C306" s="5">
        <v>310.0940000000046</v>
      </c>
      <c r="D306" s="5">
        <v>5.1682333333334096</v>
      </c>
      <c r="E306" s="5">
        <v>63</v>
      </c>
      <c r="F306" s="5">
        <v>2517785</v>
      </c>
      <c r="G306" s="5">
        <v>419.16</v>
      </c>
      <c r="H306" s="5">
        <v>0.54490000000000005</v>
      </c>
      <c r="I306" s="5">
        <v>2.0486800000000001</v>
      </c>
      <c r="J306" s="5">
        <v>4.3448000000000002</v>
      </c>
      <c r="K306" s="5">
        <v>-2.9174500000000001</v>
      </c>
      <c r="L306" s="5">
        <v>-2.9989999999999739E-2</v>
      </c>
      <c r="M306" s="5">
        <v>-0.35987999999999692</v>
      </c>
    </row>
    <row r="307" spans="1:13">
      <c r="A307" t="s">
        <v>3</v>
      </c>
      <c r="B307" s="4">
        <v>46311.633239039351</v>
      </c>
      <c r="C307" s="5">
        <v>315.0940000000046</v>
      </c>
      <c r="D307" s="5">
        <v>5.2515666666667444</v>
      </c>
      <c r="E307" s="5">
        <v>64</v>
      </c>
      <c r="F307" s="5">
        <v>2522785</v>
      </c>
      <c r="G307" s="5">
        <v>419.92</v>
      </c>
      <c r="H307" s="5">
        <v>0.48409999999999997</v>
      </c>
      <c r="I307" s="5">
        <v>2.0523950000000002</v>
      </c>
      <c r="J307" s="5">
        <v>4.3228799999999996</v>
      </c>
      <c r="K307" s="5">
        <v>-2.9393699999999998</v>
      </c>
      <c r="L307" s="5">
        <v>-2.1920000000000609E-2</v>
      </c>
      <c r="M307" s="5">
        <v>-0.26304000000000732</v>
      </c>
    </row>
    <row r="308" spans="1:13">
      <c r="A308" t="s">
        <v>3</v>
      </c>
      <c r="B308" s="4">
        <v>46311.633296805558</v>
      </c>
      <c r="C308" s="5">
        <v>320.07800000000128</v>
      </c>
      <c r="D308" s="5">
        <v>5.3346333333333558</v>
      </c>
      <c r="E308" s="5">
        <v>65</v>
      </c>
      <c r="F308" s="5">
        <v>2527784</v>
      </c>
      <c r="G308" s="5">
        <v>421.2</v>
      </c>
      <c r="H308" s="5">
        <v>0.48409999999999997</v>
      </c>
      <c r="I308" s="5">
        <v>2.0586509999999998</v>
      </c>
      <c r="J308" s="5">
        <v>4.2859699999999998</v>
      </c>
      <c r="K308" s="5">
        <v>-2.97628</v>
      </c>
      <c r="L308" s="5">
        <v>-3.6909999999999783E-2</v>
      </c>
      <c r="M308" s="5">
        <v>-0.44434189406128299</v>
      </c>
    </row>
    <row r="309" spans="1:13">
      <c r="A309" t="s">
        <v>3</v>
      </c>
      <c r="B309" s="4">
        <v>46311.633354756945</v>
      </c>
      <c r="C309" s="5">
        <v>325.0940000000046</v>
      </c>
      <c r="D309" s="5">
        <v>5.4182333333334096</v>
      </c>
      <c r="E309" s="5">
        <v>66</v>
      </c>
      <c r="F309" s="5">
        <v>2532785</v>
      </c>
      <c r="G309" s="5">
        <v>421.6</v>
      </c>
      <c r="H309" s="5">
        <v>0.48409999999999997</v>
      </c>
      <c r="I309" s="5">
        <v>2.0606059999999999</v>
      </c>
      <c r="J309" s="5">
        <v>4.2744299999999997</v>
      </c>
      <c r="K309" s="5">
        <v>-2.9878200000000001</v>
      </c>
      <c r="L309" s="5">
        <v>-1.1540000000000109E-2</v>
      </c>
      <c r="M309" s="5">
        <v>-0.13803827751187331</v>
      </c>
    </row>
    <row r="310" spans="1:13">
      <c r="A310" t="s">
        <v>3</v>
      </c>
      <c r="B310" s="4">
        <v>46311.63341253472</v>
      </c>
      <c r="C310" s="5">
        <v>330.07800000000128</v>
      </c>
      <c r="D310" s="5">
        <v>5.5013000000000227</v>
      </c>
      <c r="E310" s="5">
        <v>67</v>
      </c>
      <c r="F310" s="5">
        <v>2537785</v>
      </c>
      <c r="G310" s="5">
        <v>422.36</v>
      </c>
      <c r="H310" s="5">
        <v>0.5</v>
      </c>
      <c r="I310" s="5">
        <v>2.0643199999999999</v>
      </c>
      <c r="J310" s="5">
        <v>4.25251</v>
      </c>
      <c r="K310" s="5">
        <v>-3.0097399999999999</v>
      </c>
      <c r="L310" s="5">
        <v>-2.1919999999999721E-2</v>
      </c>
      <c r="M310" s="5">
        <v>-0.26388443017673419</v>
      </c>
    </row>
    <row r="311" spans="1:13">
      <c r="A311" t="s">
        <v>3</v>
      </c>
      <c r="B311" s="4">
        <v>46311.633470312503</v>
      </c>
      <c r="C311" s="5">
        <v>335.07800000000128</v>
      </c>
      <c r="D311" s="5">
        <v>5.5846333333333558</v>
      </c>
      <c r="E311" s="5">
        <v>68</v>
      </c>
      <c r="F311" s="5">
        <v>2542785</v>
      </c>
      <c r="G311" s="5">
        <v>423.52</v>
      </c>
      <c r="H311" s="5">
        <v>0.5</v>
      </c>
      <c r="I311" s="5">
        <v>2.0699900000000002</v>
      </c>
      <c r="J311" s="5">
        <v>4.2190599999999998</v>
      </c>
      <c r="K311" s="5">
        <v>-3.0431900000000001</v>
      </c>
      <c r="L311" s="5">
        <v>-3.3450000000000202E-2</v>
      </c>
      <c r="M311" s="5">
        <v>-0.40140000000000242</v>
      </c>
    </row>
    <row r="312" spans="1:13">
      <c r="A312" t="s">
        <v>3</v>
      </c>
      <c r="B312" s="4">
        <v>46311.633528287035</v>
      </c>
      <c r="C312" s="5">
        <v>340.07800000000128</v>
      </c>
      <c r="D312" s="5">
        <v>5.6679666666666888</v>
      </c>
      <c r="E312" s="5">
        <v>69</v>
      </c>
      <c r="F312" s="5">
        <v>2547785</v>
      </c>
      <c r="G312" s="5">
        <v>423.8</v>
      </c>
      <c r="H312" s="5">
        <v>0.41460000000000002</v>
      </c>
      <c r="I312" s="5">
        <v>2.0713590000000002</v>
      </c>
      <c r="J312" s="5">
        <v>4.2109800000000002</v>
      </c>
      <c r="K312" s="5">
        <v>-3.0512700000000001</v>
      </c>
      <c r="L312" s="5">
        <v>-8.079999999999643E-3</v>
      </c>
      <c r="M312" s="5">
        <v>-9.6959999999995716E-2</v>
      </c>
    </row>
    <row r="313" spans="1:13">
      <c r="A313" t="s">
        <v>3</v>
      </c>
      <c r="B313" s="4">
        <v>46311.633586053242</v>
      </c>
      <c r="C313" s="5">
        <v>345.07800000000128</v>
      </c>
      <c r="D313" s="5">
        <v>5.7513000000000227</v>
      </c>
      <c r="E313" s="5">
        <v>70</v>
      </c>
      <c r="F313" s="5">
        <v>2552785</v>
      </c>
      <c r="G313" s="5">
        <v>424.64</v>
      </c>
      <c r="H313" s="5">
        <v>0.54490000000000005</v>
      </c>
      <c r="I313" s="5">
        <v>2.0754640000000002</v>
      </c>
      <c r="J313" s="5">
        <v>4.1867599999999996</v>
      </c>
      <c r="K313" s="5">
        <v>-3.0754899999999998</v>
      </c>
      <c r="L313" s="5">
        <v>-2.4220000000000571E-2</v>
      </c>
      <c r="M313" s="5">
        <v>-0.29064000000000689</v>
      </c>
    </row>
    <row r="314" spans="1:13">
      <c r="A314" t="s">
        <v>3</v>
      </c>
      <c r="B314" s="4">
        <v>46311.633643831017</v>
      </c>
      <c r="C314" s="5">
        <v>350.06300000000192</v>
      </c>
      <c r="D314" s="5">
        <v>5.8343833333333652</v>
      </c>
      <c r="E314" s="5">
        <v>71</v>
      </c>
      <c r="F314" s="5">
        <v>2557785</v>
      </c>
      <c r="G314" s="5">
        <v>425.24</v>
      </c>
      <c r="H314" s="5">
        <v>0.59950000000000003</v>
      </c>
      <c r="I314" s="5">
        <v>2.0783969999999998</v>
      </c>
      <c r="J314" s="5">
        <v>4.1694500000000003</v>
      </c>
      <c r="K314" s="5">
        <v>-3.0928</v>
      </c>
      <c r="L314" s="5">
        <v>-1.730999999999927E-2</v>
      </c>
      <c r="M314" s="5">
        <v>-0.20834503510528279</v>
      </c>
    </row>
    <row r="315" spans="1:13">
      <c r="A315" t="s">
        <v>3</v>
      </c>
      <c r="B315" s="4">
        <v>46311.633701770836</v>
      </c>
      <c r="C315" s="5">
        <v>355.06300000000192</v>
      </c>
      <c r="D315" s="5">
        <v>5.9177166666666983</v>
      </c>
      <c r="E315" s="5">
        <v>72</v>
      </c>
      <c r="F315" s="5">
        <v>2562785</v>
      </c>
      <c r="G315" s="5">
        <v>425.76</v>
      </c>
      <c r="H315" s="5">
        <v>0.51539999999999997</v>
      </c>
      <c r="I315" s="5">
        <v>2.0809389999999999</v>
      </c>
      <c r="J315" s="5">
        <v>4.1544600000000003</v>
      </c>
      <c r="K315" s="5">
        <v>-3.1077900000000001</v>
      </c>
      <c r="L315" s="5">
        <v>-1.4990000000000061E-2</v>
      </c>
      <c r="M315" s="5">
        <v>-0.17988000000000071</v>
      </c>
    </row>
    <row r="316" spans="1:13">
      <c r="A316" t="s">
        <v>3</v>
      </c>
      <c r="B316" s="4">
        <v>46311.633759548611</v>
      </c>
      <c r="C316" s="5">
        <v>360.06300000000192</v>
      </c>
      <c r="D316" s="5">
        <v>6.0010500000000322</v>
      </c>
      <c r="E316" s="5">
        <v>73</v>
      </c>
      <c r="F316" s="5">
        <v>2567785</v>
      </c>
      <c r="G316" s="5">
        <v>426.24</v>
      </c>
      <c r="H316" s="5">
        <v>0.433</v>
      </c>
      <c r="I316" s="5">
        <v>2.0832839999999999</v>
      </c>
      <c r="J316" s="5">
        <v>4.1406099999999997</v>
      </c>
      <c r="K316" s="5">
        <v>-3.1216400000000002</v>
      </c>
      <c r="L316" s="5">
        <v>-1.3850000000000581E-2</v>
      </c>
      <c r="M316" s="5">
        <v>-0.16620000000000701</v>
      </c>
    </row>
    <row r="317" spans="1:13">
      <c r="A317" t="s">
        <v>3</v>
      </c>
      <c r="B317" s="4">
        <v>46311.633817326387</v>
      </c>
      <c r="C317" s="5">
        <v>365.04699999999872</v>
      </c>
      <c r="D317" s="5">
        <v>6.0841166666666444</v>
      </c>
      <c r="E317" s="5">
        <v>74</v>
      </c>
      <c r="F317" s="5">
        <v>2572785</v>
      </c>
      <c r="G317" s="5">
        <v>427.08</v>
      </c>
      <c r="H317" s="5">
        <v>0.5</v>
      </c>
      <c r="I317" s="5">
        <v>2.0873900000000001</v>
      </c>
      <c r="J317" s="5">
        <v>4.11639</v>
      </c>
      <c r="K317" s="5">
        <v>-3.1458599999999999</v>
      </c>
      <c r="L317" s="5">
        <v>-2.421999999999969E-2</v>
      </c>
      <c r="M317" s="5">
        <v>-0.29157303370805199</v>
      </c>
    </row>
    <row r="318" spans="1:13">
      <c r="A318" t="s">
        <v>3</v>
      </c>
      <c r="B318" s="4">
        <v>46311.63387528935</v>
      </c>
      <c r="C318" s="5">
        <v>370.06300000000192</v>
      </c>
      <c r="D318" s="5">
        <v>6.1677166666666983</v>
      </c>
      <c r="E318" s="5">
        <v>75</v>
      </c>
      <c r="F318" s="5">
        <v>2577785</v>
      </c>
      <c r="G318" s="5">
        <v>427.52</v>
      </c>
      <c r="H318" s="5">
        <v>0.58630000000000004</v>
      </c>
      <c r="I318" s="5">
        <v>2.08954</v>
      </c>
      <c r="J318" s="5">
        <v>4.1036999999999999</v>
      </c>
      <c r="K318" s="5">
        <v>-3.15855</v>
      </c>
      <c r="L318" s="5">
        <v>-1.269000000000009E-2</v>
      </c>
      <c r="M318" s="5">
        <v>-0.1517942583731082</v>
      </c>
    </row>
    <row r="319" spans="1:13">
      <c r="A319" t="s">
        <v>3</v>
      </c>
      <c r="B319" s="4">
        <v>46311.633933067133</v>
      </c>
      <c r="C319" s="5">
        <v>375.04699999999872</v>
      </c>
      <c r="D319" s="5">
        <v>6.2507833333333114</v>
      </c>
      <c r="E319" s="5">
        <v>76</v>
      </c>
      <c r="F319" s="5">
        <v>2582785</v>
      </c>
      <c r="G319" s="5">
        <v>428.08</v>
      </c>
      <c r="H319" s="5">
        <v>0.63739999999999997</v>
      </c>
      <c r="I319" s="5">
        <v>2.0922779999999999</v>
      </c>
      <c r="J319" s="5">
        <v>4.0875500000000002</v>
      </c>
      <c r="K319" s="5">
        <v>-3.1747000000000001</v>
      </c>
      <c r="L319" s="5">
        <v>-1.6149999999999661E-2</v>
      </c>
      <c r="M319" s="5">
        <v>-0.19442215088294809</v>
      </c>
    </row>
    <row r="320" spans="1:13">
      <c r="A320" t="s">
        <v>3</v>
      </c>
      <c r="B320" s="4">
        <v>46311.633990833332</v>
      </c>
      <c r="C320" s="5">
        <v>380.04699999999872</v>
      </c>
      <c r="D320" s="5">
        <v>6.3341166666666444</v>
      </c>
      <c r="E320" s="5">
        <v>77</v>
      </c>
      <c r="F320" s="5">
        <v>2587785</v>
      </c>
      <c r="G320" s="5">
        <v>428.28</v>
      </c>
      <c r="H320" s="5">
        <v>0.45069999999999999</v>
      </c>
      <c r="I320" s="5">
        <v>2.0932550000000001</v>
      </c>
      <c r="J320" s="5">
        <v>4.0817800000000002</v>
      </c>
      <c r="K320" s="5">
        <v>-3.1804700000000001</v>
      </c>
      <c r="L320" s="5">
        <v>-5.7700000000000529E-3</v>
      </c>
      <c r="M320" s="5">
        <v>-6.9240000000000634E-2</v>
      </c>
    </row>
    <row r="321" spans="1:13">
      <c r="A321" t="s">
        <v>3</v>
      </c>
      <c r="B321" s="4">
        <v>46311.634048611108</v>
      </c>
      <c r="C321" s="5">
        <v>385.03100000000268</v>
      </c>
      <c r="D321" s="5">
        <v>6.4171833333333783</v>
      </c>
      <c r="E321" s="5">
        <v>78</v>
      </c>
      <c r="F321" s="5">
        <v>2592785</v>
      </c>
      <c r="G321" s="5">
        <v>429</v>
      </c>
      <c r="H321" s="5">
        <v>0.39529999999999998</v>
      </c>
      <c r="I321" s="5">
        <v>2.0967739999999999</v>
      </c>
      <c r="J321" s="5">
        <v>4.0610200000000001</v>
      </c>
      <c r="K321" s="5">
        <v>-3.2012299999999998</v>
      </c>
      <c r="L321" s="5">
        <v>-2.0760000000000112E-2</v>
      </c>
      <c r="M321" s="5">
        <v>-0.24991974317797011</v>
      </c>
    </row>
    <row r="322" spans="1:13">
      <c r="A322" t="s">
        <v>3</v>
      </c>
      <c r="B322" s="4">
        <v>46311.634106562502</v>
      </c>
      <c r="C322" s="5">
        <v>390.04699999999872</v>
      </c>
      <c r="D322" s="5">
        <v>6.5007833333333114</v>
      </c>
      <c r="E322" s="5">
        <v>79</v>
      </c>
      <c r="F322" s="5">
        <v>2597785</v>
      </c>
      <c r="G322" s="5">
        <v>429.48</v>
      </c>
      <c r="H322" s="5">
        <v>0.48409999999999997</v>
      </c>
      <c r="I322" s="5">
        <v>2.0991200000000001</v>
      </c>
      <c r="J322" s="5">
        <v>4.0471700000000004</v>
      </c>
      <c r="K322" s="5">
        <v>-3.215079999999999</v>
      </c>
      <c r="L322" s="5">
        <v>-1.3849999999999699E-2</v>
      </c>
      <c r="M322" s="5">
        <v>-0.1656698564594592</v>
      </c>
    </row>
    <row r="323" spans="1:13">
      <c r="A323" t="s">
        <v>3</v>
      </c>
      <c r="B323" s="4">
        <v>46311.634164351854</v>
      </c>
      <c r="C323" s="5">
        <v>395.03100000000268</v>
      </c>
      <c r="D323" s="5">
        <v>6.5838500000000444</v>
      </c>
      <c r="E323" s="5">
        <v>80</v>
      </c>
      <c r="F323" s="5">
        <v>2602785</v>
      </c>
      <c r="G323" s="5">
        <v>429.88</v>
      </c>
      <c r="H323" s="5">
        <v>0.433</v>
      </c>
      <c r="I323" s="5">
        <v>2.1010749999999998</v>
      </c>
      <c r="J323" s="5">
        <v>4.0356399999999999</v>
      </c>
      <c r="K323" s="5">
        <v>-3.22661</v>
      </c>
      <c r="L323" s="5">
        <v>-1.1530000000000481E-2</v>
      </c>
      <c r="M323" s="5">
        <v>-0.13880417335462911</v>
      </c>
    </row>
    <row r="324" spans="1:13">
      <c r="A324" t="s">
        <v>3</v>
      </c>
      <c r="B324" s="4">
        <v>46311.634222118053</v>
      </c>
      <c r="C324" s="5">
        <v>400.03100000000268</v>
      </c>
      <c r="D324" s="5">
        <v>6.6671833333333783</v>
      </c>
      <c r="E324" s="5">
        <v>81</v>
      </c>
      <c r="F324" s="5">
        <v>2607784</v>
      </c>
      <c r="G324" s="5">
        <v>430.64</v>
      </c>
      <c r="H324" s="5">
        <v>0.4677</v>
      </c>
      <c r="I324" s="5">
        <v>2.1047899999999999</v>
      </c>
      <c r="J324" s="5">
        <v>4.0137200000000002</v>
      </c>
      <c r="K324" s="5">
        <v>-3.2485300000000001</v>
      </c>
      <c r="L324" s="5">
        <v>-2.1919999999999721E-2</v>
      </c>
      <c r="M324" s="5">
        <v>-0.26303999999999661</v>
      </c>
    </row>
    <row r="325" spans="1:13">
      <c r="A325" t="s">
        <v>3</v>
      </c>
      <c r="B325" s="4">
        <v>46311.634280092592</v>
      </c>
      <c r="C325" s="5">
        <v>405.03100000000268</v>
      </c>
      <c r="D325" s="5">
        <v>6.7505166666667114</v>
      </c>
      <c r="E325" s="5">
        <v>82</v>
      </c>
      <c r="F325" s="5">
        <v>2612785</v>
      </c>
      <c r="G325" s="5">
        <v>430.76</v>
      </c>
      <c r="H325" s="5">
        <v>0.41460000000000002</v>
      </c>
      <c r="I325" s="5">
        <v>2.1053760000000001</v>
      </c>
      <c r="J325" s="5">
        <v>4.0102599999999997</v>
      </c>
      <c r="K325" s="5">
        <v>-3.2519900000000002</v>
      </c>
      <c r="L325" s="5">
        <v>-3.4600000000004631E-3</v>
      </c>
      <c r="M325" s="5">
        <v>-4.1520000000005552E-2</v>
      </c>
    </row>
    <row r="326" spans="1:13">
      <c r="A326" t="s">
        <v>3</v>
      </c>
      <c r="B326" s="4">
        <v>46311.634337858799</v>
      </c>
      <c r="C326" s="5">
        <v>410.03100000000268</v>
      </c>
      <c r="D326" s="5">
        <v>6.8338500000000444</v>
      </c>
      <c r="E326" s="5">
        <v>83</v>
      </c>
      <c r="F326" s="5">
        <v>2617785</v>
      </c>
      <c r="G326" s="5">
        <v>430.96</v>
      </c>
      <c r="H326" s="5">
        <v>0.45069999999999999</v>
      </c>
      <c r="I326" s="5">
        <v>2.1063540000000001</v>
      </c>
      <c r="J326" s="5">
        <v>4.0044899999999997</v>
      </c>
      <c r="K326" s="5">
        <v>-3.2577600000000002</v>
      </c>
      <c r="L326" s="5">
        <v>-5.7700000000000529E-3</v>
      </c>
      <c r="M326" s="5">
        <v>-6.9240000000000634E-2</v>
      </c>
    </row>
    <row r="327" spans="1:13">
      <c r="A327" t="s">
        <v>3</v>
      </c>
      <c r="B327" s="4">
        <v>46311.634395624998</v>
      </c>
      <c r="C327" s="5">
        <v>415.01600000000332</v>
      </c>
      <c r="D327" s="5">
        <v>6.9169333333333878</v>
      </c>
      <c r="E327" s="5">
        <v>84</v>
      </c>
      <c r="F327" s="5">
        <v>2622785</v>
      </c>
      <c r="G327" s="5">
        <v>431.6</v>
      </c>
      <c r="H327" s="5">
        <v>0.48409999999999997</v>
      </c>
      <c r="I327" s="5">
        <v>2.1094819999999999</v>
      </c>
      <c r="J327" s="5">
        <v>3.98603</v>
      </c>
      <c r="K327" s="5">
        <v>-3.2762199999999999</v>
      </c>
      <c r="L327" s="5">
        <v>-1.8459999999999699E-2</v>
      </c>
      <c r="M327" s="5">
        <v>-0.22218655967900761</v>
      </c>
    </row>
    <row r="328" spans="1:13">
      <c r="A328" t="s">
        <v>3</v>
      </c>
      <c r="B328" s="4">
        <v>46311.634453587962</v>
      </c>
      <c r="C328" s="5">
        <v>420.03100000000268</v>
      </c>
      <c r="D328" s="5">
        <v>7.0005166666667114</v>
      </c>
      <c r="E328" s="5">
        <v>85</v>
      </c>
      <c r="F328" s="5">
        <v>2627785</v>
      </c>
      <c r="G328" s="5">
        <v>431.68</v>
      </c>
      <c r="H328" s="5">
        <v>0.48409999999999997</v>
      </c>
      <c r="I328" s="5">
        <v>2.1098729999999999</v>
      </c>
      <c r="J328" s="5">
        <v>3.98373</v>
      </c>
      <c r="K328" s="5">
        <v>-3.2785199999999999</v>
      </c>
      <c r="L328" s="5">
        <v>-2.2999999999999692E-3</v>
      </c>
      <c r="M328" s="5">
        <v>-2.7517447657031738E-2</v>
      </c>
    </row>
    <row r="329" spans="1:13">
      <c r="A329" t="s">
        <v>3</v>
      </c>
      <c r="B329" s="4">
        <v>46311.634511365737</v>
      </c>
      <c r="C329" s="5">
        <v>425.01600000000332</v>
      </c>
      <c r="D329" s="5">
        <v>7.0836000000000547</v>
      </c>
      <c r="E329" s="5">
        <v>86</v>
      </c>
      <c r="F329" s="5">
        <v>2632785</v>
      </c>
      <c r="G329" s="5">
        <v>432.12</v>
      </c>
      <c r="H329" s="5">
        <v>0.33069999999999999</v>
      </c>
      <c r="I329" s="5">
        <v>2.1120239999999999</v>
      </c>
      <c r="J329" s="5">
        <v>3.9710399999999999</v>
      </c>
      <c r="K329" s="5">
        <v>-3.29121</v>
      </c>
      <c r="L329" s="5">
        <v>-1.269000000000009E-2</v>
      </c>
      <c r="M329" s="5">
        <v>-0.15273821464391499</v>
      </c>
    </row>
    <row r="330" spans="1:13">
      <c r="A330" t="s">
        <v>3</v>
      </c>
      <c r="B330" s="4">
        <v>46311.634569131944</v>
      </c>
      <c r="C330" s="5">
        <v>430.01600000000332</v>
      </c>
      <c r="D330" s="5">
        <v>7.1669333333333878</v>
      </c>
      <c r="E330" s="5">
        <v>87</v>
      </c>
      <c r="F330" s="5">
        <v>2637785</v>
      </c>
      <c r="G330" s="5">
        <v>432.64</v>
      </c>
      <c r="H330" s="5">
        <v>0.4677</v>
      </c>
      <c r="I330" s="5">
        <v>2.1145649999999998</v>
      </c>
      <c r="J330" s="5">
        <v>3.9560399999999998</v>
      </c>
      <c r="K330" s="5">
        <v>-3.3062100000000001</v>
      </c>
      <c r="L330" s="5">
        <v>-1.5000000000000119E-2</v>
      </c>
      <c r="M330" s="5">
        <v>-0.18000000000000149</v>
      </c>
    </row>
    <row r="331" spans="1:13">
      <c r="A331" t="s">
        <v>3</v>
      </c>
      <c r="B331" s="4">
        <v>46311.634627083331</v>
      </c>
      <c r="C331" s="5">
        <v>435.01600000000332</v>
      </c>
      <c r="D331" s="5">
        <v>7.2502666666667208</v>
      </c>
      <c r="E331" s="5">
        <v>88</v>
      </c>
      <c r="F331" s="5">
        <v>2642785</v>
      </c>
      <c r="G331" s="5">
        <v>432.88</v>
      </c>
      <c r="H331" s="5">
        <v>0.433</v>
      </c>
      <c r="I331" s="5">
        <v>2.1157379999999999</v>
      </c>
      <c r="J331" s="5">
        <v>3.9491200000000002</v>
      </c>
      <c r="K331" s="5">
        <v>-3.3131300000000001</v>
      </c>
      <c r="L331" s="5">
        <v>-6.9199999999995931E-3</v>
      </c>
      <c r="M331" s="5">
        <v>-8.3039999999995118E-2</v>
      </c>
    </row>
    <row r="332" spans="1:13">
      <c r="A332" t="s">
        <v>3</v>
      </c>
      <c r="B332" s="4">
        <v>46311.634684861114</v>
      </c>
      <c r="C332" s="5">
        <v>440.01600000000332</v>
      </c>
      <c r="D332" s="5">
        <v>7.3336000000000547</v>
      </c>
      <c r="E332" s="5">
        <v>89</v>
      </c>
      <c r="F332" s="5">
        <v>2647785</v>
      </c>
      <c r="G332" s="5">
        <v>433.08</v>
      </c>
      <c r="H332" s="5">
        <v>0.39529999999999998</v>
      </c>
      <c r="I332" s="5">
        <v>2.1167150000000001</v>
      </c>
      <c r="J332" s="5">
        <v>3.9433500000000001</v>
      </c>
      <c r="K332" s="5">
        <v>-3.3189000000000002</v>
      </c>
      <c r="L332" s="5">
        <v>-5.7700000000000529E-3</v>
      </c>
      <c r="M332" s="5">
        <v>-6.9240000000000634E-2</v>
      </c>
    </row>
    <row r="333" spans="1:13">
      <c r="A333" t="s">
        <v>3</v>
      </c>
      <c r="B333" s="4">
        <v>46311.634742650465</v>
      </c>
      <c r="C333" s="5">
        <v>445</v>
      </c>
      <c r="D333" s="5">
        <v>7.416666666666667</v>
      </c>
      <c r="E333" s="5">
        <v>90</v>
      </c>
      <c r="F333" s="5">
        <v>2652785</v>
      </c>
      <c r="G333" s="5">
        <v>433.76</v>
      </c>
      <c r="H333" s="5">
        <v>0.41460000000000002</v>
      </c>
      <c r="I333" s="5">
        <v>2.1200389999999998</v>
      </c>
      <c r="J333" s="5">
        <v>3.92374</v>
      </c>
      <c r="K333" s="5">
        <v>-3.3385099999999999</v>
      </c>
      <c r="L333" s="5">
        <v>-1.9610000000000131E-2</v>
      </c>
      <c r="M333" s="5">
        <v>-0.236075441412676</v>
      </c>
    </row>
    <row r="334" spans="1:13">
      <c r="A334" t="s">
        <v>3</v>
      </c>
      <c r="B334" s="4">
        <v>46311.634800601852</v>
      </c>
      <c r="C334" s="5">
        <v>450</v>
      </c>
      <c r="D334" s="5">
        <v>7.5</v>
      </c>
      <c r="E334" s="5">
        <v>91</v>
      </c>
      <c r="F334" s="5">
        <v>2657785</v>
      </c>
      <c r="G334" s="5">
        <v>433.56</v>
      </c>
      <c r="H334" s="5">
        <v>0.5</v>
      </c>
      <c r="I334" s="5">
        <v>2.119062</v>
      </c>
      <c r="J334" s="5">
        <v>3.9295100000000001</v>
      </c>
      <c r="K334" s="5">
        <v>-3.3327399999999998</v>
      </c>
      <c r="L334" s="5">
        <v>5.7700000000000529E-3</v>
      </c>
      <c r="M334" s="5">
        <v>6.9240000000000634E-2</v>
      </c>
    </row>
    <row r="335" spans="1:13">
      <c r="A335" t="s">
        <v>3</v>
      </c>
      <c r="B335" s="4">
        <v>46311.634858368052</v>
      </c>
      <c r="C335" s="5">
        <v>455</v>
      </c>
      <c r="D335" s="5">
        <v>7.583333333333333</v>
      </c>
      <c r="E335" s="5">
        <v>92</v>
      </c>
      <c r="F335" s="5">
        <v>2662785</v>
      </c>
      <c r="G335" s="5">
        <v>433.92</v>
      </c>
      <c r="H335" s="5">
        <v>0.4677</v>
      </c>
      <c r="I335" s="5">
        <v>2.1208209999999998</v>
      </c>
      <c r="J335" s="5">
        <v>3.9191199999999999</v>
      </c>
      <c r="K335" s="5">
        <v>-3.3431299999999999</v>
      </c>
      <c r="L335" s="5">
        <v>-1.039000000000012E-2</v>
      </c>
      <c r="M335" s="5">
        <v>-0.1246800000000015</v>
      </c>
    </row>
    <row r="336" spans="1:13">
      <c r="A336" t="s">
        <v>3</v>
      </c>
      <c r="B336" s="4">
        <v>46311.634916145835</v>
      </c>
      <c r="C336" s="5">
        <v>459.98400000000402</v>
      </c>
      <c r="D336" s="5">
        <v>7.6664000000000669</v>
      </c>
      <c r="E336" s="5">
        <v>93</v>
      </c>
      <c r="F336" s="5">
        <v>2667785</v>
      </c>
      <c r="G336" s="5">
        <v>434.08</v>
      </c>
      <c r="H336" s="5">
        <v>0.57279999999999998</v>
      </c>
      <c r="I336" s="5">
        <v>2.1216029999999999</v>
      </c>
      <c r="J336" s="5">
        <v>3.9145099999999999</v>
      </c>
      <c r="K336" s="5">
        <v>-3.3477399999999999</v>
      </c>
      <c r="L336" s="5">
        <v>-4.610000000000003E-3</v>
      </c>
      <c r="M336" s="5">
        <v>-5.5497592295300407E-2</v>
      </c>
    </row>
    <row r="337" spans="1:13">
      <c r="A337" t="s">
        <v>3</v>
      </c>
      <c r="B337" s="4">
        <v>46311.634974120374</v>
      </c>
      <c r="C337" s="5">
        <v>465</v>
      </c>
      <c r="D337" s="5">
        <v>7.75</v>
      </c>
      <c r="E337" s="5">
        <v>94</v>
      </c>
      <c r="F337" s="5">
        <v>2672785</v>
      </c>
      <c r="G337" s="5">
        <v>434.56</v>
      </c>
      <c r="H337" s="5">
        <v>0.57279999999999998</v>
      </c>
      <c r="I337" s="5">
        <v>2.1239490000000001</v>
      </c>
      <c r="J337" s="5">
        <v>3.9006699999999999</v>
      </c>
      <c r="K337" s="5">
        <v>-3.36158</v>
      </c>
      <c r="L337" s="5">
        <v>-1.3840000000000069E-2</v>
      </c>
      <c r="M337" s="5">
        <v>-0.1655502392345832</v>
      </c>
    </row>
    <row r="338" spans="1:13">
      <c r="A338" t="s">
        <v>3</v>
      </c>
      <c r="B338" s="4">
        <v>46311.635031874997</v>
      </c>
      <c r="C338" s="5">
        <v>469.98400000000402</v>
      </c>
      <c r="D338" s="5">
        <v>7.8330666666667339</v>
      </c>
      <c r="E338" s="5">
        <v>95</v>
      </c>
      <c r="F338" s="5">
        <v>2677785</v>
      </c>
      <c r="G338" s="5">
        <v>434.64</v>
      </c>
      <c r="H338" s="5">
        <v>0.4677</v>
      </c>
      <c r="I338" s="5">
        <v>2.1243400000000001</v>
      </c>
      <c r="J338" s="5">
        <v>3.8983599999999998</v>
      </c>
      <c r="K338" s="5">
        <v>-3.36389</v>
      </c>
      <c r="L338" s="5">
        <v>-2.3100000000000338E-3</v>
      </c>
      <c r="M338" s="5">
        <v>-2.7808988764022949E-2</v>
      </c>
    </row>
    <row r="339" spans="1:13">
      <c r="A339" t="s">
        <v>3</v>
      </c>
      <c r="B339" s="4">
        <v>46311.635089664349</v>
      </c>
      <c r="C339" s="5">
        <v>474.98400000000402</v>
      </c>
      <c r="D339" s="5">
        <v>7.9164000000000669</v>
      </c>
      <c r="E339" s="5">
        <v>96</v>
      </c>
      <c r="F339" s="5">
        <v>2682785</v>
      </c>
      <c r="G339" s="5">
        <v>434.88</v>
      </c>
      <c r="H339" s="5">
        <v>0.5</v>
      </c>
      <c r="I339" s="5">
        <v>2.1255130000000002</v>
      </c>
      <c r="J339" s="5">
        <v>3.8914399999999998</v>
      </c>
      <c r="K339" s="5">
        <v>-3.3708100000000001</v>
      </c>
      <c r="L339" s="5">
        <v>-6.9200000000000372E-3</v>
      </c>
      <c r="M339" s="5">
        <v>-8.3040000000000447E-2</v>
      </c>
    </row>
    <row r="340" spans="1:13">
      <c r="A340" t="s">
        <v>3</v>
      </c>
      <c r="B340" s="4">
        <v>46311.635147604167</v>
      </c>
      <c r="C340" s="5">
        <v>479.98400000000402</v>
      </c>
      <c r="D340" s="5">
        <v>7.9997333333334</v>
      </c>
      <c r="E340" s="5">
        <v>97</v>
      </c>
      <c r="F340" s="5">
        <v>2687784</v>
      </c>
      <c r="G340" s="5">
        <v>435.56</v>
      </c>
      <c r="H340" s="5">
        <v>0.5</v>
      </c>
      <c r="I340" s="5">
        <v>2.1288369999999999</v>
      </c>
      <c r="J340" s="5">
        <v>3.8718300000000001</v>
      </c>
      <c r="K340" s="5">
        <v>-3.3904200000000002</v>
      </c>
      <c r="L340" s="5">
        <v>-1.960999999999968E-2</v>
      </c>
      <c r="M340" s="5">
        <v>-0.2353199999999962</v>
      </c>
    </row>
    <row r="341" spans="1:13">
      <c r="A341" t="s">
        <v>3</v>
      </c>
      <c r="B341" s="4">
        <v>46311.635205393519</v>
      </c>
      <c r="C341" s="5">
        <v>484.98400000000402</v>
      </c>
      <c r="D341" s="5">
        <v>8.083066666666733</v>
      </c>
      <c r="E341" s="5">
        <v>98</v>
      </c>
      <c r="F341" s="5">
        <v>2692785</v>
      </c>
      <c r="G341" s="5">
        <v>435.6</v>
      </c>
      <c r="H341" s="5">
        <v>0.48409999999999997</v>
      </c>
      <c r="I341" s="5">
        <v>2.129032</v>
      </c>
      <c r="J341" s="5">
        <v>3.8706700000000001</v>
      </c>
      <c r="K341" s="5">
        <v>-3.3915799999999998</v>
      </c>
      <c r="L341" s="5">
        <v>-1.1600000000000501E-3</v>
      </c>
      <c r="M341" s="5">
        <v>-1.39200000000006E-2</v>
      </c>
    </row>
    <row r="342" spans="1:13">
      <c r="A342" t="s">
        <v>3</v>
      </c>
      <c r="B342" s="4">
        <v>46311.635263171294</v>
      </c>
      <c r="C342" s="5">
        <v>489.9690000000046</v>
      </c>
      <c r="D342" s="5">
        <v>8.1661500000000764</v>
      </c>
      <c r="E342" s="5">
        <v>99</v>
      </c>
      <c r="F342" s="5">
        <v>2697785</v>
      </c>
      <c r="G342" s="5">
        <v>435.72</v>
      </c>
      <c r="H342" s="5">
        <v>0.45069999999999999</v>
      </c>
      <c r="I342" s="5">
        <v>2.1296189999999999</v>
      </c>
      <c r="J342" s="5">
        <v>3.86721</v>
      </c>
      <c r="K342" s="5">
        <v>-3.3950399999999998</v>
      </c>
      <c r="L342" s="5">
        <v>-3.460000000000019E-3</v>
      </c>
      <c r="M342" s="5">
        <v>-4.1644934804408597E-2</v>
      </c>
    </row>
    <row r="343" spans="1:13">
      <c r="A343" t="s">
        <v>3</v>
      </c>
      <c r="B343" s="4">
        <v>46311.635321111113</v>
      </c>
      <c r="C343" s="5">
        <v>494.98400000000402</v>
      </c>
      <c r="D343" s="5">
        <v>8.2497333333334009</v>
      </c>
      <c r="E343" s="5">
        <v>100</v>
      </c>
      <c r="F343" s="5">
        <v>2702785</v>
      </c>
      <c r="G343" s="5">
        <v>436.2</v>
      </c>
      <c r="H343" s="5">
        <v>0.48409999999999997</v>
      </c>
      <c r="I343" s="5">
        <v>2.1319650000000001</v>
      </c>
      <c r="J343" s="5">
        <v>3.85337</v>
      </c>
      <c r="K343" s="5">
        <v>-3.4088799999999999</v>
      </c>
      <c r="L343" s="5">
        <v>-1.3840000000000069E-2</v>
      </c>
      <c r="M343" s="5">
        <v>-0.1655832502492724</v>
      </c>
    </row>
    <row r="344" spans="1:13">
      <c r="A344" t="s">
        <v>3</v>
      </c>
      <c r="B344" s="4">
        <v>46311.635378900464</v>
      </c>
      <c r="C344" s="5">
        <v>499.9690000000046</v>
      </c>
      <c r="D344" s="5">
        <v>8.3328166666667425</v>
      </c>
      <c r="E344" s="5">
        <v>101</v>
      </c>
      <c r="F344" s="5">
        <v>2707786</v>
      </c>
      <c r="G344" s="5">
        <v>436.16</v>
      </c>
      <c r="H344" s="5">
        <v>0.54490000000000005</v>
      </c>
      <c r="I344" s="5">
        <v>2.1317689999999998</v>
      </c>
      <c r="J344" s="5">
        <v>3.8545199999999999</v>
      </c>
      <c r="K344" s="5">
        <v>-3.4077299999999999</v>
      </c>
      <c r="L344" s="5">
        <v>1.1499999999999839E-3</v>
      </c>
      <c r="M344" s="5">
        <v>1.3841524573719359E-2</v>
      </c>
    </row>
    <row r="345" spans="1:13">
      <c r="A345" t="s">
        <v>3</v>
      </c>
      <c r="B345" s="4">
        <v>46311.635436666664</v>
      </c>
      <c r="C345" s="5">
        <v>504.9690000000046</v>
      </c>
      <c r="D345" s="5">
        <v>8.4161500000000764</v>
      </c>
      <c r="E345" s="5">
        <v>102</v>
      </c>
      <c r="F345" s="5">
        <v>2712786</v>
      </c>
      <c r="G345" s="5">
        <v>436.48</v>
      </c>
      <c r="H345" s="5">
        <v>0.5</v>
      </c>
      <c r="I345" s="5">
        <v>2.1333329999999999</v>
      </c>
      <c r="J345" s="5">
        <v>3.8452899999999999</v>
      </c>
      <c r="K345" s="5">
        <v>-3.41696</v>
      </c>
      <c r="L345" s="5">
        <v>-9.2300000000000715E-3</v>
      </c>
      <c r="M345" s="5">
        <v>-0.1107600000000009</v>
      </c>
    </row>
    <row r="346" spans="1:13">
      <c r="A346" t="s">
        <v>3</v>
      </c>
      <c r="B346" s="4">
        <v>46311.635494444447</v>
      </c>
      <c r="C346" s="5">
        <v>509.95300000000128</v>
      </c>
      <c r="D346" s="5">
        <v>8.4992166666666886</v>
      </c>
      <c r="E346" s="5">
        <v>103</v>
      </c>
      <c r="F346" s="5">
        <v>2717786</v>
      </c>
      <c r="G346" s="5">
        <v>436.56</v>
      </c>
      <c r="H346" s="5">
        <v>0.57279999999999998</v>
      </c>
      <c r="I346" s="5">
        <v>2.133724</v>
      </c>
      <c r="J346" s="5">
        <v>3.8429899999999999</v>
      </c>
      <c r="K346" s="5">
        <v>-3.41926</v>
      </c>
      <c r="L346" s="5">
        <v>-2.2999999999999692E-3</v>
      </c>
      <c r="M346" s="5">
        <v>-2.7688603531317892E-2</v>
      </c>
    </row>
    <row r="347" spans="1:13">
      <c r="A347" t="s">
        <v>3</v>
      </c>
      <c r="B347" s="4">
        <v>46311.635552395834</v>
      </c>
      <c r="C347" s="5">
        <v>514.9690000000046</v>
      </c>
      <c r="D347" s="5">
        <v>8.5828166666667425</v>
      </c>
      <c r="E347" s="5">
        <v>104</v>
      </c>
      <c r="F347" s="5">
        <v>2722786</v>
      </c>
      <c r="G347" s="5">
        <v>436.92</v>
      </c>
      <c r="H347" s="5">
        <v>0.375</v>
      </c>
      <c r="I347" s="5">
        <v>2.1354839999999999</v>
      </c>
      <c r="J347" s="5">
        <v>3.8325999999999998</v>
      </c>
      <c r="K347" s="5">
        <v>-3.4296500000000001</v>
      </c>
      <c r="L347" s="5">
        <v>-1.039000000000012E-2</v>
      </c>
      <c r="M347" s="5">
        <v>-0.1242822966506384</v>
      </c>
    </row>
    <row r="348" spans="1:13">
      <c r="A348" t="s">
        <v>3</v>
      </c>
      <c r="B348" s="4">
        <v>46311.635610185185</v>
      </c>
      <c r="C348" s="5">
        <v>519.95300000000134</v>
      </c>
      <c r="D348" s="5">
        <v>8.6658833333333565</v>
      </c>
      <c r="E348" s="5">
        <v>105</v>
      </c>
      <c r="F348" s="5">
        <v>2727786</v>
      </c>
      <c r="G348" s="5">
        <v>436.8</v>
      </c>
      <c r="H348" s="5">
        <v>0.5</v>
      </c>
      <c r="I348" s="5">
        <v>2.134897</v>
      </c>
      <c r="J348" s="5">
        <v>3.8360699999999999</v>
      </c>
      <c r="K348" s="5">
        <v>-3.42618</v>
      </c>
      <c r="L348" s="5">
        <v>3.4700000000000841E-3</v>
      </c>
      <c r="M348" s="5">
        <v>4.177367576246814E-2</v>
      </c>
    </row>
    <row r="349" spans="1:13">
      <c r="A349" t="s">
        <v>3</v>
      </c>
      <c r="B349" s="4">
        <v>46311.635667962961</v>
      </c>
      <c r="C349" s="5">
        <v>524.95300000000134</v>
      </c>
      <c r="D349" s="5">
        <v>8.7492166666666886</v>
      </c>
      <c r="E349" s="5">
        <v>106</v>
      </c>
      <c r="F349" s="5">
        <v>2732786</v>
      </c>
      <c r="G349" s="5">
        <v>437.28</v>
      </c>
      <c r="H349" s="5">
        <v>0.45069999999999999</v>
      </c>
      <c r="I349" s="5">
        <v>2.1372429999999998</v>
      </c>
      <c r="J349" s="5">
        <v>3.8222200000000002</v>
      </c>
      <c r="K349" s="5">
        <v>-3.4400300000000001</v>
      </c>
      <c r="L349" s="5">
        <v>-1.3849999999999699E-2</v>
      </c>
      <c r="M349" s="5">
        <v>-0.16619999999999641</v>
      </c>
    </row>
    <row r="350" spans="1:13">
      <c r="A350" t="s">
        <v>3</v>
      </c>
      <c r="B350" s="4">
        <v>46311.635725914355</v>
      </c>
      <c r="C350" s="5">
        <v>529.95300000000134</v>
      </c>
      <c r="D350" s="5">
        <v>8.8325500000000225</v>
      </c>
      <c r="E350" s="5">
        <v>107</v>
      </c>
      <c r="F350" s="5">
        <v>2737786</v>
      </c>
      <c r="G350" s="5">
        <v>437.36</v>
      </c>
      <c r="H350" s="5">
        <v>0.5</v>
      </c>
      <c r="I350" s="5">
        <v>2.1376339999999998</v>
      </c>
      <c r="J350" s="5">
        <v>3.8199100000000001</v>
      </c>
      <c r="K350" s="5">
        <v>-3.4423400000000002</v>
      </c>
      <c r="L350" s="5">
        <v>-2.3100000000000338E-3</v>
      </c>
      <c r="M350" s="5">
        <v>-2.7720000000000411E-2</v>
      </c>
    </row>
    <row r="351" spans="1:13">
      <c r="A351" t="s">
        <v>3</v>
      </c>
      <c r="B351" s="4">
        <v>46311.635783692131</v>
      </c>
      <c r="C351" s="5">
        <v>534.95300000000134</v>
      </c>
      <c r="D351" s="5">
        <v>8.9158833333333565</v>
      </c>
      <c r="E351" s="5">
        <v>108</v>
      </c>
      <c r="F351" s="5">
        <v>2742786</v>
      </c>
      <c r="G351" s="5">
        <v>437.8</v>
      </c>
      <c r="H351" s="5">
        <v>0.5</v>
      </c>
      <c r="I351" s="5">
        <v>2.1397849999999998</v>
      </c>
      <c r="J351" s="5">
        <v>3.8072300000000001</v>
      </c>
      <c r="K351" s="5">
        <v>-3.4550200000000002</v>
      </c>
      <c r="L351" s="5">
        <v>-1.2680000000000019E-2</v>
      </c>
      <c r="M351" s="5">
        <v>-0.1521600000000003</v>
      </c>
    </row>
    <row r="352" spans="1:13">
      <c r="A352" t="s">
        <v>3</v>
      </c>
      <c r="B352" s="4">
        <v>46311.635841469906</v>
      </c>
      <c r="C352" s="5">
        <v>539.93800000000192</v>
      </c>
      <c r="D352" s="5">
        <v>8.9989666666666981</v>
      </c>
      <c r="E352" s="5">
        <v>109</v>
      </c>
      <c r="F352" s="5">
        <v>2747786</v>
      </c>
      <c r="G352" s="5">
        <v>437.6</v>
      </c>
      <c r="H352" s="5">
        <v>0.55900000000000005</v>
      </c>
      <c r="I352" s="5">
        <v>2.138808</v>
      </c>
      <c r="J352" s="5">
        <v>3.8129900000000001</v>
      </c>
      <c r="K352" s="5">
        <v>-3.4492600000000002</v>
      </c>
      <c r="L352" s="5">
        <v>5.7599999999999874E-3</v>
      </c>
      <c r="M352" s="5">
        <v>6.9327983951847319E-2</v>
      </c>
    </row>
    <row r="353" spans="1:13">
      <c r="A353" t="s">
        <v>3</v>
      </c>
      <c r="B353" s="4">
        <v>46311.635899421293</v>
      </c>
      <c r="C353" s="5">
        <v>544.93800000000192</v>
      </c>
      <c r="D353" s="5">
        <v>9.082300000000032</v>
      </c>
      <c r="E353" s="5">
        <v>110</v>
      </c>
      <c r="F353" s="5">
        <v>2752786</v>
      </c>
      <c r="G353" s="5">
        <v>438.12</v>
      </c>
      <c r="H353" s="5">
        <v>0.33069999999999999</v>
      </c>
      <c r="I353" s="5">
        <v>2.1413489999999999</v>
      </c>
      <c r="J353" s="5">
        <v>3.798</v>
      </c>
      <c r="K353" s="5">
        <v>-3.4642499999999998</v>
      </c>
      <c r="L353" s="5">
        <v>-1.4990000000000061E-2</v>
      </c>
      <c r="M353" s="5">
        <v>-0.17988000000000071</v>
      </c>
    </row>
    <row r="354" spans="1:13">
      <c r="A354" t="s">
        <v>3</v>
      </c>
      <c r="B354" s="4">
        <v>46311.635957199076</v>
      </c>
      <c r="C354" s="5">
        <v>549.93800000000192</v>
      </c>
      <c r="D354" s="5">
        <v>9.1656333333333659</v>
      </c>
      <c r="E354" s="5">
        <v>111</v>
      </c>
      <c r="F354" s="5">
        <v>2757785</v>
      </c>
      <c r="G354" s="5">
        <v>438.24</v>
      </c>
      <c r="H354" s="5">
        <v>0.45069999999999999</v>
      </c>
      <c r="I354" s="5">
        <v>2.1419350000000001</v>
      </c>
      <c r="J354" s="5">
        <v>3.79454</v>
      </c>
      <c r="K354" s="5">
        <v>-3.4677099999999998</v>
      </c>
      <c r="L354" s="5">
        <v>-3.460000000000019E-3</v>
      </c>
      <c r="M354" s="5">
        <v>-4.1520000000000223E-2</v>
      </c>
    </row>
    <row r="355" spans="1:13">
      <c r="A355" t="s">
        <v>3</v>
      </c>
      <c r="B355" s="4">
        <v>46311.636014965276</v>
      </c>
      <c r="C355" s="5">
        <v>554.92199999999866</v>
      </c>
      <c r="D355" s="5">
        <v>9.2486999999999782</v>
      </c>
      <c r="E355" s="5">
        <v>112</v>
      </c>
      <c r="F355" s="5">
        <v>2762786</v>
      </c>
      <c r="G355" s="5">
        <v>438.28</v>
      </c>
      <c r="H355" s="5">
        <v>0.53029999999999999</v>
      </c>
      <c r="I355" s="5">
        <v>2.142131</v>
      </c>
      <c r="J355" s="5">
        <v>3.79338</v>
      </c>
      <c r="K355" s="5">
        <v>-3.4688699999999999</v>
      </c>
      <c r="L355" s="5">
        <v>-1.1600000000000501E-3</v>
      </c>
      <c r="M355" s="5">
        <v>-1.3964686998404601E-2</v>
      </c>
    </row>
    <row r="356" spans="1:13">
      <c r="A356" t="s">
        <v>3</v>
      </c>
      <c r="B356" s="4">
        <v>46311.63607291667</v>
      </c>
      <c r="C356" s="5">
        <v>559.93800000000192</v>
      </c>
      <c r="D356" s="5">
        <v>9.332300000000032</v>
      </c>
      <c r="E356" s="5">
        <v>113</v>
      </c>
      <c r="F356" s="5">
        <v>2767785</v>
      </c>
      <c r="G356" s="5">
        <v>438.88</v>
      </c>
      <c r="H356" s="5">
        <v>0.51539999999999997</v>
      </c>
      <c r="I356" s="5">
        <v>2.1450629999999999</v>
      </c>
      <c r="J356" s="5">
        <v>3.7760799999999999</v>
      </c>
      <c r="K356" s="5">
        <v>-3.48617</v>
      </c>
      <c r="L356" s="5">
        <v>-1.730000000000009E-2</v>
      </c>
      <c r="M356" s="5">
        <v>-0.20693779904292881</v>
      </c>
    </row>
    <row r="357" spans="1:13">
      <c r="A357" t="s">
        <v>3</v>
      </c>
      <c r="B357" s="4">
        <v>46311.636130706022</v>
      </c>
      <c r="C357" s="5">
        <v>564.92199999999866</v>
      </c>
      <c r="D357" s="5">
        <v>9.4153666666666442</v>
      </c>
      <c r="E357" s="5">
        <v>114</v>
      </c>
      <c r="F357" s="5">
        <v>2772786</v>
      </c>
      <c r="G357" s="5">
        <v>438.68</v>
      </c>
      <c r="H357" s="5">
        <v>0.4677</v>
      </c>
      <c r="I357" s="5">
        <v>2.1440860000000002</v>
      </c>
      <c r="J357" s="5">
        <v>3.7818499999999999</v>
      </c>
      <c r="K357" s="5">
        <v>-3.4803999999999999</v>
      </c>
      <c r="L357" s="5">
        <v>5.7700000000000529E-3</v>
      </c>
      <c r="M357" s="5">
        <v>6.9462279293786025E-2</v>
      </c>
    </row>
    <row r="358" spans="1:13">
      <c r="A358" t="s">
        <v>3</v>
      </c>
      <c r="B358" s="4">
        <v>46311.636188472221</v>
      </c>
      <c r="C358" s="5">
        <v>569.92199999999866</v>
      </c>
      <c r="D358" s="5">
        <v>9.4986999999999782</v>
      </c>
      <c r="E358" s="5">
        <v>115</v>
      </c>
      <c r="F358" s="5">
        <v>2777786</v>
      </c>
      <c r="G358" s="5">
        <v>438.88</v>
      </c>
      <c r="H358" s="5">
        <v>0.51539999999999997</v>
      </c>
      <c r="I358" s="5">
        <v>2.1450629999999999</v>
      </c>
      <c r="J358" s="5">
        <v>3.7760799999999999</v>
      </c>
      <c r="K358" s="5">
        <v>-3.48617</v>
      </c>
      <c r="L358" s="5">
        <v>-5.7700000000000529E-3</v>
      </c>
      <c r="M358" s="5">
        <v>-6.9240000000000634E-2</v>
      </c>
    </row>
    <row r="359" spans="1:13">
      <c r="A359" t="s">
        <v>3</v>
      </c>
      <c r="B359" s="4">
        <v>46311.636246435184</v>
      </c>
      <c r="C359" s="5">
        <v>574.92199999999866</v>
      </c>
      <c r="D359" s="5">
        <v>9.5820333333333103</v>
      </c>
      <c r="E359" s="5">
        <v>116</v>
      </c>
      <c r="F359" s="5">
        <v>2782785</v>
      </c>
      <c r="G359" s="5">
        <v>439.36</v>
      </c>
      <c r="H359" s="5">
        <v>0.48409999999999997</v>
      </c>
      <c r="I359" s="5">
        <v>2.1474090000000001</v>
      </c>
      <c r="J359" s="5">
        <v>3.7622300000000002</v>
      </c>
      <c r="K359" s="5">
        <v>-3.5000200000000001</v>
      </c>
      <c r="L359" s="5">
        <v>-1.3849999999999699E-2</v>
      </c>
      <c r="M359" s="5">
        <v>-0.16619999999999641</v>
      </c>
    </row>
    <row r="360" spans="1:13">
      <c r="A360" t="s">
        <v>3</v>
      </c>
      <c r="B360" s="4">
        <v>46311.63630421296</v>
      </c>
      <c r="C360" s="5">
        <v>579.92199999999866</v>
      </c>
      <c r="D360" s="5">
        <v>9.6653666666666442</v>
      </c>
      <c r="E360" s="5">
        <v>117</v>
      </c>
      <c r="F360" s="5">
        <v>2787786</v>
      </c>
      <c r="G360" s="5">
        <v>439.36</v>
      </c>
      <c r="H360" s="5">
        <v>0.55900000000000005</v>
      </c>
      <c r="I360" s="5">
        <v>2.1474090000000001</v>
      </c>
      <c r="J360" s="5">
        <v>3.7622300000000002</v>
      </c>
      <c r="K360" s="5">
        <v>-3.5000200000000001</v>
      </c>
      <c r="L360" s="5">
        <v>0</v>
      </c>
      <c r="M360" s="5">
        <v>0</v>
      </c>
    </row>
    <row r="361" spans="1:13">
      <c r="A361" t="s">
        <v>3</v>
      </c>
      <c r="B361" s="4">
        <v>46311.636361990742</v>
      </c>
      <c r="C361" s="5">
        <v>584.90600000000268</v>
      </c>
      <c r="D361" s="5">
        <v>9.7484333333333772</v>
      </c>
      <c r="E361" s="5">
        <v>118</v>
      </c>
      <c r="F361" s="5">
        <v>2792786</v>
      </c>
      <c r="G361" s="5">
        <v>439.32</v>
      </c>
      <c r="H361" s="5">
        <v>0.4677</v>
      </c>
      <c r="I361" s="5">
        <v>2.147214</v>
      </c>
      <c r="J361" s="5">
        <v>3.7633899999999998</v>
      </c>
      <c r="K361" s="5">
        <v>-3.4988600000000001</v>
      </c>
      <c r="L361" s="5">
        <v>1.159999999999606E-3</v>
      </c>
      <c r="M361" s="5">
        <v>1.3964686998378859E-2</v>
      </c>
    </row>
    <row r="362" spans="1:13">
      <c r="A362" t="s">
        <v>3</v>
      </c>
      <c r="B362" s="4">
        <v>46311.636419930554</v>
      </c>
      <c r="C362" s="5">
        <v>589.92199999999866</v>
      </c>
      <c r="D362" s="5">
        <v>9.8320333333333103</v>
      </c>
      <c r="E362" s="5">
        <v>119</v>
      </c>
      <c r="F362" s="5">
        <v>2797786</v>
      </c>
      <c r="G362" s="5">
        <v>439.72</v>
      </c>
      <c r="H362" s="5">
        <v>0.53029999999999999</v>
      </c>
      <c r="I362" s="5">
        <v>2.1491690000000001</v>
      </c>
      <c r="J362" s="5">
        <v>3.7518500000000001</v>
      </c>
      <c r="K362" s="5">
        <v>-3.5104000000000002</v>
      </c>
      <c r="L362" s="5">
        <v>-1.153999999999966E-2</v>
      </c>
      <c r="M362" s="5">
        <v>-0.13803827751206821</v>
      </c>
    </row>
    <row r="363" spans="1:13">
      <c r="A363" t="s">
        <v>3</v>
      </c>
      <c r="B363" s="4">
        <v>46311.636477719905</v>
      </c>
      <c r="C363" s="5">
        <v>594.90600000000268</v>
      </c>
      <c r="D363" s="5">
        <v>9.9151000000000451</v>
      </c>
      <c r="E363" s="5">
        <v>120</v>
      </c>
      <c r="F363" s="5">
        <v>2802786</v>
      </c>
      <c r="G363" s="5">
        <v>439.68</v>
      </c>
      <c r="H363" s="5">
        <v>0.54490000000000005</v>
      </c>
      <c r="I363" s="5">
        <v>2.1489729999999998</v>
      </c>
      <c r="J363" s="5">
        <v>3.7530100000000002</v>
      </c>
      <c r="K363" s="5">
        <v>-3.5092400000000001</v>
      </c>
      <c r="L363" s="5">
        <v>1.1600000000000501E-3</v>
      </c>
      <c r="M363" s="5">
        <v>1.3964686998384211E-2</v>
      </c>
    </row>
    <row r="364" spans="1:13">
      <c r="A364" t="s">
        <v>3</v>
      </c>
      <c r="B364" s="4">
        <v>46311.636535486112</v>
      </c>
      <c r="C364" s="5">
        <v>599.90600000000268</v>
      </c>
      <c r="D364" s="5">
        <v>9.9984333333333772</v>
      </c>
      <c r="E364" s="5">
        <v>121</v>
      </c>
      <c r="F364" s="5">
        <v>2807786</v>
      </c>
      <c r="G364" s="5">
        <v>439.88</v>
      </c>
      <c r="H364" s="5">
        <v>0.41460000000000002</v>
      </c>
      <c r="I364" s="5">
        <v>2.1499510000000002</v>
      </c>
      <c r="J364" s="5">
        <v>3.7472400000000001</v>
      </c>
      <c r="K364" s="5">
        <v>-3.5150100000000002</v>
      </c>
      <c r="L364" s="5">
        <v>-5.7700000000000529E-3</v>
      </c>
      <c r="M364" s="5">
        <v>-6.9240000000000634E-2</v>
      </c>
    </row>
    <row r="365" spans="1:13">
      <c r="A365" t="s">
        <v>3</v>
      </c>
      <c r="B365" s="4">
        <v>46311.636593460651</v>
      </c>
      <c r="C365" s="5">
        <v>604.90600000000268</v>
      </c>
      <c r="D365" s="5">
        <v>10.081766666666709</v>
      </c>
      <c r="E365" s="5">
        <v>122</v>
      </c>
      <c r="F365" s="5">
        <v>2812785</v>
      </c>
      <c r="G365" s="5">
        <v>440.16</v>
      </c>
      <c r="H365" s="5">
        <v>0.61240000000000006</v>
      </c>
      <c r="I365" s="5">
        <v>2.1513200000000001</v>
      </c>
      <c r="J365" s="5">
        <v>3.73916</v>
      </c>
      <c r="K365" s="5">
        <v>-3.5230899999999998</v>
      </c>
      <c r="L365" s="5">
        <v>-8.0800000000000871E-3</v>
      </c>
      <c r="M365" s="5">
        <v>-9.6960000000001045E-2</v>
      </c>
    </row>
    <row r="366" spans="1:13">
      <c r="A366" t="s">
        <v>3</v>
      </c>
      <c r="B366" s="4">
        <v>46311.636651226851</v>
      </c>
      <c r="C366" s="5">
        <v>609.90600000000268</v>
      </c>
      <c r="D366" s="5">
        <v>10.16510000000005</v>
      </c>
      <c r="E366" s="5">
        <v>123</v>
      </c>
      <c r="F366" s="5">
        <v>2817786</v>
      </c>
      <c r="G366" s="5">
        <v>440.04</v>
      </c>
      <c r="H366" s="5">
        <v>0.45069999999999999</v>
      </c>
      <c r="I366" s="5">
        <v>2.1507329999999998</v>
      </c>
      <c r="J366" s="5">
        <v>3.7426200000000001</v>
      </c>
      <c r="K366" s="5">
        <v>-3.5196299999999998</v>
      </c>
      <c r="L366" s="5">
        <v>3.460000000000019E-3</v>
      </c>
      <c r="M366" s="5">
        <v>4.1520000000000223E-2</v>
      </c>
    </row>
    <row r="367" spans="1:13">
      <c r="A367" t="s">
        <v>3</v>
      </c>
      <c r="B367" s="4">
        <v>46311.636708993057</v>
      </c>
      <c r="C367" s="5">
        <v>614.89100000000326</v>
      </c>
      <c r="D367" s="5">
        <v>10.24818333333339</v>
      </c>
      <c r="E367" s="5">
        <v>124</v>
      </c>
      <c r="F367" s="5">
        <v>2822785</v>
      </c>
      <c r="G367" s="5">
        <v>440.4</v>
      </c>
      <c r="H367" s="5">
        <v>0.5</v>
      </c>
      <c r="I367" s="5">
        <v>2.1524930000000002</v>
      </c>
      <c r="J367" s="5">
        <v>3.73224</v>
      </c>
      <c r="K367" s="5">
        <v>-3.5300099999999999</v>
      </c>
      <c r="L367" s="5">
        <v>-1.0380000000000059E-2</v>
      </c>
      <c r="M367" s="5">
        <v>-0.1249348044132258</v>
      </c>
    </row>
    <row r="368" spans="1:13">
      <c r="A368" t="s">
        <v>3</v>
      </c>
      <c r="B368" s="4">
        <v>46311.636766967589</v>
      </c>
      <c r="C368" s="5">
        <v>619.90600000000268</v>
      </c>
      <c r="D368" s="5">
        <v>10.331766666666709</v>
      </c>
      <c r="E368" s="5">
        <v>125</v>
      </c>
      <c r="F368" s="5">
        <v>2827786</v>
      </c>
      <c r="G368" s="5">
        <v>440.28</v>
      </c>
      <c r="H368" s="5">
        <v>0.45069999999999999</v>
      </c>
      <c r="I368" s="5">
        <v>2.1519059999999999</v>
      </c>
      <c r="J368" s="5">
        <v>3.7357</v>
      </c>
      <c r="K368" s="5">
        <v>-3.5265499999999999</v>
      </c>
      <c r="L368" s="5">
        <v>3.460000000000019E-3</v>
      </c>
      <c r="M368" s="5">
        <v>4.1395812562318092E-2</v>
      </c>
    </row>
    <row r="369" spans="1:13">
      <c r="A369" t="s">
        <v>3</v>
      </c>
      <c r="B369" s="4">
        <v>46311.636824733796</v>
      </c>
      <c r="C369" s="5">
        <v>624.89100000000326</v>
      </c>
      <c r="D369" s="5">
        <v>10.414850000000049</v>
      </c>
      <c r="E369" s="5">
        <v>126</v>
      </c>
      <c r="F369" s="5">
        <v>2832785</v>
      </c>
      <c r="G369" s="5">
        <v>440.68</v>
      </c>
      <c r="H369" s="5">
        <v>0.4677</v>
      </c>
      <c r="I369" s="5">
        <v>2.153861</v>
      </c>
      <c r="J369" s="5">
        <v>3.72417</v>
      </c>
      <c r="K369" s="5">
        <v>-3.5380799999999999</v>
      </c>
      <c r="L369" s="5">
        <v>-1.153000000000004E-2</v>
      </c>
      <c r="M369" s="5">
        <v>-0.1387763289869452</v>
      </c>
    </row>
    <row r="370" spans="1:13">
      <c r="A370" t="s">
        <v>3</v>
      </c>
      <c r="B370" s="4">
        <v>46311.636882511571</v>
      </c>
      <c r="C370" s="5">
        <v>629.89100000000326</v>
      </c>
      <c r="D370" s="5">
        <v>10.49818333333339</v>
      </c>
      <c r="E370" s="5">
        <v>127</v>
      </c>
      <c r="F370" s="5">
        <v>2837785</v>
      </c>
      <c r="G370" s="5">
        <v>440.84</v>
      </c>
      <c r="H370" s="5">
        <v>0.54490000000000005</v>
      </c>
      <c r="I370" s="5">
        <v>2.1546430000000001</v>
      </c>
      <c r="J370" s="5">
        <v>3.7195499999999999</v>
      </c>
      <c r="K370" s="5">
        <v>-3.5427</v>
      </c>
      <c r="L370" s="5">
        <v>-4.6200000000000676E-3</v>
      </c>
      <c r="M370" s="5">
        <v>-5.5440000000000822E-2</v>
      </c>
    </row>
    <row r="371" spans="1:13">
      <c r="A371" t="s">
        <v>3</v>
      </c>
      <c r="B371" s="4">
        <v>46311.636940474535</v>
      </c>
      <c r="C371" s="5">
        <v>634.89100000000326</v>
      </c>
      <c r="D371" s="5">
        <v>10.581516666666721</v>
      </c>
      <c r="E371" s="5">
        <v>128</v>
      </c>
      <c r="F371" s="5">
        <v>2842785</v>
      </c>
      <c r="G371" s="5">
        <v>440.76</v>
      </c>
      <c r="H371" s="5">
        <v>0.63739999999999997</v>
      </c>
      <c r="I371" s="5">
        <v>2.1542520000000001</v>
      </c>
      <c r="J371" s="5">
        <v>3.7218599999999999</v>
      </c>
      <c r="K371" s="5">
        <v>-3.5403899999999999</v>
      </c>
      <c r="L371" s="5">
        <v>2.3100000000000338E-3</v>
      </c>
      <c r="M371" s="5">
        <v>2.7720000000000411E-2</v>
      </c>
    </row>
    <row r="372" spans="1:13">
      <c r="A372" t="s">
        <v>3</v>
      </c>
      <c r="B372" s="4">
        <v>46311.636998229165</v>
      </c>
      <c r="C372" s="5">
        <v>639.875</v>
      </c>
      <c r="D372" s="5">
        <v>10.664583333333329</v>
      </c>
      <c r="E372" s="5">
        <v>129</v>
      </c>
      <c r="F372" s="5">
        <v>2847784</v>
      </c>
      <c r="G372" s="5">
        <v>441.28</v>
      </c>
      <c r="H372" s="5">
        <v>0.53029999999999999</v>
      </c>
      <c r="I372" s="5">
        <v>2.1567940000000001</v>
      </c>
      <c r="J372" s="5">
        <v>3.7068599999999998</v>
      </c>
      <c r="K372" s="5">
        <v>-3.5553900000000001</v>
      </c>
      <c r="L372" s="5">
        <v>-1.5000000000000119E-2</v>
      </c>
      <c r="M372" s="5">
        <v>-0.18057784911729449</v>
      </c>
    </row>
    <row r="373" spans="1:13">
      <c r="A373" t="s">
        <v>3</v>
      </c>
      <c r="B373" s="4">
        <v>46311.637056006941</v>
      </c>
      <c r="C373" s="5">
        <v>644.875</v>
      </c>
      <c r="D373" s="5">
        <v>10.74791666666667</v>
      </c>
      <c r="E373" s="5">
        <v>130</v>
      </c>
      <c r="F373" s="5">
        <v>2852786</v>
      </c>
      <c r="G373" s="5">
        <v>440.92</v>
      </c>
      <c r="H373" s="5">
        <v>0.48409999999999997</v>
      </c>
      <c r="I373" s="5">
        <v>2.1550340000000001</v>
      </c>
      <c r="J373" s="5">
        <v>3.7172399999999999</v>
      </c>
      <c r="K373" s="5">
        <v>-3.54501</v>
      </c>
      <c r="L373" s="5">
        <v>1.0380000000000059E-2</v>
      </c>
      <c r="M373" s="5">
        <v>0.1245600000000007</v>
      </c>
    </row>
    <row r="374" spans="1:13">
      <c r="A374" t="s">
        <v>3</v>
      </c>
      <c r="B374" s="4">
        <v>46311.6371137963</v>
      </c>
      <c r="C374" s="5">
        <v>649.85900000000402</v>
      </c>
      <c r="D374" s="5">
        <v>10.8309833333334</v>
      </c>
      <c r="E374" s="5">
        <v>131</v>
      </c>
      <c r="F374" s="5">
        <v>2857785</v>
      </c>
      <c r="G374" s="5">
        <v>441.48</v>
      </c>
      <c r="H374" s="5">
        <v>0.5</v>
      </c>
      <c r="I374" s="5">
        <v>2.1577709999999999</v>
      </c>
      <c r="J374" s="5">
        <v>3.7010900000000002</v>
      </c>
      <c r="K374" s="5">
        <v>-3.5611600000000001</v>
      </c>
      <c r="L374" s="5">
        <v>-1.6149999999999661E-2</v>
      </c>
      <c r="M374" s="5">
        <v>-0.19442215088266429</v>
      </c>
    </row>
    <row r="375" spans="1:13">
      <c r="A375" t="s">
        <v>3</v>
      </c>
      <c r="B375" s="4">
        <v>46311.637171736111</v>
      </c>
      <c r="C375" s="5">
        <v>654.875</v>
      </c>
      <c r="D375" s="5">
        <v>10.914583333333329</v>
      </c>
      <c r="E375" s="5">
        <v>132</v>
      </c>
      <c r="F375" s="5">
        <v>2862786</v>
      </c>
      <c r="G375" s="5">
        <v>441.84</v>
      </c>
      <c r="H375" s="5">
        <v>0.375</v>
      </c>
      <c r="I375" s="5">
        <v>2.1595309999999999</v>
      </c>
      <c r="J375" s="5">
        <v>3.6907100000000002</v>
      </c>
      <c r="K375" s="5">
        <v>-3.5715400000000002</v>
      </c>
      <c r="L375" s="5">
        <v>-1.0380000000000059E-2</v>
      </c>
      <c r="M375" s="5">
        <v>-0.12416267942593739</v>
      </c>
    </row>
    <row r="376" spans="1:13">
      <c r="A376" t="s">
        <v>3</v>
      </c>
      <c r="B376" s="4">
        <v>46311.637229513886</v>
      </c>
      <c r="C376" s="5">
        <v>659.85900000000402</v>
      </c>
      <c r="D376" s="5">
        <v>10.997650000000069</v>
      </c>
      <c r="E376" s="5">
        <v>133</v>
      </c>
      <c r="F376" s="5">
        <v>2867786</v>
      </c>
      <c r="G376" s="5">
        <v>441.48</v>
      </c>
      <c r="H376" s="5">
        <v>0.5</v>
      </c>
      <c r="I376" s="5">
        <v>2.1577709999999999</v>
      </c>
      <c r="J376" s="5">
        <v>3.7010900000000002</v>
      </c>
      <c r="K376" s="5">
        <v>-3.5611600000000001</v>
      </c>
      <c r="L376" s="5">
        <v>1.0380000000000059E-2</v>
      </c>
      <c r="M376" s="5">
        <v>0.124959871588985</v>
      </c>
    </row>
    <row r="377" spans="1:13">
      <c r="A377" t="s">
        <v>3</v>
      </c>
      <c r="B377" s="4">
        <v>46311.637287291669</v>
      </c>
      <c r="C377" s="5">
        <v>664.85900000000402</v>
      </c>
      <c r="D377" s="5">
        <v>11.0809833333334</v>
      </c>
      <c r="E377" s="5">
        <v>134</v>
      </c>
      <c r="F377" s="5">
        <v>2872786</v>
      </c>
      <c r="G377" s="5">
        <v>441.72</v>
      </c>
      <c r="H377" s="5">
        <v>0.45069999999999999</v>
      </c>
      <c r="I377" s="5">
        <v>2.158944</v>
      </c>
      <c r="J377" s="5">
        <v>3.6941700000000002</v>
      </c>
      <c r="K377" s="5">
        <v>-3.5680800000000001</v>
      </c>
      <c r="L377" s="5">
        <v>-6.9200000000000372E-3</v>
      </c>
      <c r="M377" s="5">
        <v>-8.3040000000000447E-2</v>
      </c>
    </row>
    <row r="378" spans="1:13">
      <c r="A378" t="s">
        <v>3</v>
      </c>
      <c r="B378" s="4">
        <v>46311.637345254632</v>
      </c>
      <c r="C378" s="5">
        <v>669.85900000000402</v>
      </c>
      <c r="D378" s="5">
        <v>11.16431666666673</v>
      </c>
      <c r="E378" s="5">
        <v>135</v>
      </c>
      <c r="F378" s="5">
        <v>2877786</v>
      </c>
      <c r="G378" s="5">
        <v>441.88</v>
      </c>
      <c r="H378" s="5">
        <v>0.51539999999999997</v>
      </c>
      <c r="I378" s="5">
        <v>2.159726</v>
      </c>
      <c r="J378" s="5">
        <v>3.6895600000000002</v>
      </c>
      <c r="K378" s="5">
        <v>-3.5726900000000001</v>
      </c>
      <c r="L378" s="5">
        <v>-4.610000000000003E-3</v>
      </c>
      <c r="M378" s="5">
        <v>-5.5320000000000043E-2</v>
      </c>
    </row>
    <row r="379" spans="1:13">
      <c r="A379" t="s">
        <v>3</v>
      </c>
      <c r="B379" s="4">
        <v>46311.637403032408</v>
      </c>
      <c r="C379" s="5">
        <v>674.85900000000402</v>
      </c>
      <c r="D379" s="5">
        <v>11.247650000000069</v>
      </c>
      <c r="E379" s="5">
        <v>136</v>
      </c>
      <c r="F379" s="5">
        <v>2882786</v>
      </c>
      <c r="G379" s="5">
        <v>441.8</v>
      </c>
      <c r="H379" s="5">
        <v>0.63739999999999997</v>
      </c>
      <c r="I379" s="5">
        <v>2.159335</v>
      </c>
      <c r="J379" s="5">
        <v>3.6918700000000002</v>
      </c>
      <c r="K379" s="5">
        <v>-3.5703800000000001</v>
      </c>
      <c r="L379" s="5">
        <v>2.3100000000000338E-3</v>
      </c>
      <c r="M379" s="5">
        <v>2.7720000000000411E-2</v>
      </c>
    </row>
    <row r="380" spans="1:13">
      <c r="A380" t="s">
        <v>3</v>
      </c>
      <c r="B380" s="4">
        <v>46311.637460810183</v>
      </c>
      <c r="C380" s="5">
        <v>679.8440000000046</v>
      </c>
      <c r="D380" s="5">
        <v>11.330733333333409</v>
      </c>
      <c r="E380" s="5">
        <v>137</v>
      </c>
      <c r="F380" s="5">
        <v>2887786</v>
      </c>
      <c r="G380" s="5">
        <v>441.96</v>
      </c>
      <c r="H380" s="5">
        <v>0.45069999999999999</v>
      </c>
      <c r="I380" s="5">
        <v>2.1601170000000001</v>
      </c>
      <c r="J380" s="5">
        <v>3.6872500000000001</v>
      </c>
      <c r="K380" s="5">
        <v>-3.5750000000000002</v>
      </c>
      <c r="L380" s="5">
        <v>-4.6200000000000676E-3</v>
      </c>
      <c r="M380" s="5">
        <v>-5.5606820461378492E-2</v>
      </c>
    </row>
    <row r="381" spans="1:13">
      <c r="A381" t="s">
        <v>3</v>
      </c>
      <c r="B381" s="4">
        <v>46311.637518761578</v>
      </c>
      <c r="C381" s="5">
        <v>684.85900000000402</v>
      </c>
      <c r="D381" s="5">
        <v>11.41431666666673</v>
      </c>
      <c r="E381" s="5">
        <v>138</v>
      </c>
      <c r="F381" s="5">
        <v>2892786</v>
      </c>
      <c r="G381" s="5">
        <v>441.88</v>
      </c>
      <c r="H381" s="5">
        <v>0.33069999999999999</v>
      </c>
      <c r="I381" s="5">
        <v>2.159726</v>
      </c>
      <c r="J381" s="5">
        <v>3.6895600000000002</v>
      </c>
      <c r="K381" s="5">
        <v>-3.5726900000000001</v>
      </c>
      <c r="L381" s="5">
        <v>2.3100000000000338E-3</v>
      </c>
      <c r="M381" s="5">
        <v>2.7637088733802221E-2</v>
      </c>
    </row>
    <row r="382" spans="1:13">
      <c r="A382" t="s">
        <v>3</v>
      </c>
      <c r="B382" s="4">
        <v>46311.637576539353</v>
      </c>
      <c r="C382" s="5">
        <v>689.8440000000046</v>
      </c>
      <c r="D382" s="5">
        <v>11.497400000000081</v>
      </c>
      <c r="E382" s="5">
        <v>139</v>
      </c>
      <c r="F382" s="5">
        <v>2897786</v>
      </c>
      <c r="G382" s="5">
        <v>442.2</v>
      </c>
      <c r="H382" s="5">
        <v>0.48409999999999997</v>
      </c>
      <c r="I382" s="5">
        <v>2.1612900000000002</v>
      </c>
      <c r="J382" s="5">
        <v>3.6803300000000001</v>
      </c>
      <c r="K382" s="5">
        <v>-3.5819200000000002</v>
      </c>
      <c r="L382" s="5">
        <v>-9.2300000000000715E-3</v>
      </c>
      <c r="M382" s="5">
        <v>-0.1110932798395065</v>
      </c>
    </row>
    <row r="383" spans="1:13">
      <c r="A383" t="s">
        <v>3</v>
      </c>
      <c r="B383" s="4">
        <v>46311.637634317129</v>
      </c>
      <c r="C383" s="5">
        <v>694.8440000000046</v>
      </c>
      <c r="D383" s="5">
        <v>11.580733333333409</v>
      </c>
      <c r="E383" s="5">
        <v>140</v>
      </c>
      <c r="F383" s="5">
        <v>2902785</v>
      </c>
      <c r="G383" s="5">
        <v>442.36</v>
      </c>
      <c r="H383" s="5">
        <v>0.48409999999999997</v>
      </c>
      <c r="I383" s="5">
        <v>2.1620720000000002</v>
      </c>
      <c r="J383" s="5">
        <v>3.6757200000000001</v>
      </c>
      <c r="K383" s="5">
        <v>-3.5865300000000002</v>
      </c>
      <c r="L383" s="5">
        <v>-4.610000000000003E-3</v>
      </c>
      <c r="M383" s="5">
        <v>-5.5320000000000043E-2</v>
      </c>
    </row>
    <row r="384" spans="1:13">
      <c r="A384" t="s">
        <v>3</v>
      </c>
      <c r="B384" s="4">
        <v>46311.637692268516</v>
      </c>
      <c r="C384" s="5">
        <v>699.8440000000046</v>
      </c>
      <c r="D384" s="5">
        <v>11.66406666666674</v>
      </c>
      <c r="E384" s="5">
        <v>141</v>
      </c>
      <c r="F384" s="5">
        <v>2907786</v>
      </c>
      <c r="G384" s="5">
        <v>442.16</v>
      </c>
      <c r="H384" s="5">
        <v>0.4677</v>
      </c>
      <c r="I384" s="5">
        <v>2.161095</v>
      </c>
      <c r="J384" s="5">
        <v>3.6814800000000001</v>
      </c>
      <c r="K384" s="5">
        <v>-3.5807699999999998</v>
      </c>
      <c r="L384" s="5">
        <v>5.7599999999999874E-3</v>
      </c>
      <c r="M384" s="5">
        <v>6.9119999999999848E-2</v>
      </c>
    </row>
    <row r="385" spans="1:13">
      <c r="A385" t="s">
        <v>3</v>
      </c>
      <c r="B385" s="4">
        <v>46311.637750046299</v>
      </c>
      <c r="C385" s="5">
        <v>704.8440000000046</v>
      </c>
      <c r="D385" s="5">
        <v>11.747400000000081</v>
      </c>
      <c r="E385" s="5">
        <v>142</v>
      </c>
      <c r="F385" s="5">
        <v>2912786</v>
      </c>
      <c r="G385" s="5">
        <v>442.56</v>
      </c>
      <c r="H385" s="5">
        <v>0.58630000000000004</v>
      </c>
      <c r="I385" s="5">
        <v>2.1630500000000001</v>
      </c>
      <c r="J385" s="5">
        <v>3.66995</v>
      </c>
      <c r="K385" s="5">
        <v>-3.5922999999999998</v>
      </c>
      <c r="L385" s="5">
        <v>-1.153000000000004E-2</v>
      </c>
      <c r="M385" s="5">
        <v>-0.13836000000000051</v>
      </c>
    </row>
    <row r="386" spans="1:13">
      <c r="A386" t="s">
        <v>3</v>
      </c>
      <c r="B386" s="4">
        <v>46311.637807824074</v>
      </c>
      <c r="C386" s="5">
        <v>709.82800000000134</v>
      </c>
      <c r="D386" s="5">
        <v>11.830466666666689</v>
      </c>
      <c r="E386" s="5">
        <v>143</v>
      </c>
      <c r="F386" s="5">
        <v>2917786</v>
      </c>
      <c r="G386" s="5">
        <v>442.72</v>
      </c>
      <c r="H386" s="5">
        <v>0.59950000000000003</v>
      </c>
      <c r="I386" s="5">
        <v>2.1638320000000002</v>
      </c>
      <c r="J386" s="5">
        <v>3.66533</v>
      </c>
      <c r="K386" s="5">
        <v>-3.5969199999999999</v>
      </c>
      <c r="L386" s="5">
        <v>-4.6200000000000676E-3</v>
      </c>
      <c r="M386" s="5">
        <v>-5.5617977528127083E-2</v>
      </c>
    </row>
    <row r="387" spans="1:13">
      <c r="A387" t="s">
        <v>3</v>
      </c>
      <c r="B387" s="4">
        <v>46311.637865775461</v>
      </c>
      <c r="C387" s="5">
        <v>714.8440000000046</v>
      </c>
      <c r="D387" s="5">
        <v>11.91406666666674</v>
      </c>
      <c r="E387" s="5">
        <v>144</v>
      </c>
      <c r="F387" s="5">
        <v>2922786</v>
      </c>
      <c r="G387" s="5">
        <v>442.84</v>
      </c>
      <c r="H387" s="5">
        <v>0.54490000000000005</v>
      </c>
      <c r="I387" s="5">
        <v>2.164418</v>
      </c>
      <c r="J387" s="5">
        <v>3.66187</v>
      </c>
      <c r="K387" s="5">
        <v>-3.6003799999999999</v>
      </c>
      <c r="L387" s="5">
        <v>-3.460000000000019E-3</v>
      </c>
      <c r="M387" s="5">
        <v>-4.1387559808585772E-2</v>
      </c>
    </row>
    <row r="388" spans="1:13">
      <c r="A388" t="s">
        <v>3</v>
      </c>
      <c r="B388" s="4">
        <v>46311.637923541668</v>
      </c>
      <c r="C388" s="5">
        <v>719.82800000000134</v>
      </c>
      <c r="D388" s="5">
        <v>11.997133333333361</v>
      </c>
      <c r="E388" s="5">
        <v>145</v>
      </c>
      <c r="F388" s="5">
        <v>2927785</v>
      </c>
      <c r="G388" s="5">
        <v>443.44</v>
      </c>
      <c r="H388" s="5">
        <v>0.5</v>
      </c>
      <c r="I388" s="5">
        <v>2.167351</v>
      </c>
      <c r="J388" s="5">
        <v>3.6445699999999999</v>
      </c>
      <c r="K388" s="5">
        <v>-3.61768</v>
      </c>
      <c r="L388" s="5">
        <v>-1.730000000000009E-2</v>
      </c>
      <c r="M388" s="5">
        <v>-0.2082664526486124</v>
      </c>
    </row>
    <row r="389" spans="1:13">
      <c r="A389" t="s">
        <v>3</v>
      </c>
      <c r="B389" s="4">
        <v>46311.637981319443</v>
      </c>
      <c r="C389" s="5">
        <v>724.82800000000134</v>
      </c>
      <c r="D389" s="5">
        <v>12.080466666666689</v>
      </c>
      <c r="E389" s="5">
        <v>146</v>
      </c>
      <c r="F389" s="5">
        <v>2932786</v>
      </c>
      <c r="G389" s="5">
        <v>442.88</v>
      </c>
      <c r="H389" s="5">
        <v>0.41460000000000002</v>
      </c>
      <c r="I389" s="5">
        <v>2.1646139999999998</v>
      </c>
      <c r="J389" s="5">
        <v>3.66072</v>
      </c>
      <c r="K389" s="5">
        <v>-3.6015299999999999</v>
      </c>
      <c r="L389" s="5">
        <v>1.6150000000000109E-2</v>
      </c>
      <c r="M389" s="5">
        <v>0.1938000000000013</v>
      </c>
    </row>
    <row r="390" spans="1:13">
      <c r="A390" t="s">
        <v>3</v>
      </c>
      <c r="B390" s="4">
        <v>46311.638039270831</v>
      </c>
      <c r="C390" s="5">
        <v>729.82800000000134</v>
      </c>
      <c r="D390" s="5">
        <v>12.16380000000002</v>
      </c>
      <c r="E390" s="5">
        <v>147</v>
      </c>
      <c r="F390" s="5">
        <v>2937786</v>
      </c>
      <c r="G390" s="5">
        <v>443.16</v>
      </c>
      <c r="H390" s="5">
        <v>0.4677</v>
      </c>
      <c r="I390" s="5">
        <v>2.1659820000000001</v>
      </c>
      <c r="J390" s="5">
        <v>3.6526399999999999</v>
      </c>
      <c r="K390" s="5">
        <v>-3.60961</v>
      </c>
      <c r="L390" s="5">
        <v>-8.0800000000000871E-3</v>
      </c>
      <c r="M390" s="5">
        <v>-9.6960000000001045E-2</v>
      </c>
    </row>
    <row r="391" spans="1:13">
      <c r="A391" t="s">
        <v>3</v>
      </c>
      <c r="B391" s="4">
        <v>46311.638097048613</v>
      </c>
      <c r="C391" s="5">
        <v>734.82800000000134</v>
      </c>
      <c r="D391" s="5">
        <v>12.247133333333361</v>
      </c>
      <c r="E391" s="5">
        <v>148</v>
      </c>
      <c r="F391" s="5">
        <v>2942785</v>
      </c>
      <c r="G391" s="5">
        <v>443.64</v>
      </c>
      <c r="H391" s="5">
        <v>0.4677</v>
      </c>
      <c r="I391" s="5">
        <v>2.168329</v>
      </c>
      <c r="J391" s="5">
        <v>3.6387999999999998</v>
      </c>
      <c r="K391" s="5">
        <v>-3.6234500000000001</v>
      </c>
      <c r="L391" s="5">
        <v>-1.3840000000000069E-2</v>
      </c>
      <c r="M391" s="5">
        <v>-0.16608000000000089</v>
      </c>
    </row>
    <row r="392" spans="1:13">
      <c r="A392" t="s">
        <v>3</v>
      </c>
      <c r="B392" s="4">
        <v>46311.638154837965</v>
      </c>
      <c r="C392" s="5">
        <v>739.81300000000192</v>
      </c>
      <c r="D392" s="5">
        <v>12.330216666666701</v>
      </c>
      <c r="E392" s="5">
        <v>149</v>
      </c>
      <c r="F392" s="5">
        <v>2947786</v>
      </c>
      <c r="G392" s="5">
        <v>443.32</v>
      </c>
      <c r="H392" s="5">
        <v>0.61240000000000006</v>
      </c>
      <c r="I392" s="5">
        <v>2.1667640000000001</v>
      </c>
      <c r="J392" s="5">
        <v>3.6480299999999999</v>
      </c>
      <c r="K392" s="5">
        <v>-3.61422</v>
      </c>
      <c r="L392" s="5">
        <v>9.2300000000000715E-3</v>
      </c>
      <c r="M392" s="5">
        <v>0.1110932798395065</v>
      </c>
    </row>
    <row r="393" spans="1:13">
      <c r="A393" t="s">
        <v>3</v>
      </c>
      <c r="B393" s="4">
        <v>46311.638212777776</v>
      </c>
      <c r="C393" s="5">
        <v>744.81300000000192</v>
      </c>
      <c r="D393" s="5">
        <v>12.413550000000029</v>
      </c>
      <c r="E393" s="5">
        <v>150</v>
      </c>
      <c r="F393" s="5">
        <v>2952786</v>
      </c>
      <c r="G393" s="5">
        <v>443.4</v>
      </c>
      <c r="H393" s="5">
        <v>0.5</v>
      </c>
      <c r="I393" s="5">
        <v>2.1671550000000002</v>
      </c>
      <c r="J393" s="5">
        <v>3.6457199999999998</v>
      </c>
      <c r="K393" s="5">
        <v>-3.61653</v>
      </c>
      <c r="L393" s="5">
        <v>-2.3100000000000338E-3</v>
      </c>
      <c r="M393" s="5">
        <v>-2.7720000000000411E-2</v>
      </c>
    </row>
    <row r="394" spans="1:13">
      <c r="A394" t="s">
        <v>3</v>
      </c>
      <c r="B394" s="4">
        <v>46311.638270555559</v>
      </c>
      <c r="C394" s="5">
        <v>749.81300000000192</v>
      </c>
      <c r="D394" s="5">
        <v>12.49688333333336</v>
      </c>
      <c r="E394" s="5">
        <v>151</v>
      </c>
      <c r="F394" s="5">
        <v>2957786</v>
      </c>
      <c r="G394" s="5">
        <v>443.4</v>
      </c>
      <c r="H394" s="5">
        <v>0.5</v>
      </c>
      <c r="I394" s="5">
        <v>2.1671550000000002</v>
      </c>
      <c r="J394" s="5">
        <v>3.6457199999999998</v>
      </c>
      <c r="K394" s="5">
        <v>-3.61653</v>
      </c>
      <c r="L394" s="5">
        <v>0</v>
      </c>
      <c r="M394" s="5">
        <v>0</v>
      </c>
    </row>
    <row r="395" spans="1:13">
      <c r="A395" t="s">
        <v>3</v>
      </c>
      <c r="B395" s="4">
        <v>46311.638328333334</v>
      </c>
      <c r="C395" s="5">
        <v>754.79699999999866</v>
      </c>
      <c r="D395" s="5">
        <v>12.579949999999981</v>
      </c>
      <c r="E395" s="5">
        <v>152</v>
      </c>
      <c r="F395" s="5">
        <v>2962785</v>
      </c>
      <c r="G395" s="5">
        <v>443.52</v>
      </c>
      <c r="H395" s="5">
        <v>0.5</v>
      </c>
      <c r="I395" s="5">
        <v>2.1677420000000001</v>
      </c>
      <c r="J395" s="5">
        <v>3.6422599999999998</v>
      </c>
      <c r="K395" s="5">
        <v>-3.61999</v>
      </c>
      <c r="L395" s="5">
        <v>-3.460000000000019E-3</v>
      </c>
      <c r="M395" s="5">
        <v>-4.1653290529722477E-2</v>
      </c>
    </row>
    <row r="396" spans="1:13">
      <c r="A396" t="s">
        <v>3</v>
      </c>
      <c r="B396" s="4">
        <v>46311.638386296298</v>
      </c>
      <c r="C396" s="5">
        <v>759.81300000000192</v>
      </c>
      <c r="D396" s="5">
        <v>12.663550000000029</v>
      </c>
      <c r="E396" s="5">
        <v>153</v>
      </c>
      <c r="F396" s="5">
        <v>2967786</v>
      </c>
      <c r="G396" s="5">
        <v>443.8</v>
      </c>
      <c r="H396" s="5">
        <v>0.58630000000000004</v>
      </c>
      <c r="I396" s="5">
        <v>2.169111</v>
      </c>
      <c r="J396" s="5">
        <v>3.6341899999999998</v>
      </c>
      <c r="K396" s="5">
        <v>-3.6280600000000001</v>
      </c>
      <c r="L396" s="5">
        <v>-8.0700000000000216E-3</v>
      </c>
      <c r="M396" s="5">
        <v>-9.6531100478406434E-2</v>
      </c>
    </row>
    <row r="397" spans="1:13">
      <c r="A397" t="s">
        <v>3</v>
      </c>
      <c r="B397" s="4">
        <v>46311.638444062497</v>
      </c>
      <c r="C397" s="5">
        <v>764.79699999999866</v>
      </c>
      <c r="D397" s="5">
        <v>12.74661666666664</v>
      </c>
      <c r="E397" s="5">
        <v>154</v>
      </c>
      <c r="F397" s="5">
        <v>2972785</v>
      </c>
      <c r="G397" s="5">
        <v>443.84</v>
      </c>
      <c r="H397" s="5">
        <v>0.4677</v>
      </c>
      <c r="I397" s="5">
        <v>2.1693060000000002</v>
      </c>
      <c r="J397" s="5">
        <v>3.6330300000000002</v>
      </c>
      <c r="K397" s="5">
        <v>-3.6292200000000001</v>
      </c>
      <c r="L397" s="5">
        <v>-1.159999999999606E-3</v>
      </c>
      <c r="M397" s="5">
        <v>-1.3964686998399249E-2</v>
      </c>
    </row>
    <row r="398" spans="1:13">
      <c r="A398" t="s">
        <v>3</v>
      </c>
      <c r="B398" s="4">
        <v>46311.638501851849</v>
      </c>
      <c r="C398" s="5">
        <v>769.79699999999866</v>
      </c>
      <c r="D398" s="5">
        <v>12.829949999999981</v>
      </c>
      <c r="E398" s="5">
        <v>155</v>
      </c>
      <c r="F398" s="5">
        <v>2977786</v>
      </c>
      <c r="G398" s="5">
        <v>443.8</v>
      </c>
      <c r="H398" s="5">
        <v>0.41460000000000002</v>
      </c>
      <c r="I398" s="5">
        <v>2.169111</v>
      </c>
      <c r="J398" s="5">
        <v>3.6341899999999998</v>
      </c>
      <c r="K398" s="5">
        <v>-3.6280600000000001</v>
      </c>
      <c r="L398" s="5">
        <v>1.159999999999606E-3</v>
      </c>
      <c r="M398" s="5">
        <v>1.3919999999995269E-2</v>
      </c>
    </row>
    <row r="399" spans="1:13">
      <c r="A399" t="s">
        <v>3</v>
      </c>
      <c r="B399" s="4">
        <v>46311.638559803243</v>
      </c>
      <c r="C399" s="5">
        <v>774.79699999999866</v>
      </c>
      <c r="D399" s="5">
        <v>12.913283333333309</v>
      </c>
      <c r="E399" s="5">
        <v>156</v>
      </c>
      <c r="F399" s="5">
        <v>2982786</v>
      </c>
      <c r="G399" s="5">
        <v>443.88</v>
      </c>
      <c r="H399" s="5">
        <v>0.433</v>
      </c>
      <c r="I399" s="5">
        <v>2.1695009999999999</v>
      </c>
      <c r="J399" s="5">
        <v>3.6318800000000002</v>
      </c>
      <c r="K399" s="5">
        <v>-3.6303700000000001</v>
      </c>
      <c r="L399" s="5">
        <v>-2.3099999999995902E-3</v>
      </c>
      <c r="M399" s="5">
        <v>-2.7719999999995078E-2</v>
      </c>
    </row>
    <row r="400" spans="1:13">
      <c r="A400" t="s">
        <v>3</v>
      </c>
      <c r="B400" s="4">
        <v>46311.638617581018</v>
      </c>
      <c r="C400" s="5">
        <v>779.79699999999866</v>
      </c>
      <c r="D400" s="5">
        <v>12.99661666666664</v>
      </c>
      <c r="E400" s="5">
        <v>157</v>
      </c>
      <c r="F400" s="5">
        <v>2987786</v>
      </c>
      <c r="G400" s="5">
        <v>444.32</v>
      </c>
      <c r="H400" s="5">
        <v>0.67310000000000003</v>
      </c>
      <c r="I400" s="5">
        <v>2.1716519999999999</v>
      </c>
      <c r="J400" s="5">
        <v>3.6191900000000001</v>
      </c>
      <c r="K400" s="5">
        <v>-3.6430600000000002</v>
      </c>
      <c r="L400" s="5">
        <v>-1.269000000000009E-2</v>
      </c>
      <c r="M400" s="5">
        <v>-0.15228000000000111</v>
      </c>
    </row>
    <row r="401" spans="1:13">
      <c r="A401" t="s">
        <v>3</v>
      </c>
      <c r="B401" s="4">
        <v>46311.638675358794</v>
      </c>
      <c r="C401" s="5">
        <v>784.78100000000268</v>
      </c>
      <c r="D401" s="5">
        <v>13.07968333333338</v>
      </c>
      <c r="E401" s="5">
        <v>158</v>
      </c>
      <c r="F401" s="5">
        <v>2992786</v>
      </c>
      <c r="G401" s="5">
        <v>444.2</v>
      </c>
      <c r="H401" s="5">
        <v>0.54490000000000005</v>
      </c>
      <c r="I401" s="5">
        <v>2.1710660000000002</v>
      </c>
      <c r="J401" s="5">
        <v>3.6226500000000001</v>
      </c>
      <c r="K401" s="5">
        <v>-3.6396000000000002</v>
      </c>
      <c r="L401" s="5">
        <v>3.460000000000019E-3</v>
      </c>
      <c r="M401" s="5">
        <v>4.1653290529661678E-2</v>
      </c>
    </row>
    <row r="402" spans="1:13">
      <c r="A402" t="s">
        <v>3</v>
      </c>
      <c r="B402" s="4">
        <v>46311.638733136577</v>
      </c>
      <c r="C402" s="5">
        <v>789.78100000000268</v>
      </c>
      <c r="D402" s="5">
        <v>13.16301666666671</v>
      </c>
      <c r="E402" s="5">
        <v>159</v>
      </c>
      <c r="F402" s="5">
        <v>2997786</v>
      </c>
      <c r="G402" s="5">
        <v>444.08</v>
      </c>
      <c r="H402" s="5">
        <v>0.5</v>
      </c>
      <c r="I402" s="5">
        <v>2.1704789999999998</v>
      </c>
      <c r="J402" s="5">
        <v>3.6261100000000002</v>
      </c>
      <c r="K402" s="5">
        <v>-3.6361400000000001</v>
      </c>
      <c r="L402" s="5">
        <v>3.460000000000019E-3</v>
      </c>
      <c r="M402" s="5">
        <v>4.1520000000000223E-2</v>
      </c>
    </row>
    <row r="403" spans="1:13">
      <c r="A403" t="s">
        <v>3</v>
      </c>
      <c r="B403" s="4">
        <v>46311.638791087964</v>
      </c>
      <c r="C403" s="5">
        <v>794.78100000000268</v>
      </c>
      <c r="D403" s="5">
        <v>13.24635000000004</v>
      </c>
      <c r="E403" s="5">
        <v>160</v>
      </c>
      <c r="F403" s="5">
        <v>3002785</v>
      </c>
      <c r="G403" s="5">
        <v>444.12</v>
      </c>
      <c r="H403" s="5">
        <v>0.53029999999999999</v>
      </c>
      <c r="I403" s="5">
        <v>2.1706750000000001</v>
      </c>
      <c r="J403" s="5">
        <v>3.6249600000000002</v>
      </c>
      <c r="K403" s="5">
        <v>-3.6372900000000001</v>
      </c>
      <c r="L403" s="5">
        <v>-1.1499999999999839E-3</v>
      </c>
      <c r="M403" s="5">
        <v>-1.3799999999999811E-2</v>
      </c>
    </row>
    <row r="404" spans="1:13">
      <c r="A404" t="s">
        <v>3</v>
      </c>
      <c r="B404" s="4">
        <v>46311.638848854163</v>
      </c>
      <c r="C404" s="5">
        <v>799.78100000000268</v>
      </c>
      <c r="D404" s="5">
        <v>13.32968333333338</v>
      </c>
      <c r="E404" s="5">
        <v>161</v>
      </c>
      <c r="F404" s="5">
        <v>3007785</v>
      </c>
      <c r="G404" s="5">
        <v>444.8</v>
      </c>
      <c r="H404" s="5">
        <v>0.5</v>
      </c>
      <c r="I404" s="5">
        <v>2.1739980000000001</v>
      </c>
      <c r="J404" s="5">
        <v>3.6053500000000001</v>
      </c>
      <c r="K404" s="5">
        <v>-3.6568999999999998</v>
      </c>
      <c r="L404" s="5">
        <v>-1.9610000000000131E-2</v>
      </c>
      <c r="M404" s="5">
        <v>-0.2353200000000015</v>
      </c>
    </row>
    <row r="405" spans="1:13">
      <c r="A405" t="s">
        <v>3</v>
      </c>
      <c r="B405" s="4">
        <v>46311.638906631946</v>
      </c>
      <c r="C405" s="5">
        <v>804.76600000000326</v>
      </c>
      <c r="D405" s="5">
        <v>13.41276666666672</v>
      </c>
      <c r="E405" s="5">
        <v>162</v>
      </c>
      <c r="F405" s="5">
        <v>3012786</v>
      </c>
      <c r="G405" s="5">
        <v>444.36</v>
      </c>
      <c r="H405" s="5">
        <v>0.5</v>
      </c>
      <c r="I405" s="5">
        <v>2.1718470000000001</v>
      </c>
      <c r="J405" s="5">
        <v>3.6180400000000001</v>
      </c>
      <c r="K405" s="5">
        <v>-3.6442100000000002</v>
      </c>
      <c r="L405" s="5">
        <v>1.269000000000009E-2</v>
      </c>
      <c r="M405" s="5">
        <v>0.15273821464391499</v>
      </c>
    </row>
    <row r="406" spans="1:13">
      <c r="A406" t="s">
        <v>3</v>
      </c>
      <c r="B406" s="4">
        <v>46311.638964594909</v>
      </c>
      <c r="C406" s="5">
        <v>809.78100000000268</v>
      </c>
      <c r="D406" s="5">
        <v>13.49635000000004</v>
      </c>
      <c r="E406" s="5">
        <v>163</v>
      </c>
      <c r="F406" s="5">
        <v>3017785</v>
      </c>
      <c r="G406" s="5">
        <v>444.56</v>
      </c>
      <c r="H406" s="5">
        <v>0.57279999999999998</v>
      </c>
      <c r="I406" s="5">
        <v>2.172825</v>
      </c>
      <c r="J406" s="5">
        <v>3.6122700000000001</v>
      </c>
      <c r="K406" s="5">
        <v>-3.6499799999999998</v>
      </c>
      <c r="L406" s="5">
        <v>-5.7700000000000529E-3</v>
      </c>
      <c r="M406" s="5">
        <v>-6.9032901296120316E-2</v>
      </c>
    </row>
    <row r="407" spans="1:13">
      <c r="A407" t="s">
        <v>3</v>
      </c>
      <c r="B407" s="4">
        <v>46311.639022361109</v>
      </c>
      <c r="C407" s="5">
        <v>814.76600000000326</v>
      </c>
      <c r="D407" s="5">
        <v>13.579433333333389</v>
      </c>
      <c r="E407" s="5">
        <v>164</v>
      </c>
      <c r="F407" s="5">
        <v>3022786</v>
      </c>
      <c r="G407" s="5">
        <v>445.16</v>
      </c>
      <c r="H407" s="5">
        <v>0.375</v>
      </c>
      <c r="I407" s="5">
        <v>2.1757580000000001</v>
      </c>
      <c r="J407" s="5">
        <v>3.5949599999999999</v>
      </c>
      <c r="K407" s="5">
        <v>-3.6672899999999999</v>
      </c>
      <c r="L407" s="5">
        <v>-1.7310000000000159E-2</v>
      </c>
      <c r="M407" s="5">
        <v>-0.20834503510529351</v>
      </c>
    </row>
    <row r="408" spans="1:13">
      <c r="A408" t="s">
        <v>3</v>
      </c>
      <c r="B408" s="4">
        <v>46311.63908015046</v>
      </c>
      <c r="C408" s="5">
        <v>819.76600000000326</v>
      </c>
      <c r="D408" s="5">
        <v>13.66276666666672</v>
      </c>
      <c r="E408" s="5">
        <v>165</v>
      </c>
      <c r="F408" s="5">
        <v>3027786</v>
      </c>
      <c r="G408" s="5">
        <v>444.76</v>
      </c>
      <c r="H408" s="5">
        <v>0.57279999999999998</v>
      </c>
      <c r="I408" s="5">
        <v>2.1738029999999999</v>
      </c>
      <c r="J408" s="5">
        <v>3.6065</v>
      </c>
      <c r="K408" s="5">
        <v>-3.6557499999999998</v>
      </c>
      <c r="L408" s="5">
        <v>1.1540000000000109E-2</v>
      </c>
      <c r="M408" s="5">
        <v>0.1384800000000013</v>
      </c>
    </row>
    <row r="409" spans="1:13">
      <c r="A409" t="s">
        <v>3</v>
      </c>
      <c r="B409" s="4">
        <v>46311.639138101855</v>
      </c>
      <c r="C409" s="5">
        <v>824.76600000000326</v>
      </c>
      <c r="D409" s="5">
        <v>13.74610000000005</v>
      </c>
      <c r="E409" s="5">
        <v>166</v>
      </c>
      <c r="F409" s="5">
        <v>3032786</v>
      </c>
      <c r="G409" s="5">
        <v>445.04</v>
      </c>
      <c r="H409" s="5">
        <v>0.33069999999999999</v>
      </c>
      <c r="I409" s="5">
        <v>2.1751710000000002</v>
      </c>
      <c r="J409" s="5">
        <v>3.59842</v>
      </c>
      <c r="K409" s="5">
        <v>-3.6638299999999999</v>
      </c>
      <c r="L409" s="5">
        <v>-8.0800000000000871E-3</v>
      </c>
      <c r="M409" s="5">
        <v>-9.6960000000001045E-2</v>
      </c>
    </row>
    <row r="410" spans="1:13">
      <c r="A410" t="s">
        <v>3</v>
      </c>
      <c r="B410" s="4">
        <v>46311.63919587963</v>
      </c>
      <c r="C410" s="5">
        <v>829.76600000000326</v>
      </c>
      <c r="D410" s="5">
        <v>13.829433333333389</v>
      </c>
      <c r="E410" s="5">
        <v>167</v>
      </c>
      <c r="F410" s="5">
        <v>3037786</v>
      </c>
      <c r="G410" s="5">
        <v>445.08</v>
      </c>
      <c r="H410" s="5">
        <v>0.30620000000000003</v>
      </c>
      <c r="I410" s="5">
        <v>2.1753659999999999</v>
      </c>
      <c r="J410" s="5">
        <v>3.59727</v>
      </c>
      <c r="K410" s="5">
        <v>-3.6649799999999999</v>
      </c>
      <c r="L410" s="5">
        <v>-1.1499999999999839E-3</v>
      </c>
      <c r="M410" s="5">
        <v>-1.3799999999999811E-2</v>
      </c>
    </row>
    <row r="411" spans="1:13">
      <c r="A411" t="s">
        <v>3</v>
      </c>
      <c r="B411" s="4">
        <v>46311.63925364583</v>
      </c>
      <c r="C411" s="5">
        <v>834.75</v>
      </c>
      <c r="D411" s="5">
        <v>13.9125</v>
      </c>
      <c r="E411" s="5">
        <v>168</v>
      </c>
      <c r="F411" s="5">
        <v>3042785</v>
      </c>
      <c r="G411" s="5">
        <v>445.2</v>
      </c>
      <c r="H411" s="5">
        <v>0.39529999999999998</v>
      </c>
      <c r="I411" s="5">
        <v>2.1759529999999998</v>
      </c>
      <c r="J411" s="5">
        <v>3.5938099999999999</v>
      </c>
      <c r="K411" s="5">
        <v>-3.6684399999999999</v>
      </c>
      <c r="L411" s="5">
        <v>-3.460000000000019E-3</v>
      </c>
      <c r="M411" s="5">
        <v>-4.1653290529722477E-2</v>
      </c>
    </row>
    <row r="412" spans="1:13">
      <c r="A412" t="s">
        <v>3</v>
      </c>
      <c r="B412" s="4">
        <v>46311.639311608793</v>
      </c>
      <c r="C412" s="5">
        <v>839.76600000000326</v>
      </c>
      <c r="D412" s="5">
        <v>13.99610000000005</v>
      </c>
      <c r="E412" s="5">
        <v>169</v>
      </c>
      <c r="F412" s="5">
        <v>3047786</v>
      </c>
      <c r="G412" s="5">
        <v>445.04</v>
      </c>
      <c r="H412" s="5">
        <v>0.51539999999999997</v>
      </c>
      <c r="I412" s="5">
        <v>2.1751710000000002</v>
      </c>
      <c r="J412" s="5">
        <v>3.59842</v>
      </c>
      <c r="K412" s="5">
        <v>-3.6638299999999999</v>
      </c>
      <c r="L412" s="5">
        <v>4.610000000000003E-3</v>
      </c>
      <c r="M412" s="5">
        <v>5.5143540669820662E-2</v>
      </c>
    </row>
    <row r="413" spans="1:13">
      <c r="A413" t="s">
        <v>3</v>
      </c>
      <c r="B413" s="4">
        <v>46311.639369386576</v>
      </c>
      <c r="C413" s="5">
        <v>844.75</v>
      </c>
      <c r="D413" s="5">
        <v>14.079166666666669</v>
      </c>
      <c r="E413" s="5">
        <v>170</v>
      </c>
      <c r="F413" s="5">
        <v>3052786</v>
      </c>
      <c r="G413" s="5">
        <v>445.2</v>
      </c>
      <c r="H413" s="5">
        <v>0.55900000000000005</v>
      </c>
      <c r="I413" s="5">
        <v>2.1759529999999998</v>
      </c>
      <c r="J413" s="5">
        <v>3.5938099999999999</v>
      </c>
      <c r="K413" s="5">
        <v>-3.6684399999999999</v>
      </c>
      <c r="L413" s="5">
        <v>-4.610000000000003E-3</v>
      </c>
      <c r="M413" s="5">
        <v>-5.5497592295381433E-2</v>
      </c>
    </row>
    <row r="414" spans="1:13">
      <c r="A414" t="s">
        <v>3</v>
      </c>
      <c r="B414" s="4">
        <v>46311.639427152775</v>
      </c>
      <c r="C414" s="5">
        <v>849.73400000000402</v>
      </c>
      <c r="D414" s="5">
        <v>14.162233333333401</v>
      </c>
      <c r="E414" s="5">
        <v>171</v>
      </c>
      <c r="F414" s="5">
        <v>3057786</v>
      </c>
      <c r="G414" s="5">
        <v>445.16</v>
      </c>
      <c r="H414" s="5">
        <v>0.375</v>
      </c>
      <c r="I414" s="5">
        <v>2.1757580000000001</v>
      </c>
      <c r="J414" s="5">
        <v>3.5949599999999999</v>
      </c>
      <c r="K414" s="5">
        <v>-3.6672899999999999</v>
      </c>
      <c r="L414" s="5">
        <v>1.1499999999999839E-3</v>
      </c>
      <c r="M414" s="5">
        <v>1.3844301765638729E-2</v>
      </c>
    </row>
    <row r="415" spans="1:13">
      <c r="A415" t="s">
        <v>3</v>
      </c>
      <c r="B415" s="4">
        <v>46311.639485115738</v>
      </c>
      <c r="C415" s="5">
        <v>854.75</v>
      </c>
      <c r="D415" s="5">
        <v>14.24583333333333</v>
      </c>
      <c r="E415" s="5">
        <v>172</v>
      </c>
      <c r="F415" s="5">
        <v>3062786</v>
      </c>
      <c r="G415" s="5">
        <v>445.32</v>
      </c>
      <c r="H415" s="5">
        <v>0.4677</v>
      </c>
      <c r="I415" s="5">
        <v>2.1765400000000001</v>
      </c>
      <c r="J415" s="5">
        <v>3.5903499999999999</v>
      </c>
      <c r="K415" s="5">
        <v>-3.6718999999999999</v>
      </c>
      <c r="L415" s="5">
        <v>-4.610000000000003E-3</v>
      </c>
      <c r="M415" s="5">
        <v>-5.5143540669900647E-2</v>
      </c>
    </row>
    <row r="416" spans="1:13">
      <c r="A416" t="s">
        <v>3</v>
      </c>
      <c r="B416" s="4">
        <v>46311.639542881945</v>
      </c>
      <c r="C416" s="5">
        <v>859.73400000000402</v>
      </c>
      <c r="D416" s="5">
        <v>14.32890000000007</v>
      </c>
      <c r="E416" s="5">
        <v>173</v>
      </c>
      <c r="F416" s="5">
        <v>3067786</v>
      </c>
      <c r="G416" s="5">
        <v>445.28</v>
      </c>
      <c r="H416" s="5">
        <v>0.45069999999999999</v>
      </c>
      <c r="I416" s="5">
        <v>2.1763439999999998</v>
      </c>
      <c r="J416" s="5">
        <v>3.5914999999999999</v>
      </c>
      <c r="K416" s="5">
        <v>-3.67075</v>
      </c>
      <c r="L416" s="5">
        <v>1.1499999999999839E-3</v>
      </c>
      <c r="M416" s="5">
        <v>1.3844301765638729E-2</v>
      </c>
    </row>
    <row r="417" spans="1:13">
      <c r="A417" t="s">
        <v>3</v>
      </c>
      <c r="B417" s="4">
        <v>46311.639600659721</v>
      </c>
      <c r="C417" s="5">
        <v>864.73400000000402</v>
      </c>
      <c r="D417" s="5">
        <v>14.412233333333401</v>
      </c>
      <c r="E417" s="5">
        <v>174</v>
      </c>
      <c r="F417" s="5">
        <v>3072786</v>
      </c>
      <c r="G417" s="5">
        <v>445.32</v>
      </c>
      <c r="H417" s="5">
        <v>0.54490000000000005</v>
      </c>
      <c r="I417" s="5">
        <v>2.1765400000000001</v>
      </c>
      <c r="J417" s="5">
        <v>3.5903499999999999</v>
      </c>
      <c r="K417" s="5">
        <v>-3.6718999999999999</v>
      </c>
      <c r="L417" s="5">
        <v>-1.1499999999999839E-3</v>
      </c>
      <c r="M417" s="5">
        <v>-1.3799999999999811E-2</v>
      </c>
    </row>
    <row r="418" spans="1:13">
      <c r="A418" t="s">
        <v>3</v>
      </c>
      <c r="B418" s="4">
        <v>46311.639658611108</v>
      </c>
      <c r="C418" s="5">
        <v>869.73400000000402</v>
      </c>
      <c r="D418" s="5">
        <v>14.495566666666731</v>
      </c>
      <c r="E418" s="5">
        <v>175</v>
      </c>
      <c r="F418" s="5">
        <v>3077785</v>
      </c>
      <c r="G418" s="5">
        <v>445.8</v>
      </c>
      <c r="H418" s="5">
        <v>0.41460000000000002</v>
      </c>
      <c r="I418" s="5">
        <v>2.1788859999999999</v>
      </c>
      <c r="J418" s="5">
        <v>3.5765099999999999</v>
      </c>
      <c r="K418" s="5">
        <v>-3.68574</v>
      </c>
      <c r="L418" s="5">
        <v>-1.3840000000000069E-2</v>
      </c>
      <c r="M418" s="5">
        <v>-0.16608000000000089</v>
      </c>
    </row>
    <row r="419" spans="1:13">
      <c r="A419" t="s">
        <v>3</v>
      </c>
      <c r="B419" s="4">
        <v>46311.639716388891</v>
      </c>
      <c r="C419" s="5">
        <v>874.73400000000402</v>
      </c>
      <c r="D419" s="5">
        <v>14.57890000000007</v>
      </c>
      <c r="E419" s="5">
        <v>176</v>
      </c>
      <c r="F419" s="5">
        <v>3082785</v>
      </c>
      <c r="G419" s="5">
        <v>445.8</v>
      </c>
      <c r="H419" s="5">
        <v>0.57279999999999998</v>
      </c>
      <c r="I419" s="5">
        <v>2.1788859999999999</v>
      </c>
      <c r="J419" s="5">
        <v>3.5765099999999999</v>
      </c>
      <c r="K419" s="5">
        <v>-3.68574</v>
      </c>
      <c r="L419" s="5">
        <v>0</v>
      </c>
      <c r="M419" s="5">
        <v>0</v>
      </c>
    </row>
    <row r="420" spans="1:13">
      <c r="A420" t="s">
        <v>3</v>
      </c>
      <c r="B420" s="4">
        <v>46311.639774166666</v>
      </c>
      <c r="C420" s="5">
        <v>879.7190000000046</v>
      </c>
      <c r="D420" s="5">
        <v>14.66198333333341</v>
      </c>
      <c r="E420" s="5">
        <v>177</v>
      </c>
      <c r="F420" s="5">
        <v>3087785</v>
      </c>
      <c r="G420" s="5">
        <v>446.08</v>
      </c>
      <c r="H420" s="5">
        <v>0.48409999999999997</v>
      </c>
      <c r="I420" s="5">
        <v>2.1802540000000001</v>
      </c>
      <c r="J420" s="5">
        <v>3.5684300000000002</v>
      </c>
      <c r="K420" s="5">
        <v>-3.6938200000000001</v>
      </c>
      <c r="L420" s="5">
        <v>-8.079999999999643E-3</v>
      </c>
      <c r="M420" s="5">
        <v>-9.7251755265781753E-2</v>
      </c>
    </row>
    <row r="421" spans="1:13">
      <c r="A421" t="s">
        <v>3</v>
      </c>
      <c r="B421" s="4">
        <v>46311.639832129629</v>
      </c>
      <c r="C421" s="5">
        <v>884.73400000000402</v>
      </c>
      <c r="D421" s="5">
        <v>14.745566666666731</v>
      </c>
      <c r="E421" s="5">
        <v>178</v>
      </c>
      <c r="F421" s="5">
        <v>3092786</v>
      </c>
      <c r="G421" s="5">
        <v>445.8</v>
      </c>
      <c r="H421" s="5">
        <v>0.5</v>
      </c>
      <c r="I421" s="5">
        <v>2.1788859999999999</v>
      </c>
      <c r="J421" s="5">
        <v>3.5765099999999999</v>
      </c>
      <c r="K421" s="5">
        <v>-3.68574</v>
      </c>
      <c r="L421" s="5">
        <v>8.079999999999643E-3</v>
      </c>
      <c r="M421" s="5">
        <v>9.6669990029917219E-2</v>
      </c>
    </row>
    <row r="422" spans="1:13">
      <c r="A422" t="s">
        <v>3</v>
      </c>
      <c r="B422" s="4">
        <v>46311.639889907405</v>
      </c>
      <c r="C422" s="5">
        <v>889.7190000000046</v>
      </c>
      <c r="D422" s="5">
        <v>14.82865000000008</v>
      </c>
      <c r="E422" s="5">
        <v>179</v>
      </c>
      <c r="F422" s="5">
        <v>3097786</v>
      </c>
      <c r="G422" s="5">
        <v>445.96</v>
      </c>
      <c r="H422" s="5">
        <v>0.61240000000000006</v>
      </c>
      <c r="I422" s="5">
        <v>2.1796679999999999</v>
      </c>
      <c r="J422" s="5">
        <v>3.5718899999999998</v>
      </c>
      <c r="K422" s="5">
        <v>-3.6903600000000001</v>
      </c>
      <c r="L422" s="5">
        <v>-4.6200000000000676E-3</v>
      </c>
      <c r="M422" s="5">
        <v>-5.5606820461378492E-2</v>
      </c>
    </row>
    <row r="423" spans="1:13">
      <c r="A423" t="s">
        <v>3</v>
      </c>
      <c r="B423" s="4">
        <v>46311.639947673611</v>
      </c>
      <c r="C423" s="5">
        <v>894.7190000000046</v>
      </c>
      <c r="D423" s="5">
        <v>14.91198333333341</v>
      </c>
      <c r="E423" s="5">
        <v>180</v>
      </c>
      <c r="F423" s="5">
        <v>3102786</v>
      </c>
      <c r="G423" s="5">
        <v>446.48</v>
      </c>
      <c r="H423" s="5">
        <v>0.48409999999999997</v>
      </c>
      <c r="I423" s="5">
        <v>2.1822089999999998</v>
      </c>
      <c r="J423" s="5">
        <v>3.5568900000000001</v>
      </c>
      <c r="K423" s="5">
        <v>-3.7053600000000002</v>
      </c>
      <c r="L423" s="5">
        <v>-1.499999999999968E-2</v>
      </c>
      <c r="M423" s="5">
        <v>-0.17999999999999619</v>
      </c>
    </row>
    <row r="424" spans="1:13">
      <c r="A424" t="s">
        <v>3</v>
      </c>
      <c r="B424" s="4">
        <v>46311.640005624999</v>
      </c>
      <c r="C424" s="5">
        <v>899.7190000000046</v>
      </c>
      <c r="D424" s="5">
        <v>14.99531666666674</v>
      </c>
      <c r="E424" s="5">
        <v>181</v>
      </c>
      <c r="F424" s="5">
        <v>3107786</v>
      </c>
      <c r="G424" s="5">
        <v>446.16</v>
      </c>
      <c r="H424" s="5">
        <v>0.45069999999999999</v>
      </c>
      <c r="I424" s="5">
        <v>2.1806450000000002</v>
      </c>
      <c r="J424" s="5">
        <v>3.5661200000000002</v>
      </c>
      <c r="K424" s="5">
        <v>-3.6961300000000001</v>
      </c>
      <c r="L424" s="5">
        <v>9.2300000000000715E-3</v>
      </c>
      <c r="M424" s="5">
        <v>0.1107600000000009</v>
      </c>
    </row>
    <row r="425" spans="1:13">
      <c r="A425" t="s">
        <v>3</v>
      </c>
      <c r="B425" s="4">
        <v>46311.64006341435</v>
      </c>
      <c r="C425" s="5">
        <v>904.7190000000046</v>
      </c>
      <c r="D425" s="5">
        <v>15.07865000000008</v>
      </c>
      <c r="E425" s="5">
        <v>182</v>
      </c>
      <c r="F425" s="5">
        <v>3112786</v>
      </c>
      <c r="G425" s="5">
        <v>446.04</v>
      </c>
      <c r="H425" s="5">
        <v>0.433</v>
      </c>
      <c r="I425" s="5">
        <v>2.180059</v>
      </c>
      <c r="J425" s="5">
        <v>3.5695800000000002</v>
      </c>
      <c r="K425" s="5">
        <v>-3.6926700000000001</v>
      </c>
      <c r="L425" s="5">
        <v>3.460000000000019E-3</v>
      </c>
      <c r="M425" s="5">
        <v>4.1520000000000223E-2</v>
      </c>
    </row>
    <row r="426" spans="1:13">
      <c r="A426" t="s">
        <v>3</v>
      </c>
      <c r="B426" s="4">
        <v>46311.640121180557</v>
      </c>
      <c r="C426" s="5">
        <v>909.70300000000134</v>
      </c>
      <c r="D426" s="5">
        <v>15.16171666666669</v>
      </c>
      <c r="E426" s="5">
        <v>183</v>
      </c>
      <c r="F426" s="5">
        <v>3117786</v>
      </c>
      <c r="G426" s="5">
        <v>446.28</v>
      </c>
      <c r="H426" s="5">
        <v>0.59950000000000003</v>
      </c>
      <c r="I426" s="5">
        <v>2.1812309999999999</v>
      </c>
      <c r="J426" s="5">
        <v>3.5626600000000002</v>
      </c>
      <c r="K426" s="5">
        <v>-3.6995900000000002</v>
      </c>
      <c r="L426" s="5">
        <v>-6.9200000000000372E-3</v>
      </c>
      <c r="M426" s="5">
        <v>-8.3306581059444967E-2</v>
      </c>
    </row>
    <row r="427" spans="1:13">
      <c r="A427" t="s">
        <v>3</v>
      </c>
      <c r="B427" s="4">
        <v>46311.64017914352</v>
      </c>
      <c r="C427" s="5">
        <v>914.7190000000046</v>
      </c>
      <c r="D427" s="5">
        <v>15.24531666666674</v>
      </c>
      <c r="E427" s="5">
        <v>184</v>
      </c>
      <c r="F427" s="5">
        <v>3122785</v>
      </c>
      <c r="G427" s="5">
        <v>446.2</v>
      </c>
      <c r="H427" s="5">
        <v>0.55900000000000005</v>
      </c>
      <c r="I427" s="5">
        <v>2.180841</v>
      </c>
      <c r="J427" s="5">
        <v>3.5649700000000002</v>
      </c>
      <c r="K427" s="5">
        <v>-3.6972800000000001</v>
      </c>
      <c r="L427" s="5">
        <v>2.3100000000000338E-3</v>
      </c>
      <c r="M427" s="5">
        <v>2.7631578947350879E-2</v>
      </c>
    </row>
    <row r="428" spans="1:13">
      <c r="A428" t="s">
        <v>3</v>
      </c>
      <c r="B428" s="4">
        <v>46311.64023690972</v>
      </c>
      <c r="C428" s="5">
        <v>919.70300000000134</v>
      </c>
      <c r="D428" s="5">
        <v>15.32838333333336</v>
      </c>
      <c r="E428" s="5">
        <v>185</v>
      </c>
      <c r="F428" s="5">
        <v>3127786</v>
      </c>
      <c r="G428" s="5">
        <v>446.52</v>
      </c>
      <c r="H428" s="5">
        <v>0.51539999999999997</v>
      </c>
      <c r="I428" s="5">
        <v>2.182404</v>
      </c>
      <c r="J428" s="5">
        <v>3.5557400000000001</v>
      </c>
      <c r="K428" s="5">
        <v>-3.7065100000000002</v>
      </c>
      <c r="L428" s="5">
        <v>-9.2300000000000715E-3</v>
      </c>
      <c r="M428" s="5">
        <v>-0.11111556982350849</v>
      </c>
    </row>
    <row r="429" spans="1:13">
      <c r="A429" t="s">
        <v>3</v>
      </c>
      <c r="B429" s="4">
        <v>46311.640294699071</v>
      </c>
      <c r="C429" s="5">
        <v>924.70300000000134</v>
      </c>
      <c r="D429" s="5">
        <v>15.41171666666669</v>
      </c>
      <c r="E429" s="5">
        <v>186</v>
      </c>
      <c r="F429" s="5">
        <v>3132786</v>
      </c>
      <c r="G429" s="5">
        <v>446.44</v>
      </c>
      <c r="H429" s="5">
        <v>0.5</v>
      </c>
      <c r="I429" s="5">
        <v>2.1820140000000001</v>
      </c>
      <c r="J429" s="5">
        <v>3.5580500000000002</v>
      </c>
      <c r="K429" s="5">
        <v>-3.7042000000000002</v>
      </c>
      <c r="L429" s="5">
        <v>2.3100000000000338E-3</v>
      </c>
      <c r="M429" s="5">
        <v>2.7720000000000411E-2</v>
      </c>
    </row>
    <row r="430" spans="1:13">
      <c r="A430" t="s">
        <v>3</v>
      </c>
      <c r="B430" s="4">
        <v>46311.640352650466</v>
      </c>
      <c r="C430" s="5">
        <v>929.70300000000134</v>
      </c>
      <c r="D430" s="5">
        <v>15.49505000000002</v>
      </c>
      <c r="E430" s="5">
        <v>187</v>
      </c>
      <c r="F430" s="5">
        <v>3137785</v>
      </c>
      <c r="G430" s="5">
        <v>446.6</v>
      </c>
      <c r="H430" s="5">
        <v>0.55900000000000005</v>
      </c>
      <c r="I430" s="5">
        <v>2.1827960000000002</v>
      </c>
      <c r="J430" s="5">
        <v>3.5534300000000001</v>
      </c>
      <c r="K430" s="5">
        <v>-3.7088199999999998</v>
      </c>
      <c r="L430" s="5">
        <v>-4.6200000000000676E-3</v>
      </c>
      <c r="M430" s="5">
        <v>-5.5440000000000822E-2</v>
      </c>
    </row>
    <row r="431" spans="1:13">
      <c r="A431" t="s">
        <v>3</v>
      </c>
      <c r="B431" s="4">
        <v>46311.640410428241</v>
      </c>
      <c r="C431" s="5">
        <v>934.70300000000134</v>
      </c>
      <c r="D431" s="5">
        <v>15.57838333333336</v>
      </c>
      <c r="E431" s="5">
        <v>188</v>
      </c>
      <c r="F431" s="5">
        <v>3142785</v>
      </c>
      <c r="G431" s="5">
        <v>446.56</v>
      </c>
      <c r="H431" s="5">
        <v>0.5</v>
      </c>
      <c r="I431" s="5">
        <v>2.1825999999999999</v>
      </c>
      <c r="J431" s="5">
        <v>3.5545900000000001</v>
      </c>
      <c r="K431" s="5">
        <v>-3.7076600000000002</v>
      </c>
      <c r="L431" s="5">
        <v>1.1600000000000501E-3</v>
      </c>
      <c r="M431" s="5">
        <v>1.39200000000006E-2</v>
      </c>
    </row>
    <row r="432" spans="1:13">
      <c r="A432" t="s">
        <v>3</v>
      </c>
      <c r="B432" s="4">
        <v>46311.640468206017</v>
      </c>
      <c r="C432" s="5">
        <v>939.68800000000192</v>
      </c>
      <c r="D432" s="5">
        <v>15.6614666666667</v>
      </c>
      <c r="E432" s="5">
        <v>189</v>
      </c>
      <c r="F432" s="5">
        <v>3147786</v>
      </c>
      <c r="G432" s="5">
        <v>446.56</v>
      </c>
      <c r="H432" s="5">
        <v>0.5</v>
      </c>
      <c r="I432" s="5">
        <v>2.1825999999999999</v>
      </c>
      <c r="J432" s="5">
        <v>3.5545900000000001</v>
      </c>
      <c r="K432" s="5">
        <v>-3.7076600000000002</v>
      </c>
      <c r="L432" s="5">
        <v>0</v>
      </c>
      <c r="M432" s="5">
        <v>0</v>
      </c>
    </row>
    <row r="433" spans="1:13">
      <c r="A433" t="s">
        <v>3</v>
      </c>
      <c r="B433" s="4">
        <v>46311.640525972223</v>
      </c>
      <c r="C433" s="5">
        <v>944.67199999999866</v>
      </c>
      <c r="D433" s="5">
        <v>15.74453333333331</v>
      </c>
      <c r="E433" s="5">
        <v>190</v>
      </c>
      <c r="F433" s="5">
        <v>3152786</v>
      </c>
      <c r="G433" s="5">
        <v>446.84</v>
      </c>
      <c r="H433" s="5">
        <v>0.54490000000000005</v>
      </c>
      <c r="I433" s="5">
        <v>2.1839689999999998</v>
      </c>
      <c r="J433" s="5">
        <v>3.5465100000000001</v>
      </c>
      <c r="K433" s="5">
        <v>-3.7157399999999998</v>
      </c>
      <c r="L433" s="5">
        <v>-8.0800000000000871E-3</v>
      </c>
      <c r="M433" s="5">
        <v>-9.7271268057849566E-2</v>
      </c>
    </row>
    <row r="434" spans="1:13">
      <c r="A434" t="s">
        <v>3</v>
      </c>
      <c r="B434" s="4">
        <v>46311.640583935186</v>
      </c>
      <c r="C434" s="5">
        <v>949.68800000000192</v>
      </c>
      <c r="D434" s="5">
        <v>15.828133333333369</v>
      </c>
      <c r="E434" s="5">
        <v>191</v>
      </c>
      <c r="F434" s="5">
        <v>3157786</v>
      </c>
      <c r="G434" s="5">
        <v>446.84</v>
      </c>
      <c r="H434" s="5">
        <v>0.4677</v>
      </c>
      <c r="I434" s="5">
        <v>2.1839689999999998</v>
      </c>
      <c r="J434" s="5">
        <v>3.5465100000000001</v>
      </c>
      <c r="K434" s="5">
        <v>-3.7157399999999998</v>
      </c>
      <c r="L434" s="5">
        <v>0</v>
      </c>
      <c r="M434" s="5">
        <v>0</v>
      </c>
    </row>
    <row r="435" spans="1:13">
      <c r="A435" t="s">
        <v>3</v>
      </c>
      <c r="B435" s="4">
        <v>46311.640641712962</v>
      </c>
      <c r="C435" s="5">
        <v>954.67199999999866</v>
      </c>
      <c r="D435" s="5">
        <v>15.91119999999998</v>
      </c>
      <c r="E435" s="5">
        <v>192</v>
      </c>
      <c r="F435" s="5">
        <v>3162786</v>
      </c>
      <c r="G435" s="5">
        <v>446.88</v>
      </c>
      <c r="H435" s="5">
        <v>0.433</v>
      </c>
      <c r="I435" s="5">
        <v>2.184164</v>
      </c>
      <c r="J435" s="5">
        <v>3.5453600000000001</v>
      </c>
      <c r="K435" s="5">
        <v>-3.7168899999999998</v>
      </c>
      <c r="L435" s="5">
        <v>-1.1499999999999839E-3</v>
      </c>
      <c r="M435" s="5">
        <v>-1.3844301765658949E-2</v>
      </c>
    </row>
    <row r="436" spans="1:13">
      <c r="A436" t="s">
        <v>3</v>
      </c>
      <c r="B436" s="4">
        <v>46311.640699467593</v>
      </c>
      <c r="C436" s="5">
        <v>959.67199999999866</v>
      </c>
      <c r="D436" s="5">
        <v>15.99453333333331</v>
      </c>
      <c r="E436" s="5">
        <v>193</v>
      </c>
      <c r="F436" s="5">
        <v>3167785</v>
      </c>
      <c r="G436" s="5">
        <v>447.16</v>
      </c>
      <c r="H436" s="5">
        <v>0.375</v>
      </c>
      <c r="I436" s="5">
        <v>2.1855329999999999</v>
      </c>
      <c r="J436" s="5">
        <v>3.53728</v>
      </c>
      <c r="K436" s="5">
        <v>-3.7249699999999999</v>
      </c>
      <c r="L436" s="5">
        <v>-8.0800000000000871E-3</v>
      </c>
      <c r="M436" s="5">
        <v>-9.6960000000001045E-2</v>
      </c>
    </row>
    <row r="437" spans="1:13">
      <c r="A437" t="s">
        <v>3</v>
      </c>
      <c r="B437" s="4">
        <v>46311.640757430556</v>
      </c>
      <c r="C437" s="5">
        <v>964.67199999999866</v>
      </c>
      <c r="D437" s="5">
        <v>16.07786666666664</v>
      </c>
      <c r="E437" s="5">
        <v>194</v>
      </c>
      <c r="F437" s="5">
        <v>3172786</v>
      </c>
      <c r="G437" s="5">
        <v>446.96</v>
      </c>
      <c r="H437" s="5">
        <v>0.53029999999999999</v>
      </c>
      <c r="I437" s="5">
        <v>2.184555</v>
      </c>
      <c r="J437" s="5">
        <v>3.54305</v>
      </c>
      <c r="K437" s="5">
        <v>-3.7191999999999998</v>
      </c>
      <c r="L437" s="5">
        <v>5.7700000000000529E-3</v>
      </c>
      <c r="M437" s="5">
        <v>6.9240000000000634E-2</v>
      </c>
    </row>
    <row r="438" spans="1:13">
      <c r="A438" t="s">
        <v>3</v>
      </c>
      <c r="B438" s="4">
        <v>46311.640815219907</v>
      </c>
      <c r="C438" s="5">
        <v>969.67199999999866</v>
      </c>
      <c r="D438" s="5">
        <v>16.16119999999998</v>
      </c>
      <c r="E438" s="5">
        <v>195</v>
      </c>
      <c r="F438" s="5">
        <v>3177786</v>
      </c>
      <c r="G438" s="5">
        <v>447.04</v>
      </c>
      <c r="H438" s="5">
        <v>0.59950000000000003</v>
      </c>
      <c r="I438" s="5">
        <v>2.1849460000000001</v>
      </c>
      <c r="J438" s="5">
        <v>3.54074</v>
      </c>
      <c r="K438" s="5">
        <v>-3.7215099999999999</v>
      </c>
      <c r="L438" s="5">
        <v>-2.3100000000000338E-3</v>
      </c>
      <c r="M438" s="5">
        <v>-2.7720000000000411E-2</v>
      </c>
    </row>
    <row r="439" spans="1:13">
      <c r="A439" t="s">
        <v>3</v>
      </c>
      <c r="B439" s="4">
        <v>46311.640872986114</v>
      </c>
      <c r="C439" s="5">
        <v>974.65600000000268</v>
      </c>
      <c r="D439" s="5">
        <v>16.244266666666711</v>
      </c>
      <c r="E439" s="5">
        <v>196</v>
      </c>
      <c r="F439" s="5">
        <v>3182786</v>
      </c>
      <c r="G439" s="5">
        <v>447.48</v>
      </c>
      <c r="H439" s="5">
        <v>0.48409999999999997</v>
      </c>
      <c r="I439" s="5">
        <v>2.1870970000000001</v>
      </c>
      <c r="J439" s="5">
        <v>3.5280499999999999</v>
      </c>
      <c r="K439" s="5">
        <v>-3.7342</v>
      </c>
      <c r="L439" s="5">
        <v>-1.269000000000009E-2</v>
      </c>
      <c r="M439" s="5">
        <v>-0.15276886035300799</v>
      </c>
    </row>
    <row r="440" spans="1:13">
      <c r="A440" t="s">
        <v>3</v>
      </c>
      <c r="B440" s="4">
        <v>46311.640930937501</v>
      </c>
      <c r="C440" s="5">
        <v>979.67199999999866</v>
      </c>
      <c r="D440" s="5">
        <v>16.32786666666664</v>
      </c>
      <c r="E440" s="5">
        <v>197</v>
      </c>
      <c r="F440" s="5">
        <v>3187786</v>
      </c>
      <c r="G440" s="5">
        <v>447.12</v>
      </c>
      <c r="H440" s="5">
        <v>0.51539999999999997</v>
      </c>
      <c r="I440" s="5">
        <v>2.1853370000000001</v>
      </c>
      <c r="J440" s="5">
        <v>3.53844</v>
      </c>
      <c r="K440" s="5">
        <v>-3.7238099999999998</v>
      </c>
      <c r="L440" s="5">
        <v>1.039000000000012E-2</v>
      </c>
      <c r="M440" s="5">
        <v>0.1242822966508187</v>
      </c>
    </row>
    <row r="441" spans="1:13">
      <c r="A441" t="s">
        <v>3</v>
      </c>
      <c r="B441" s="4">
        <v>46311.640988726853</v>
      </c>
      <c r="C441" s="5">
        <v>984.65600000000268</v>
      </c>
      <c r="D441" s="5">
        <v>16.410933333333379</v>
      </c>
      <c r="E441" s="5">
        <v>198</v>
      </c>
      <c r="F441" s="5">
        <v>3192786</v>
      </c>
      <c r="G441" s="5">
        <v>447.36</v>
      </c>
      <c r="H441" s="5">
        <v>0.63739999999999997</v>
      </c>
      <c r="I441" s="5">
        <v>2.1865100000000002</v>
      </c>
      <c r="J441" s="5">
        <v>3.53152</v>
      </c>
      <c r="K441" s="5">
        <v>-3.7307299999999999</v>
      </c>
      <c r="L441" s="5">
        <v>-6.9200000000000372E-3</v>
      </c>
      <c r="M441" s="5">
        <v>-8.3306581059323356E-2</v>
      </c>
    </row>
    <row r="442" spans="1:13">
      <c r="A442" t="s">
        <v>3</v>
      </c>
      <c r="B442" s="4">
        <v>46311.641046493052</v>
      </c>
      <c r="C442" s="5">
        <v>989.65600000000268</v>
      </c>
      <c r="D442" s="5">
        <v>16.494266666666711</v>
      </c>
      <c r="E442" s="5">
        <v>199</v>
      </c>
      <c r="F442" s="5">
        <v>3197786</v>
      </c>
      <c r="G442" s="5">
        <v>447.28</v>
      </c>
      <c r="H442" s="5">
        <v>0.45069999999999999</v>
      </c>
      <c r="I442" s="5">
        <v>2.1861190000000001</v>
      </c>
      <c r="J442" s="5">
        <v>3.53382</v>
      </c>
      <c r="K442" s="5">
        <v>-3.7284299999999999</v>
      </c>
      <c r="L442" s="5">
        <v>2.2999999999999692E-3</v>
      </c>
      <c r="M442" s="5">
        <v>2.7599999999999621E-2</v>
      </c>
    </row>
    <row r="443" spans="1:13">
      <c r="A443" t="s">
        <v>3</v>
      </c>
      <c r="B443" s="4">
        <v>46311.641104456015</v>
      </c>
      <c r="C443" s="5">
        <v>994.65600000000268</v>
      </c>
      <c r="D443" s="5">
        <v>16.577600000000039</v>
      </c>
      <c r="E443" s="5">
        <v>200</v>
      </c>
      <c r="F443" s="5">
        <v>3202785</v>
      </c>
      <c r="G443" s="5">
        <v>447.68</v>
      </c>
      <c r="H443" s="5">
        <v>0.55900000000000005</v>
      </c>
      <c r="I443" s="5">
        <v>2.1880739999999999</v>
      </c>
      <c r="J443" s="5">
        <v>3.5222899999999999</v>
      </c>
      <c r="K443" s="5">
        <v>-3.73996</v>
      </c>
      <c r="L443" s="5">
        <v>-1.153000000000004E-2</v>
      </c>
      <c r="M443" s="5">
        <v>-0.13836000000000051</v>
      </c>
    </row>
    <row r="444" spans="1:13">
      <c r="A444" t="s">
        <v>3</v>
      </c>
      <c r="B444" s="4">
        <v>46311.641162233798</v>
      </c>
      <c r="C444" s="5">
        <v>999.65600000000268</v>
      </c>
      <c r="D444" s="5">
        <v>16.660933333333379</v>
      </c>
      <c r="E444" s="5">
        <v>201</v>
      </c>
      <c r="F444" s="5">
        <v>3207786</v>
      </c>
      <c r="G444" s="5">
        <v>447.88</v>
      </c>
      <c r="H444" s="5">
        <v>0.51539999999999997</v>
      </c>
      <c r="I444" s="5">
        <v>2.1890520000000002</v>
      </c>
      <c r="J444" s="5">
        <v>3.5165199999999999</v>
      </c>
      <c r="K444" s="5">
        <v>-3.74573</v>
      </c>
      <c r="L444" s="5">
        <v>-5.7700000000000529E-3</v>
      </c>
      <c r="M444" s="5">
        <v>-6.9240000000000634E-2</v>
      </c>
    </row>
    <row r="445" spans="1:13">
      <c r="A445" t="s">
        <v>3</v>
      </c>
      <c r="B445" s="4">
        <v>46311.641219999998</v>
      </c>
      <c r="C445" s="5">
        <v>1004.641000000003</v>
      </c>
      <c r="D445" s="5">
        <v>16.74401666666672</v>
      </c>
      <c r="E445" s="5">
        <v>202</v>
      </c>
      <c r="F445" s="5">
        <v>3212786</v>
      </c>
      <c r="G445" s="5">
        <v>447.56</v>
      </c>
      <c r="H445" s="5">
        <v>0.5</v>
      </c>
      <c r="I445" s="5">
        <v>2.1874880000000001</v>
      </c>
      <c r="J445" s="5">
        <v>3.5257499999999999</v>
      </c>
      <c r="K445" s="5">
        <v>-3.7364999999999999</v>
      </c>
      <c r="L445" s="5">
        <v>9.2300000000000715E-3</v>
      </c>
      <c r="M445" s="5">
        <v>0.1110932798395065</v>
      </c>
    </row>
    <row r="446" spans="1:13">
      <c r="A446" t="s">
        <v>3</v>
      </c>
      <c r="B446" s="4">
        <v>46311.641277962961</v>
      </c>
      <c r="C446" s="5">
        <v>1009.656000000003</v>
      </c>
      <c r="D446" s="5">
        <v>16.827600000000039</v>
      </c>
      <c r="E446" s="5">
        <v>203</v>
      </c>
      <c r="F446" s="5">
        <v>3217786</v>
      </c>
      <c r="G446" s="5">
        <v>447.88</v>
      </c>
      <c r="H446" s="5">
        <v>0.30620000000000003</v>
      </c>
      <c r="I446" s="5">
        <v>2.1890520000000002</v>
      </c>
      <c r="J446" s="5">
        <v>3.5165199999999999</v>
      </c>
      <c r="K446" s="5">
        <v>-3.74573</v>
      </c>
      <c r="L446" s="5">
        <v>-9.2300000000000715E-3</v>
      </c>
      <c r="M446" s="5">
        <v>-0.1104287138584384</v>
      </c>
    </row>
    <row r="447" spans="1:13">
      <c r="A447" t="s">
        <v>3</v>
      </c>
      <c r="B447" s="4">
        <v>46311.641335729168</v>
      </c>
      <c r="C447" s="5">
        <v>1014.641000000003</v>
      </c>
      <c r="D447" s="5">
        <v>16.910683333333392</v>
      </c>
      <c r="E447" s="5">
        <v>204</v>
      </c>
      <c r="F447" s="5">
        <v>3222786</v>
      </c>
      <c r="G447" s="5">
        <v>447.8</v>
      </c>
      <c r="H447" s="5">
        <v>0.41460000000000002</v>
      </c>
      <c r="I447" s="5">
        <v>2.1886610000000002</v>
      </c>
      <c r="J447" s="5">
        <v>3.5188299999999999</v>
      </c>
      <c r="K447" s="5">
        <v>-3.74342</v>
      </c>
      <c r="L447" s="5">
        <v>2.3100000000000338E-3</v>
      </c>
      <c r="M447" s="5">
        <v>2.7803410230689239E-2</v>
      </c>
    </row>
    <row r="448" spans="1:13">
      <c r="A448" t="s">
        <v>3</v>
      </c>
      <c r="B448" s="4">
        <v>46311.641393506943</v>
      </c>
      <c r="C448" s="5">
        <v>1019.641000000003</v>
      </c>
      <c r="D448" s="5">
        <v>16.99401666666672</v>
      </c>
      <c r="E448" s="5">
        <v>205</v>
      </c>
      <c r="F448" s="5">
        <v>3227786</v>
      </c>
      <c r="G448" s="5">
        <v>447.8</v>
      </c>
      <c r="H448" s="5">
        <v>0.57279999999999998</v>
      </c>
      <c r="I448" s="5">
        <v>2.1886610000000002</v>
      </c>
      <c r="J448" s="5">
        <v>3.5188299999999999</v>
      </c>
      <c r="K448" s="5">
        <v>-3.74342</v>
      </c>
      <c r="L448" s="5">
        <v>0</v>
      </c>
      <c r="M448" s="5">
        <v>0</v>
      </c>
    </row>
    <row r="449" spans="1:13">
      <c r="A449" t="s">
        <v>3</v>
      </c>
      <c r="B449" s="4">
        <v>46311.641451446761</v>
      </c>
      <c r="C449" s="5">
        <v>1024.641000000003</v>
      </c>
      <c r="D449" s="5">
        <v>17.07735000000006</v>
      </c>
      <c r="E449" s="5">
        <v>206</v>
      </c>
      <c r="F449" s="5">
        <v>3232786</v>
      </c>
      <c r="G449" s="5">
        <v>447.88</v>
      </c>
      <c r="H449" s="5">
        <v>0.30620000000000003</v>
      </c>
      <c r="I449" s="5">
        <v>2.1890520000000002</v>
      </c>
      <c r="J449" s="5">
        <v>3.5165199999999999</v>
      </c>
      <c r="K449" s="5">
        <v>-3.74573</v>
      </c>
      <c r="L449" s="5">
        <v>-2.3100000000000338E-3</v>
      </c>
      <c r="M449" s="5">
        <v>-2.7720000000000411E-2</v>
      </c>
    </row>
    <row r="450" spans="1:13">
      <c r="A450" t="s">
        <v>3</v>
      </c>
      <c r="B450" s="4">
        <v>46311.641509247682</v>
      </c>
      <c r="C450" s="5">
        <v>1029.641000000003</v>
      </c>
      <c r="D450" s="5">
        <v>17.160683333333392</v>
      </c>
      <c r="E450" s="5">
        <v>207</v>
      </c>
      <c r="F450" s="5">
        <v>3237786</v>
      </c>
      <c r="G450" s="5">
        <v>447.8</v>
      </c>
      <c r="H450" s="5">
        <v>0.41460000000000002</v>
      </c>
      <c r="I450" s="5">
        <v>2.1886610000000002</v>
      </c>
      <c r="J450" s="5">
        <v>3.5188299999999999</v>
      </c>
      <c r="K450" s="5">
        <v>-3.74342</v>
      </c>
      <c r="L450" s="5">
        <v>2.3100000000000338E-3</v>
      </c>
      <c r="M450" s="5">
        <v>2.7720000000000411E-2</v>
      </c>
    </row>
    <row r="451" spans="1:13">
      <c r="A451" t="s">
        <v>3</v>
      </c>
      <c r="B451" s="4">
        <v>46311.641567002313</v>
      </c>
      <c r="C451" s="5">
        <v>1034.625</v>
      </c>
      <c r="D451" s="5">
        <v>17.243749999999999</v>
      </c>
      <c r="E451" s="5">
        <v>208</v>
      </c>
      <c r="F451" s="5">
        <v>3242786</v>
      </c>
      <c r="G451" s="5">
        <v>447.88</v>
      </c>
      <c r="H451" s="5">
        <v>0.433</v>
      </c>
      <c r="I451" s="5">
        <v>2.1890520000000002</v>
      </c>
      <c r="J451" s="5">
        <v>3.5165199999999999</v>
      </c>
      <c r="K451" s="5">
        <v>-3.74573</v>
      </c>
      <c r="L451" s="5">
        <v>-2.3100000000000338E-3</v>
      </c>
      <c r="M451" s="5">
        <v>-2.7808988764063541E-2</v>
      </c>
    </row>
    <row r="452" spans="1:13">
      <c r="A452" t="s">
        <v>3</v>
      </c>
      <c r="B452" s="4">
        <v>46311.641624953707</v>
      </c>
      <c r="C452" s="5">
        <v>1039.625</v>
      </c>
      <c r="D452" s="5">
        <v>17.327083333333331</v>
      </c>
      <c r="E452" s="5">
        <v>209</v>
      </c>
      <c r="F452" s="5">
        <v>3247785</v>
      </c>
      <c r="G452" s="5">
        <v>448.32</v>
      </c>
      <c r="H452" s="5">
        <v>0.4677</v>
      </c>
      <c r="I452" s="5">
        <v>2.1912020000000001</v>
      </c>
      <c r="J452" s="5">
        <v>3.5038299999999998</v>
      </c>
      <c r="K452" s="5">
        <v>-3.7584200000000001</v>
      </c>
      <c r="L452" s="5">
        <v>-1.269000000000009E-2</v>
      </c>
      <c r="M452" s="5">
        <v>-0.15228000000000111</v>
      </c>
    </row>
    <row r="453" spans="1:13">
      <c r="A453" t="s">
        <v>3</v>
      </c>
      <c r="B453" s="4">
        <v>46311.641682754627</v>
      </c>
      <c r="C453" s="5">
        <v>1044.625</v>
      </c>
      <c r="D453" s="5">
        <v>17.41041666666667</v>
      </c>
      <c r="E453" s="5">
        <v>210</v>
      </c>
      <c r="F453" s="5">
        <v>3252786</v>
      </c>
      <c r="G453" s="5">
        <v>448.12</v>
      </c>
      <c r="H453" s="5">
        <v>0.433</v>
      </c>
      <c r="I453" s="5">
        <v>2.1902249999999999</v>
      </c>
      <c r="J453" s="5">
        <v>3.5095999999999998</v>
      </c>
      <c r="K453" s="5">
        <v>-3.75265</v>
      </c>
      <c r="L453" s="5">
        <v>5.7700000000000529E-3</v>
      </c>
      <c r="M453" s="5">
        <v>6.9240000000000634E-2</v>
      </c>
    </row>
    <row r="454" spans="1:13">
      <c r="A454" t="s">
        <v>3</v>
      </c>
      <c r="B454" s="4">
        <v>46311.641740520834</v>
      </c>
      <c r="C454" s="5">
        <v>1049.609000000004</v>
      </c>
      <c r="D454" s="5">
        <v>17.493483333333401</v>
      </c>
      <c r="E454" s="5">
        <v>211</v>
      </c>
      <c r="F454" s="5">
        <v>3257785</v>
      </c>
      <c r="G454" s="5">
        <v>448.16</v>
      </c>
      <c r="H454" s="5">
        <v>0.35360000000000003</v>
      </c>
      <c r="I454" s="5">
        <v>2.19042</v>
      </c>
      <c r="J454" s="5">
        <v>3.5084399999999998</v>
      </c>
      <c r="K454" s="5">
        <v>-3.7538100000000001</v>
      </c>
      <c r="L454" s="5">
        <v>-1.1600000000000501E-3</v>
      </c>
      <c r="M454" s="5">
        <v>-1.3964686998384211E-2</v>
      </c>
    </row>
    <row r="455" spans="1:13">
      <c r="A455" t="s">
        <v>3</v>
      </c>
      <c r="B455" s="4">
        <v>46311.641798472221</v>
      </c>
      <c r="C455" s="5">
        <v>1054.625</v>
      </c>
      <c r="D455" s="5">
        <v>17.577083333333331</v>
      </c>
      <c r="E455" s="5">
        <v>212</v>
      </c>
      <c r="F455" s="5">
        <v>3262786</v>
      </c>
      <c r="G455" s="5">
        <v>448.48</v>
      </c>
      <c r="H455" s="5">
        <v>0.5</v>
      </c>
      <c r="I455" s="5">
        <v>2.1919840000000002</v>
      </c>
      <c r="J455" s="5">
        <v>3.4992100000000002</v>
      </c>
      <c r="K455" s="5">
        <v>-3.7630400000000002</v>
      </c>
      <c r="L455" s="5">
        <v>-9.2299999999996274E-3</v>
      </c>
      <c r="M455" s="5">
        <v>-0.11040669856467721</v>
      </c>
    </row>
    <row r="456" spans="1:13">
      <c r="A456" t="s">
        <v>3</v>
      </c>
      <c r="B456" s="4">
        <v>46311.641856249997</v>
      </c>
      <c r="C456" s="5">
        <v>1059.609000000004</v>
      </c>
      <c r="D456" s="5">
        <v>17.660150000000069</v>
      </c>
      <c r="E456" s="5">
        <v>213</v>
      </c>
      <c r="F456" s="5">
        <v>3267785</v>
      </c>
      <c r="G456" s="5">
        <v>448.32</v>
      </c>
      <c r="H456" s="5">
        <v>0.4677</v>
      </c>
      <c r="I456" s="5">
        <v>2.1912020000000001</v>
      </c>
      <c r="J456" s="5">
        <v>3.5038299999999998</v>
      </c>
      <c r="K456" s="5">
        <v>-3.7584200000000001</v>
      </c>
      <c r="L456" s="5">
        <v>4.6199999999996244E-3</v>
      </c>
      <c r="M456" s="5">
        <v>5.5617977528040541E-2</v>
      </c>
    </row>
    <row r="457" spans="1:13">
      <c r="A457" t="s">
        <v>3</v>
      </c>
      <c r="B457" s="4">
        <v>46311.641914027779</v>
      </c>
      <c r="C457" s="5">
        <v>1064.609000000004</v>
      </c>
      <c r="D457" s="5">
        <v>17.743483333333401</v>
      </c>
      <c r="E457" s="5">
        <v>214</v>
      </c>
      <c r="F457" s="5">
        <v>3272786</v>
      </c>
      <c r="G457" s="5">
        <v>448.44</v>
      </c>
      <c r="H457" s="5">
        <v>0.5</v>
      </c>
      <c r="I457" s="5">
        <v>2.191789</v>
      </c>
      <c r="J457" s="5">
        <v>3.5003700000000002</v>
      </c>
      <c r="K457" s="5">
        <v>-3.7618800000000001</v>
      </c>
      <c r="L457" s="5">
        <v>-3.459999999999575E-3</v>
      </c>
      <c r="M457" s="5">
        <v>-4.1519999999994887E-2</v>
      </c>
    </row>
    <row r="458" spans="1:13">
      <c r="A458" t="s">
        <v>3</v>
      </c>
      <c r="B458" s="4">
        <v>46311.641971805555</v>
      </c>
      <c r="C458" s="5">
        <v>1069.5940000000051</v>
      </c>
      <c r="D458" s="5">
        <v>17.826566666666739</v>
      </c>
      <c r="E458" s="5">
        <v>215</v>
      </c>
      <c r="F458" s="5">
        <v>3277786</v>
      </c>
      <c r="G458" s="5">
        <v>448.48</v>
      </c>
      <c r="H458" s="5">
        <v>0.5</v>
      </c>
      <c r="I458" s="5">
        <v>2.1919840000000002</v>
      </c>
      <c r="J458" s="5">
        <v>3.4992100000000002</v>
      </c>
      <c r="K458" s="5">
        <v>-3.7630400000000002</v>
      </c>
      <c r="L458" s="5">
        <v>-1.1600000000000501E-3</v>
      </c>
      <c r="M458" s="5">
        <v>-1.396188565696988E-2</v>
      </c>
    </row>
    <row r="459" spans="1:13">
      <c r="A459" t="s">
        <v>3</v>
      </c>
      <c r="B459" s="4">
        <v>46311.642029756942</v>
      </c>
      <c r="C459" s="5">
        <v>1074.609000000004</v>
      </c>
      <c r="D459" s="5">
        <v>17.910150000000069</v>
      </c>
      <c r="E459" s="5">
        <v>216</v>
      </c>
      <c r="F459" s="5">
        <v>3282786</v>
      </c>
      <c r="G459" s="5">
        <v>448.6</v>
      </c>
      <c r="H459" s="5">
        <v>0.48409999999999997</v>
      </c>
      <c r="I459" s="5">
        <v>2.192571</v>
      </c>
      <c r="J459" s="5">
        <v>3.4957500000000001</v>
      </c>
      <c r="K459" s="5">
        <v>-3.7665000000000002</v>
      </c>
      <c r="L459" s="5">
        <v>-3.460000000000019E-3</v>
      </c>
      <c r="M459" s="5">
        <v>-4.1395812562318092E-2</v>
      </c>
    </row>
    <row r="460" spans="1:13">
      <c r="A460" t="s">
        <v>3</v>
      </c>
      <c r="B460" s="4">
        <v>46311.642087523149</v>
      </c>
      <c r="C460" s="5">
        <v>1079.5940000000051</v>
      </c>
      <c r="D460" s="5">
        <v>17.993233333333411</v>
      </c>
      <c r="E460" s="5">
        <v>217</v>
      </c>
      <c r="F460" s="5">
        <v>3287786</v>
      </c>
      <c r="G460" s="5">
        <v>448.76</v>
      </c>
      <c r="H460" s="5">
        <v>0.41460000000000002</v>
      </c>
      <c r="I460" s="5">
        <v>2.1933530000000001</v>
      </c>
      <c r="J460" s="5">
        <v>3.4911400000000001</v>
      </c>
      <c r="K460" s="5">
        <v>-3.7711100000000002</v>
      </c>
      <c r="L460" s="5">
        <v>-4.610000000000003E-3</v>
      </c>
      <c r="M460" s="5">
        <v>-5.5486459378127961E-2</v>
      </c>
    </row>
    <row r="461" spans="1:13">
      <c r="A461" t="s">
        <v>3</v>
      </c>
      <c r="B461" s="4">
        <v>46311.6421453125</v>
      </c>
      <c r="C461" s="5">
        <v>1084.5940000000051</v>
      </c>
      <c r="D461" s="5">
        <v>18.076566666666739</v>
      </c>
      <c r="E461" s="5">
        <v>218</v>
      </c>
      <c r="F461" s="5">
        <v>3292786</v>
      </c>
      <c r="G461" s="5">
        <v>448.6</v>
      </c>
      <c r="H461" s="5">
        <v>0.55900000000000005</v>
      </c>
      <c r="I461" s="5">
        <v>2.192571</v>
      </c>
      <c r="J461" s="5">
        <v>3.4957500000000001</v>
      </c>
      <c r="K461" s="5">
        <v>-3.7665000000000002</v>
      </c>
      <c r="L461" s="5">
        <v>4.610000000000003E-3</v>
      </c>
      <c r="M461" s="5">
        <v>5.5320000000000043E-2</v>
      </c>
    </row>
    <row r="462" spans="1:13">
      <c r="A462" t="s">
        <v>3</v>
      </c>
      <c r="B462" s="4">
        <v>46311.642203275464</v>
      </c>
      <c r="C462" s="5">
        <v>1089.5940000000051</v>
      </c>
      <c r="D462" s="5">
        <v>18.159900000000071</v>
      </c>
      <c r="E462" s="5">
        <v>219</v>
      </c>
      <c r="F462" s="5">
        <v>3297786</v>
      </c>
      <c r="G462" s="5">
        <v>448.92</v>
      </c>
      <c r="H462" s="5">
        <v>0.48409999999999997</v>
      </c>
      <c r="I462" s="5">
        <v>2.1941350000000002</v>
      </c>
      <c r="J462" s="5">
        <v>3.4865200000000001</v>
      </c>
      <c r="K462" s="5">
        <v>-3.7757299999999998</v>
      </c>
      <c r="L462" s="5">
        <v>-9.2300000000000715E-3</v>
      </c>
      <c r="M462" s="5">
        <v>-0.1107600000000009</v>
      </c>
    </row>
    <row r="463" spans="1:13">
      <c r="A463" t="s">
        <v>3</v>
      </c>
      <c r="B463" s="4">
        <v>46311.64226104167</v>
      </c>
      <c r="C463" s="5">
        <v>1094.5940000000051</v>
      </c>
      <c r="D463" s="5">
        <v>18.243233333333411</v>
      </c>
      <c r="E463" s="5">
        <v>220</v>
      </c>
      <c r="F463" s="5">
        <v>3302786</v>
      </c>
      <c r="G463" s="5">
        <v>448.64</v>
      </c>
      <c r="H463" s="5">
        <v>0.61240000000000006</v>
      </c>
      <c r="I463" s="5">
        <v>2.1927669999999999</v>
      </c>
      <c r="J463" s="5">
        <v>3.4946000000000002</v>
      </c>
      <c r="K463" s="5">
        <v>-3.7676500000000002</v>
      </c>
      <c r="L463" s="5">
        <v>8.0800000000000871E-3</v>
      </c>
      <c r="M463" s="5">
        <v>9.6960000000001045E-2</v>
      </c>
    </row>
    <row r="464" spans="1:13">
      <c r="A464" t="s">
        <v>3</v>
      </c>
      <c r="B464" s="4">
        <v>46311.642318819446</v>
      </c>
      <c r="C464" s="5">
        <v>1099.5780000000011</v>
      </c>
      <c r="D464" s="5">
        <v>18.326300000000021</v>
      </c>
      <c r="E464" s="5">
        <v>221</v>
      </c>
      <c r="F464" s="5">
        <v>3307786</v>
      </c>
      <c r="G464" s="5">
        <v>448.72</v>
      </c>
      <c r="H464" s="5">
        <v>0.59950000000000003</v>
      </c>
      <c r="I464" s="5">
        <v>2.1931569999999998</v>
      </c>
      <c r="J464" s="5">
        <v>3.4922900000000001</v>
      </c>
      <c r="K464" s="5">
        <v>-3.7699600000000002</v>
      </c>
      <c r="L464" s="5">
        <v>-2.3100000000000338E-3</v>
      </c>
      <c r="M464" s="5">
        <v>-2.7808988764063541E-2</v>
      </c>
    </row>
    <row r="465" spans="1:13">
      <c r="A465" t="s">
        <v>3</v>
      </c>
      <c r="B465" s="4">
        <v>46311.642376770833</v>
      </c>
      <c r="C465" s="5">
        <v>1104.5940000000051</v>
      </c>
      <c r="D465" s="5">
        <v>18.409900000000071</v>
      </c>
      <c r="E465" s="5">
        <v>222</v>
      </c>
      <c r="F465" s="5">
        <v>3312786</v>
      </c>
      <c r="G465" s="5">
        <v>449.04</v>
      </c>
      <c r="H465" s="5">
        <v>0.35360000000000003</v>
      </c>
      <c r="I465" s="5">
        <v>2.1947209999999999</v>
      </c>
      <c r="J465" s="5">
        <v>3.48306</v>
      </c>
      <c r="K465" s="5">
        <v>-3.7791899999999998</v>
      </c>
      <c r="L465" s="5">
        <v>-9.2300000000000715E-3</v>
      </c>
      <c r="M465" s="5">
        <v>-0.1104066985645224</v>
      </c>
    </row>
    <row r="466" spans="1:13">
      <c r="A466" t="s">
        <v>3</v>
      </c>
      <c r="B466" s="4">
        <v>46311.642434548608</v>
      </c>
      <c r="C466" s="5">
        <v>1109.5780000000011</v>
      </c>
      <c r="D466" s="5">
        <v>18.492966666666689</v>
      </c>
      <c r="E466" s="5">
        <v>223</v>
      </c>
      <c r="F466" s="5">
        <v>3317786</v>
      </c>
      <c r="G466" s="5">
        <v>449.04</v>
      </c>
      <c r="H466" s="5">
        <v>0.53029999999999999</v>
      </c>
      <c r="I466" s="5">
        <v>2.1947209999999999</v>
      </c>
      <c r="J466" s="5">
        <v>3.48306</v>
      </c>
      <c r="K466" s="5">
        <v>-3.7791899999999998</v>
      </c>
      <c r="L466" s="5">
        <v>0</v>
      </c>
      <c r="M466" s="5">
        <v>0</v>
      </c>
    </row>
    <row r="467" spans="1:13">
      <c r="A467" t="s">
        <v>3</v>
      </c>
      <c r="B467" s="4">
        <v>46311.642492326391</v>
      </c>
      <c r="C467" s="5">
        <v>1114.5780000000011</v>
      </c>
      <c r="D467" s="5">
        <v>18.576300000000021</v>
      </c>
      <c r="E467" s="5">
        <v>224</v>
      </c>
      <c r="F467" s="5">
        <v>3322786</v>
      </c>
      <c r="G467" s="5">
        <v>448.96</v>
      </c>
      <c r="H467" s="5">
        <v>0.53029999999999999</v>
      </c>
      <c r="I467" s="5">
        <v>2.1943299999999999</v>
      </c>
      <c r="J467" s="5">
        <v>3.4853700000000001</v>
      </c>
      <c r="K467" s="5">
        <v>-3.7768799999999998</v>
      </c>
      <c r="L467" s="5">
        <v>2.3100000000000338E-3</v>
      </c>
      <c r="M467" s="5">
        <v>2.7720000000000411E-2</v>
      </c>
    </row>
    <row r="468" spans="1:13">
      <c r="A468" t="s">
        <v>3</v>
      </c>
      <c r="B468" s="4">
        <v>46311.642550277778</v>
      </c>
      <c r="C468" s="5">
        <v>1119.5780000000011</v>
      </c>
      <c r="D468" s="5">
        <v>18.65963333333336</v>
      </c>
      <c r="E468" s="5">
        <v>225</v>
      </c>
      <c r="F468" s="5">
        <v>3327785</v>
      </c>
      <c r="G468" s="5">
        <v>449.24</v>
      </c>
      <c r="H468" s="5">
        <v>0.45069999999999999</v>
      </c>
      <c r="I468" s="5">
        <v>2.1956989999999998</v>
      </c>
      <c r="J468" s="5">
        <v>3.4773000000000001</v>
      </c>
      <c r="K468" s="5">
        <v>-3.7849499999999998</v>
      </c>
      <c r="L468" s="5">
        <v>-8.0700000000000216E-3</v>
      </c>
      <c r="M468" s="5">
        <v>-9.6840000000000259E-2</v>
      </c>
    </row>
    <row r="469" spans="1:13">
      <c r="A469" t="s">
        <v>3</v>
      </c>
      <c r="B469" s="4">
        <v>46311.64260806713</v>
      </c>
      <c r="C469" s="5">
        <v>1124.5780000000011</v>
      </c>
      <c r="D469" s="5">
        <v>18.742966666666689</v>
      </c>
      <c r="E469" s="5">
        <v>226</v>
      </c>
      <c r="F469" s="5">
        <v>3332786</v>
      </c>
      <c r="G469" s="5">
        <v>449.04</v>
      </c>
      <c r="H469" s="5">
        <v>0.53029999999999999</v>
      </c>
      <c r="I469" s="5">
        <v>2.1947209999999999</v>
      </c>
      <c r="J469" s="5">
        <v>3.48306</v>
      </c>
      <c r="K469" s="5">
        <v>-3.7791899999999998</v>
      </c>
      <c r="L469" s="5">
        <v>5.7599999999999874E-3</v>
      </c>
      <c r="M469" s="5">
        <v>6.9119999999999848E-2</v>
      </c>
    </row>
    <row r="470" spans="1:13">
      <c r="A470" t="s">
        <v>3</v>
      </c>
      <c r="B470" s="4">
        <v>46311.642665833337</v>
      </c>
      <c r="C470" s="5">
        <v>1129.5630000000019</v>
      </c>
      <c r="D470" s="5">
        <v>18.826050000000031</v>
      </c>
      <c r="E470" s="5">
        <v>227</v>
      </c>
      <c r="F470" s="5">
        <v>3337786</v>
      </c>
      <c r="G470" s="5">
        <v>448.96</v>
      </c>
      <c r="H470" s="5">
        <v>0.53029999999999999</v>
      </c>
      <c r="I470" s="5">
        <v>2.1943299999999999</v>
      </c>
      <c r="J470" s="5">
        <v>3.4853700000000001</v>
      </c>
      <c r="K470" s="5">
        <v>-3.7768799999999998</v>
      </c>
      <c r="L470" s="5">
        <v>2.3100000000000338E-3</v>
      </c>
      <c r="M470" s="5">
        <v>2.7803410230689239E-2</v>
      </c>
    </row>
    <row r="471" spans="1:13">
      <c r="A471" t="s">
        <v>3</v>
      </c>
      <c r="B471" s="4">
        <v>46311.642723773148</v>
      </c>
      <c r="C471" s="5">
        <v>1134.5630000000019</v>
      </c>
      <c r="D471" s="5">
        <v>18.90938333333337</v>
      </c>
      <c r="E471" s="5">
        <v>228</v>
      </c>
      <c r="F471" s="5">
        <v>3342785</v>
      </c>
      <c r="G471" s="5">
        <v>449.24</v>
      </c>
      <c r="H471" s="5">
        <v>0.53029999999999999</v>
      </c>
      <c r="I471" s="5">
        <v>2.1956989999999998</v>
      </c>
      <c r="J471" s="5">
        <v>3.4773000000000001</v>
      </c>
      <c r="K471" s="5">
        <v>-3.7849499999999998</v>
      </c>
      <c r="L471" s="5">
        <v>-8.0700000000000216E-3</v>
      </c>
      <c r="M471" s="5">
        <v>-9.6840000000000259E-2</v>
      </c>
    </row>
    <row r="472" spans="1:13">
      <c r="A472" t="s">
        <v>3</v>
      </c>
      <c r="B472" s="4">
        <v>46311.642781562499</v>
      </c>
      <c r="C472" s="5">
        <v>1139.5630000000019</v>
      </c>
      <c r="D472" s="5">
        <v>18.992716666666698</v>
      </c>
      <c r="E472" s="5">
        <v>229</v>
      </c>
      <c r="F472" s="5">
        <v>3347785</v>
      </c>
      <c r="G472" s="5">
        <v>449.08</v>
      </c>
      <c r="H472" s="5">
        <v>0.5</v>
      </c>
      <c r="I472" s="5">
        <v>2.1949169999999998</v>
      </c>
      <c r="J472" s="5">
        <v>3.4819100000000001</v>
      </c>
      <c r="K472" s="5">
        <v>-3.7803399999999998</v>
      </c>
      <c r="L472" s="5">
        <v>4.610000000000003E-3</v>
      </c>
      <c r="M472" s="5">
        <v>5.5320000000000043E-2</v>
      </c>
    </row>
    <row r="473" spans="1:13">
      <c r="A473" t="s">
        <v>3</v>
      </c>
      <c r="B473" s="4">
        <v>46311.642839340275</v>
      </c>
      <c r="C473" s="5">
        <v>1144.5469999999989</v>
      </c>
      <c r="D473" s="5">
        <v>19.075783333333309</v>
      </c>
      <c r="E473" s="5">
        <v>230</v>
      </c>
      <c r="F473" s="5">
        <v>3352786</v>
      </c>
      <c r="G473" s="5">
        <v>449.36</v>
      </c>
      <c r="H473" s="5">
        <v>0.5</v>
      </c>
      <c r="I473" s="5">
        <v>2.196285</v>
      </c>
      <c r="J473" s="5">
        <v>3.47384</v>
      </c>
      <c r="K473" s="5">
        <v>-3.7884099999999998</v>
      </c>
      <c r="L473" s="5">
        <v>-8.0700000000000216E-3</v>
      </c>
      <c r="M473" s="5">
        <v>-9.7150882825103924E-2</v>
      </c>
    </row>
    <row r="474" spans="1:13">
      <c r="A474" t="s">
        <v>3</v>
      </c>
      <c r="B474" s="4">
        <v>46311.642897291669</v>
      </c>
      <c r="C474" s="5">
        <v>1149.5630000000019</v>
      </c>
      <c r="D474" s="5">
        <v>19.15938333333337</v>
      </c>
      <c r="E474" s="5">
        <v>231</v>
      </c>
      <c r="F474" s="5">
        <v>3357786</v>
      </c>
      <c r="G474" s="5">
        <v>449.36</v>
      </c>
      <c r="H474" s="5">
        <v>0.5</v>
      </c>
      <c r="I474" s="5">
        <v>2.196285</v>
      </c>
      <c r="J474" s="5">
        <v>3.47384</v>
      </c>
      <c r="K474" s="5">
        <v>-3.7884099999999998</v>
      </c>
      <c r="L474" s="5">
        <v>0</v>
      </c>
      <c r="M474" s="5">
        <v>0</v>
      </c>
    </row>
    <row r="475" spans="1:13">
      <c r="A475" t="s">
        <v>3</v>
      </c>
      <c r="B475" s="4">
        <v>46311.642955081021</v>
      </c>
      <c r="C475" s="5">
        <v>1154.5469999999989</v>
      </c>
      <c r="D475" s="5">
        <v>19.24244999999998</v>
      </c>
      <c r="E475" s="5">
        <v>232</v>
      </c>
      <c r="F475" s="5">
        <v>3362786</v>
      </c>
      <c r="G475" s="5">
        <v>449.44</v>
      </c>
      <c r="H475" s="5">
        <v>0.57279999999999998</v>
      </c>
      <c r="I475" s="5">
        <v>2.1966760000000001</v>
      </c>
      <c r="J475" s="5">
        <v>3.47153</v>
      </c>
      <c r="K475" s="5">
        <v>-3.7907199999999999</v>
      </c>
      <c r="L475" s="5">
        <v>-2.3100000000000338E-3</v>
      </c>
      <c r="M475" s="5">
        <v>-2.7808988764063541E-2</v>
      </c>
    </row>
    <row r="476" spans="1:13">
      <c r="A476" t="s">
        <v>3</v>
      </c>
      <c r="B476" s="4">
        <v>46311.643012858796</v>
      </c>
      <c r="C476" s="5">
        <v>1159.5469999999989</v>
      </c>
      <c r="D476" s="5">
        <v>19.325783333333309</v>
      </c>
      <c r="E476" s="5">
        <v>233</v>
      </c>
      <c r="F476" s="5">
        <v>3367785</v>
      </c>
      <c r="G476" s="5">
        <v>449.32</v>
      </c>
      <c r="H476" s="5">
        <v>0.4677</v>
      </c>
      <c r="I476" s="5">
        <v>2.1960899999999999</v>
      </c>
      <c r="J476" s="5">
        <v>3.47499</v>
      </c>
      <c r="K476" s="5">
        <v>-3.7872599999999998</v>
      </c>
      <c r="L476" s="5">
        <v>3.460000000000019E-3</v>
      </c>
      <c r="M476" s="5">
        <v>4.1520000000000223E-2</v>
      </c>
    </row>
    <row r="477" spans="1:13">
      <c r="A477" t="s">
        <v>3</v>
      </c>
      <c r="B477" s="4">
        <v>46311.643070798615</v>
      </c>
      <c r="C477" s="5">
        <v>1164.5469999999989</v>
      </c>
      <c r="D477" s="5">
        <v>19.409116666666641</v>
      </c>
      <c r="E477" s="5">
        <v>234</v>
      </c>
      <c r="F477" s="5">
        <v>3372786</v>
      </c>
      <c r="G477" s="5">
        <v>449.48</v>
      </c>
      <c r="H477" s="5">
        <v>0.48409999999999997</v>
      </c>
      <c r="I477" s="5">
        <v>2.1968719999999999</v>
      </c>
      <c r="J477" s="5">
        <v>3.47037</v>
      </c>
      <c r="K477" s="5">
        <v>-3.7918799999999999</v>
      </c>
      <c r="L477" s="5">
        <v>-4.6200000000000676E-3</v>
      </c>
      <c r="M477" s="5">
        <v>-5.5440000000000822E-2</v>
      </c>
    </row>
    <row r="478" spans="1:13">
      <c r="A478" t="s">
        <v>3</v>
      </c>
      <c r="B478" s="4">
        <v>46311.643128587966</v>
      </c>
      <c r="C478" s="5">
        <v>1169.5469999999989</v>
      </c>
      <c r="D478" s="5">
        <v>19.49244999999998</v>
      </c>
      <c r="E478" s="5">
        <v>235</v>
      </c>
      <c r="F478" s="5">
        <v>3377785</v>
      </c>
      <c r="G478" s="5">
        <v>449.4</v>
      </c>
      <c r="H478" s="5">
        <v>0.48409999999999997</v>
      </c>
      <c r="I478" s="5">
        <v>2.1964809999999999</v>
      </c>
      <c r="J478" s="5">
        <v>3.47268</v>
      </c>
      <c r="K478" s="5">
        <v>-3.7895699999999999</v>
      </c>
      <c r="L478" s="5">
        <v>2.3100000000000338E-3</v>
      </c>
      <c r="M478" s="5">
        <v>2.7720000000000411E-2</v>
      </c>
    </row>
    <row r="479" spans="1:13">
      <c r="A479" t="s">
        <v>3</v>
      </c>
      <c r="B479" s="4">
        <v>46311.643186354166</v>
      </c>
      <c r="C479" s="5">
        <v>1174.5310000000029</v>
      </c>
      <c r="D479" s="5">
        <v>19.575516666666712</v>
      </c>
      <c r="E479" s="5">
        <v>236</v>
      </c>
      <c r="F479" s="5">
        <v>3382786</v>
      </c>
      <c r="G479" s="5">
        <v>449.72</v>
      </c>
      <c r="H479" s="5">
        <v>0.45069999999999999</v>
      </c>
      <c r="I479" s="5">
        <v>2.198045</v>
      </c>
      <c r="J479" s="5">
        <v>3.4634499999999999</v>
      </c>
      <c r="K479" s="5">
        <v>-3.7988</v>
      </c>
      <c r="L479" s="5">
        <v>-9.2300000000000715E-3</v>
      </c>
      <c r="M479" s="5">
        <v>-0.11111556982334631</v>
      </c>
    </row>
    <row r="480" spans="1:13">
      <c r="A480" t="s">
        <v>3</v>
      </c>
      <c r="B480" s="4">
        <v>46311.643244317129</v>
      </c>
      <c r="C480" s="5">
        <v>1179.5469999999989</v>
      </c>
      <c r="D480" s="5">
        <v>19.659116666666641</v>
      </c>
      <c r="E480" s="5">
        <v>237</v>
      </c>
      <c r="F480" s="5">
        <v>3387786</v>
      </c>
      <c r="G480" s="5">
        <v>449.72</v>
      </c>
      <c r="H480" s="5">
        <v>0.53029999999999999</v>
      </c>
      <c r="I480" s="5">
        <v>2.198045</v>
      </c>
      <c r="J480" s="5">
        <v>3.4634499999999999</v>
      </c>
      <c r="K480" s="5">
        <v>-3.7988</v>
      </c>
      <c r="L480" s="5">
        <v>0</v>
      </c>
      <c r="M480" s="5">
        <v>0</v>
      </c>
    </row>
    <row r="481" spans="1:13">
      <c r="A481" t="s">
        <v>3</v>
      </c>
      <c r="B481" s="4">
        <v>46311.643302083336</v>
      </c>
      <c r="C481" s="5">
        <v>1184.5310000000029</v>
      </c>
      <c r="D481" s="5">
        <v>19.742183333333379</v>
      </c>
      <c r="E481" s="5">
        <v>238</v>
      </c>
      <c r="F481" s="5">
        <v>3392786</v>
      </c>
      <c r="G481" s="5">
        <v>450.08</v>
      </c>
      <c r="H481" s="5">
        <v>0.27950000000000003</v>
      </c>
      <c r="I481" s="5">
        <v>2.1998039999999999</v>
      </c>
      <c r="J481" s="5">
        <v>3.4530699999999999</v>
      </c>
      <c r="K481" s="5">
        <v>-3.80918</v>
      </c>
      <c r="L481" s="5">
        <v>-1.0380000000000059E-2</v>
      </c>
      <c r="M481" s="5">
        <v>-0.124959871588985</v>
      </c>
    </row>
    <row r="482" spans="1:13">
      <c r="A482" t="s">
        <v>3</v>
      </c>
      <c r="B482" s="4">
        <v>46311.643359872687</v>
      </c>
      <c r="C482" s="5">
        <v>1189.5310000000029</v>
      </c>
      <c r="D482" s="5">
        <v>19.825516666666712</v>
      </c>
      <c r="E482" s="5">
        <v>239</v>
      </c>
      <c r="F482" s="5">
        <v>3397786</v>
      </c>
      <c r="G482" s="5">
        <v>449.64</v>
      </c>
      <c r="H482" s="5">
        <v>0.61240000000000006</v>
      </c>
      <c r="I482" s="5">
        <v>2.197654</v>
      </c>
      <c r="J482" s="5">
        <v>3.46576</v>
      </c>
      <c r="K482" s="5">
        <v>-3.7964899999999999</v>
      </c>
      <c r="L482" s="5">
        <v>1.269000000000009E-2</v>
      </c>
      <c r="M482" s="5">
        <v>0.15228000000000111</v>
      </c>
    </row>
    <row r="483" spans="1:13">
      <c r="A483" t="s">
        <v>3</v>
      </c>
      <c r="B483" s="4">
        <v>46311.643417638887</v>
      </c>
      <c r="C483" s="5">
        <v>1194.516000000003</v>
      </c>
      <c r="D483" s="5">
        <v>19.90860000000005</v>
      </c>
      <c r="E483" s="5">
        <v>240</v>
      </c>
      <c r="F483" s="5">
        <v>3402786</v>
      </c>
      <c r="G483" s="5">
        <v>449.76</v>
      </c>
      <c r="H483" s="5">
        <v>0.41460000000000002</v>
      </c>
      <c r="I483" s="5">
        <v>2.1982400000000002</v>
      </c>
      <c r="J483" s="5">
        <v>3.4622999999999999</v>
      </c>
      <c r="K483" s="5">
        <v>-3.7999499999999999</v>
      </c>
      <c r="L483" s="5">
        <v>-3.460000000000019E-3</v>
      </c>
      <c r="M483" s="5">
        <v>-4.1644934804408597E-2</v>
      </c>
    </row>
    <row r="484" spans="1:13">
      <c r="A484" t="s">
        <v>3</v>
      </c>
      <c r="B484" s="4">
        <v>46311.643475590281</v>
      </c>
      <c r="C484" s="5">
        <v>1199.5310000000029</v>
      </c>
      <c r="D484" s="5">
        <v>19.992183333333379</v>
      </c>
      <c r="E484" s="5">
        <v>241</v>
      </c>
      <c r="F484" s="5">
        <v>3407784</v>
      </c>
      <c r="G484" s="5">
        <v>450.28</v>
      </c>
      <c r="H484" s="5">
        <v>0.45069999999999999</v>
      </c>
      <c r="I484" s="5">
        <v>2.2007819999999998</v>
      </c>
      <c r="J484" s="5">
        <v>3.4472999999999998</v>
      </c>
      <c r="K484" s="5">
        <v>-3.8149500000000001</v>
      </c>
      <c r="L484" s="5">
        <v>-1.5000000000000119E-2</v>
      </c>
      <c r="M484" s="5">
        <v>-0.17946161515455869</v>
      </c>
    </row>
    <row r="485" spans="1:13">
      <c r="A485" t="s">
        <v>3</v>
      </c>
      <c r="B485" s="4">
        <v>46311.643533368057</v>
      </c>
      <c r="C485" s="5">
        <v>1204.516000000003</v>
      </c>
      <c r="D485" s="5">
        <v>20.075266666666721</v>
      </c>
      <c r="E485" s="5">
        <v>242</v>
      </c>
      <c r="F485" s="5">
        <v>3412786</v>
      </c>
      <c r="G485" s="5">
        <v>449.84</v>
      </c>
      <c r="H485" s="5">
        <v>0.54490000000000005</v>
      </c>
      <c r="I485" s="5">
        <v>2.1986319999999999</v>
      </c>
      <c r="J485" s="5">
        <v>3.4599899999999999</v>
      </c>
      <c r="K485" s="5">
        <v>-3.80226</v>
      </c>
      <c r="L485" s="5">
        <v>1.269000000000009E-2</v>
      </c>
      <c r="M485" s="5">
        <v>0.15273821464391499</v>
      </c>
    </row>
    <row r="486" spans="1:13">
      <c r="A486" t="s">
        <v>3</v>
      </c>
      <c r="B486" s="4">
        <v>46311.643591145832</v>
      </c>
      <c r="C486" s="5">
        <v>1209.516000000003</v>
      </c>
      <c r="D486" s="5">
        <v>20.15860000000005</v>
      </c>
      <c r="E486" s="5">
        <v>243</v>
      </c>
      <c r="F486" s="5">
        <v>3417785</v>
      </c>
      <c r="G486" s="5">
        <v>450</v>
      </c>
      <c r="H486" s="5">
        <v>0.55900000000000005</v>
      </c>
      <c r="I486" s="5">
        <v>2.199414</v>
      </c>
      <c r="J486" s="5">
        <v>3.4553799999999999</v>
      </c>
      <c r="K486" s="5">
        <v>-3.80687</v>
      </c>
      <c r="L486" s="5">
        <v>-4.610000000000003E-3</v>
      </c>
      <c r="M486" s="5">
        <v>-5.5320000000000043E-2</v>
      </c>
    </row>
    <row r="487" spans="1:13">
      <c r="A487" t="s">
        <v>4</v>
      </c>
      <c r="B487" s="4">
        <v>46311.645478981482</v>
      </c>
      <c r="C487" s="5">
        <v>0.29699999999866122</v>
      </c>
      <c r="D487" s="5">
        <v>4.9499999999776867E-3</v>
      </c>
      <c r="E487" s="5">
        <v>1</v>
      </c>
      <c r="F487" s="5">
        <v>3580988</v>
      </c>
      <c r="G487" s="5">
        <v>322.64</v>
      </c>
      <c r="H487" s="5">
        <v>0.4677</v>
      </c>
      <c r="I487" s="5">
        <v>1.5769310000000001</v>
      </c>
      <c r="J487" s="5">
        <v>7.1284299999999998</v>
      </c>
      <c r="K487" s="5">
        <v>0</v>
      </c>
      <c r="L487" s="5">
        <v>0</v>
      </c>
      <c r="M487" s="5"/>
    </row>
    <row r="488" spans="1:13">
      <c r="A488" t="s">
        <v>4</v>
      </c>
      <c r="B488" s="4">
        <v>46311.645536759257</v>
      </c>
      <c r="C488" s="5">
        <v>5.2810000000026784</v>
      </c>
      <c r="D488" s="5">
        <v>8.8016666666711291E-2</v>
      </c>
      <c r="E488" s="5">
        <v>2</v>
      </c>
      <c r="F488" s="5">
        <v>3585988</v>
      </c>
      <c r="G488" s="5">
        <v>322.48</v>
      </c>
      <c r="H488" s="5">
        <v>0.49209999999999998</v>
      </c>
      <c r="I488" s="5">
        <v>1.576149</v>
      </c>
      <c r="J488" s="5">
        <v>7.1330499999999999</v>
      </c>
      <c r="K488" s="5">
        <v>4.6200000000000676E-3</v>
      </c>
      <c r="L488" s="5">
        <v>4.6200000000000676E-3</v>
      </c>
      <c r="M488" s="5">
        <v>5.5617977528045891E-2</v>
      </c>
    </row>
    <row r="489" spans="1:13">
      <c r="A489" t="s">
        <v>4</v>
      </c>
      <c r="B489" s="4">
        <v>46311.64559453704</v>
      </c>
      <c r="C489" s="5">
        <v>10.281000000002679</v>
      </c>
      <c r="D489" s="5">
        <v>0.17135000000004461</v>
      </c>
      <c r="E489" s="5">
        <v>3</v>
      </c>
      <c r="F489" s="5">
        <v>3590988</v>
      </c>
      <c r="G489" s="5">
        <v>323.68</v>
      </c>
      <c r="H489" s="5">
        <v>0.55200000000000005</v>
      </c>
      <c r="I489" s="5">
        <v>1.582014</v>
      </c>
      <c r="J489" s="5">
        <v>7.0984400000000001</v>
      </c>
      <c r="K489" s="5">
        <v>-2.9989999999999739E-2</v>
      </c>
      <c r="L489" s="5">
        <v>-3.4609999999999808E-2</v>
      </c>
      <c r="M489" s="5">
        <v>-0.41531999999999769</v>
      </c>
    </row>
    <row r="490" spans="1:13">
      <c r="A490" t="s">
        <v>4</v>
      </c>
      <c r="B490" s="4">
        <v>46311.645652500003</v>
      </c>
      <c r="C490" s="5">
        <v>15.281000000002679</v>
      </c>
      <c r="D490" s="5">
        <v>0.25468333333337789</v>
      </c>
      <c r="E490" s="5">
        <v>4</v>
      </c>
      <c r="F490" s="5">
        <v>3595987</v>
      </c>
      <c r="G490" s="5">
        <v>325.08</v>
      </c>
      <c r="H490" s="5">
        <v>0.49209999999999998</v>
      </c>
      <c r="I490" s="5">
        <v>1.588856</v>
      </c>
      <c r="J490" s="5">
        <v>7.0580600000000002</v>
      </c>
      <c r="K490" s="5">
        <v>-7.03699999999996E-2</v>
      </c>
      <c r="L490" s="5">
        <v>-4.037999999999986E-2</v>
      </c>
      <c r="M490" s="5">
        <v>-0.48455999999999833</v>
      </c>
    </row>
    <row r="491" spans="1:13">
      <c r="A491" t="s">
        <v>4</v>
      </c>
      <c r="B491" s="4">
        <v>46311.645710266203</v>
      </c>
      <c r="C491" s="5">
        <v>20.281000000002681</v>
      </c>
      <c r="D491" s="5">
        <v>0.33801666666671132</v>
      </c>
      <c r="E491" s="5">
        <v>5</v>
      </c>
      <c r="F491" s="5">
        <v>3600988</v>
      </c>
      <c r="G491" s="5">
        <v>326.76</v>
      </c>
      <c r="H491" s="5">
        <v>0.4239</v>
      </c>
      <c r="I491" s="5">
        <v>1.597067</v>
      </c>
      <c r="J491" s="5">
        <v>7.0096100000000003</v>
      </c>
      <c r="K491" s="5">
        <v>-0.1188199999999995</v>
      </c>
      <c r="L491" s="5">
        <v>-4.8449999999999882E-2</v>
      </c>
      <c r="M491" s="5">
        <v>-0.58139999999999858</v>
      </c>
    </row>
    <row r="492" spans="1:13">
      <c r="A492" t="s">
        <v>4</v>
      </c>
      <c r="B492" s="4">
        <v>46311.645768043978</v>
      </c>
      <c r="C492" s="5">
        <v>25.26600000000326</v>
      </c>
      <c r="D492" s="5">
        <v>0.42110000000005432</v>
      </c>
      <c r="E492" s="5">
        <v>6</v>
      </c>
      <c r="F492" s="5">
        <v>3605988</v>
      </c>
      <c r="G492" s="5">
        <v>328.16</v>
      </c>
      <c r="H492" s="5">
        <v>0.3644</v>
      </c>
      <c r="I492" s="5">
        <v>1.6039099999999999</v>
      </c>
      <c r="J492" s="5">
        <v>6.9692400000000001</v>
      </c>
      <c r="K492" s="5">
        <v>-0.15918999999999969</v>
      </c>
      <c r="L492" s="5">
        <v>-4.0370000000000239E-2</v>
      </c>
      <c r="M492" s="5">
        <v>-0.4858976930791839</v>
      </c>
    </row>
    <row r="493" spans="1:13">
      <c r="A493" t="s">
        <v>4</v>
      </c>
      <c r="B493" s="4">
        <v>46311.645826006941</v>
      </c>
      <c r="C493" s="5">
        <v>30.26600000000326</v>
      </c>
      <c r="D493" s="5">
        <v>0.50443333333338769</v>
      </c>
      <c r="E493" s="5">
        <v>7</v>
      </c>
      <c r="F493" s="5">
        <v>3610988</v>
      </c>
      <c r="G493" s="5">
        <v>329.6</v>
      </c>
      <c r="H493" s="5">
        <v>0.48409999999999997</v>
      </c>
      <c r="I493" s="5">
        <v>1.610948</v>
      </c>
      <c r="J493" s="5">
        <v>6.9277100000000003</v>
      </c>
      <c r="K493" s="5">
        <v>-0.20071999999999959</v>
      </c>
      <c r="L493" s="5">
        <v>-4.1529999999999838E-2</v>
      </c>
      <c r="M493" s="5">
        <v>-0.49835999999999808</v>
      </c>
    </row>
    <row r="494" spans="1:13">
      <c r="A494" t="s">
        <v>4</v>
      </c>
      <c r="B494" s="4">
        <v>46311.645883773148</v>
      </c>
      <c r="C494" s="5">
        <v>35.26600000000326</v>
      </c>
      <c r="D494" s="5">
        <v>0.58776666666672095</v>
      </c>
      <c r="E494" s="5">
        <v>8</v>
      </c>
      <c r="F494" s="5">
        <v>3615988</v>
      </c>
      <c r="G494" s="5">
        <v>331.32</v>
      </c>
      <c r="H494" s="5">
        <v>0.45929999999999999</v>
      </c>
      <c r="I494" s="5">
        <v>1.6193550000000001</v>
      </c>
      <c r="J494" s="5">
        <v>6.8780999999999999</v>
      </c>
      <c r="K494" s="5">
        <v>-0.25032999999999989</v>
      </c>
      <c r="L494" s="5">
        <v>-4.9610000000000383E-2</v>
      </c>
      <c r="M494" s="5">
        <v>-0.59532000000000451</v>
      </c>
    </row>
    <row r="495" spans="1:13">
      <c r="A495" t="s">
        <v>4</v>
      </c>
      <c r="B495" s="4">
        <v>46311.645941550923</v>
      </c>
      <c r="C495" s="5">
        <v>40.25</v>
      </c>
      <c r="D495" s="5">
        <v>0.67083333333333328</v>
      </c>
      <c r="E495" s="5">
        <v>9</v>
      </c>
      <c r="F495" s="5">
        <v>3620988</v>
      </c>
      <c r="G495" s="5">
        <v>332.44</v>
      </c>
      <c r="H495" s="5">
        <v>0.57279999999999998</v>
      </c>
      <c r="I495" s="5">
        <v>1.6248290000000001</v>
      </c>
      <c r="J495" s="5">
        <v>6.8457999999999997</v>
      </c>
      <c r="K495" s="5">
        <v>-0.28263000000000021</v>
      </c>
      <c r="L495" s="5">
        <v>-3.2300000000000217E-2</v>
      </c>
      <c r="M495" s="5">
        <v>-0.38884430176590701</v>
      </c>
    </row>
    <row r="496" spans="1:13">
      <c r="A496" t="s">
        <v>4</v>
      </c>
      <c r="B496" s="4">
        <v>46311.645999513887</v>
      </c>
      <c r="C496" s="5">
        <v>45.26600000000326</v>
      </c>
      <c r="D496" s="5">
        <v>0.75443333333338769</v>
      </c>
      <c r="E496" s="5">
        <v>10</v>
      </c>
      <c r="F496" s="5">
        <v>3625989</v>
      </c>
      <c r="G496" s="5">
        <v>333.76</v>
      </c>
      <c r="H496" s="5">
        <v>0.5796</v>
      </c>
      <c r="I496" s="5">
        <v>1.6312800000000001</v>
      </c>
      <c r="J496" s="5">
        <v>6.8077300000000003</v>
      </c>
      <c r="K496" s="5">
        <v>-0.32069999999999949</v>
      </c>
      <c r="L496" s="5">
        <v>-3.8069999999999382E-2</v>
      </c>
      <c r="M496" s="5">
        <v>-0.45538277511931391</v>
      </c>
    </row>
    <row r="497" spans="1:13">
      <c r="A497" t="s">
        <v>4</v>
      </c>
      <c r="B497" s="4">
        <v>46311.646057291669</v>
      </c>
      <c r="C497" s="5">
        <v>50.25</v>
      </c>
      <c r="D497" s="5">
        <v>0.83750000000000002</v>
      </c>
      <c r="E497" s="5">
        <v>11</v>
      </c>
      <c r="F497" s="5">
        <v>3630989</v>
      </c>
      <c r="G497" s="5">
        <v>334.92</v>
      </c>
      <c r="H497" s="5">
        <v>0.47599999999999998</v>
      </c>
      <c r="I497" s="5">
        <v>1.6369499999999999</v>
      </c>
      <c r="J497" s="5">
        <v>6.7742800000000001</v>
      </c>
      <c r="K497" s="5">
        <v>-0.35414999999999969</v>
      </c>
      <c r="L497" s="5">
        <v>-3.3450000000000202E-2</v>
      </c>
      <c r="M497" s="5">
        <v>-0.40268860353156588</v>
      </c>
    </row>
    <row r="498" spans="1:13">
      <c r="A498" t="s">
        <v>4</v>
      </c>
      <c r="B498" s="4">
        <v>46311.646115069445</v>
      </c>
      <c r="C498" s="5">
        <v>55.25</v>
      </c>
      <c r="D498" s="5">
        <v>0.92083333333333328</v>
      </c>
      <c r="E498" s="5">
        <v>12</v>
      </c>
      <c r="F498" s="5">
        <v>3635989</v>
      </c>
      <c r="G498" s="5">
        <v>336.2</v>
      </c>
      <c r="H498" s="5">
        <v>0.48409999999999997</v>
      </c>
      <c r="I498" s="5">
        <v>1.6432059999999999</v>
      </c>
      <c r="J498" s="5">
        <v>6.7373599999999998</v>
      </c>
      <c r="K498" s="5">
        <v>-0.39106999999999997</v>
      </c>
      <c r="L498" s="5">
        <v>-3.6920000000000293E-2</v>
      </c>
      <c r="M498" s="5">
        <v>-0.44304000000000338</v>
      </c>
    </row>
    <row r="499" spans="1:13">
      <c r="A499" t="s">
        <v>4</v>
      </c>
      <c r="B499" s="4">
        <v>46311.646173032408</v>
      </c>
      <c r="C499" s="5">
        <v>60.25</v>
      </c>
      <c r="D499" s="5">
        <v>1.0041666666666671</v>
      </c>
      <c r="E499" s="5">
        <v>13</v>
      </c>
      <c r="F499" s="5">
        <v>3640989</v>
      </c>
      <c r="G499" s="5">
        <v>337.32</v>
      </c>
      <c r="H499" s="5">
        <v>0.45929999999999999</v>
      </c>
      <c r="I499" s="5">
        <v>1.6486799999999999</v>
      </c>
      <c r="J499" s="5">
        <v>6.7050599999999996</v>
      </c>
      <c r="K499" s="5">
        <v>-0.42337000000000019</v>
      </c>
      <c r="L499" s="5">
        <v>-3.2300000000000217E-2</v>
      </c>
      <c r="M499" s="5">
        <v>-0.38760000000000261</v>
      </c>
    </row>
    <row r="500" spans="1:13">
      <c r="A500" t="s">
        <v>4</v>
      </c>
      <c r="B500" s="4">
        <v>46311.646230798608</v>
      </c>
      <c r="C500" s="5">
        <v>65.25</v>
      </c>
      <c r="D500" s="5">
        <v>1.0874999999999999</v>
      </c>
      <c r="E500" s="5">
        <v>14</v>
      </c>
      <c r="F500" s="5">
        <v>3645989</v>
      </c>
      <c r="G500" s="5">
        <v>338.52</v>
      </c>
      <c r="H500" s="5">
        <v>0.50780000000000003</v>
      </c>
      <c r="I500" s="5">
        <v>1.6545449999999999</v>
      </c>
      <c r="J500" s="5">
        <v>6.6704499999999998</v>
      </c>
      <c r="K500" s="5">
        <v>-0.45798000000000011</v>
      </c>
      <c r="L500" s="5">
        <v>-3.4609999999999808E-2</v>
      </c>
      <c r="M500" s="5">
        <v>-0.41531999999999769</v>
      </c>
    </row>
    <row r="501" spans="1:13">
      <c r="A501" t="s">
        <v>4</v>
      </c>
      <c r="B501" s="4">
        <v>46311.646288564814</v>
      </c>
      <c r="C501" s="5">
        <v>70.235000000000582</v>
      </c>
      <c r="D501" s="5">
        <v>1.1705833333333431</v>
      </c>
      <c r="E501" s="5">
        <v>15</v>
      </c>
      <c r="F501" s="5">
        <v>3650989</v>
      </c>
      <c r="G501" s="5">
        <v>339.64</v>
      </c>
      <c r="H501" s="5">
        <v>0.55200000000000005</v>
      </c>
      <c r="I501" s="5">
        <v>1.6600200000000001</v>
      </c>
      <c r="J501" s="5">
        <v>6.6381500000000004</v>
      </c>
      <c r="K501" s="5">
        <v>-0.49027999999999938</v>
      </c>
      <c r="L501" s="5">
        <v>-3.2299999999999329E-2</v>
      </c>
      <c r="M501" s="5">
        <v>-0.38876629889663661</v>
      </c>
    </row>
    <row r="502" spans="1:13">
      <c r="A502" t="s">
        <v>4</v>
      </c>
      <c r="B502" s="4">
        <v>46311.646346539354</v>
      </c>
      <c r="C502" s="5">
        <v>75.25</v>
      </c>
      <c r="D502" s="5">
        <v>1.2541666666666671</v>
      </c>
      <c r="E502" s="5">
        <v>16</v>
      </c>
      <c r="F502" s="5">
        <v>3655989</v>
      </c>
      <c r="G502" s="5">
        <v>340.52</v>
      </c>
      <c r="H502" s="5">
        <v>0.50780000000000003</v>
      </c>
      <c r="I502" s="5">
        <v>1.6643209999999999</v>
      </c>
      <c r="J502" s="5">
        <v>6.6127700000000003</v>
      </c>
      <c r="K502" s="5">
        <v>-0.51565999999999956</v>
      </c>
      <c r="L502" s="5">
        <v>-2.538000000000018E-2</v>
      </c>
      <c r="M502" s="5">
        <v>-0.303649052841513</v>
      </c>
    </row>
    <row r="503" spans="1:13">
      <c r="A503" t="s">
        <v>4</v>
      </c>
      <c r="B503" s="4">
        <v>46311.646404293984</v>
      </c>
      <c r="C503" s="5">
        <v>80.235000000000582</v>
      </c>
      <c r="D503" s="5">
        <v>1.33725000000001</v>
      </c>
      <c r="E503" s="5">
        <v>17</v>
      </c>
      <c r="F503" s="5">
        <v>3660989</v>
      </c>
      <c r="G503" s="5">
        <v>341.68</v>
      </c>
      <c r="H503" s="5">
        <v>0.55200000000000005</v>
      </c>
      <c r="I503" s="5">
        <v>1.6699900000000001</v>
      </c>
      <c r="J503" s="5">
        <v>6.5793200000000001</v>
      </c>
      <c r="K503" s="5">
        <v>-0.54910999999999976</v>
      </c>
      <c r="L503" s="5">
        <v>-3.3450000000000202E-2</v>
      </c>
      <c r="M503" s="5">
        <v>-0.40260782347036672</v>
      </c>
    </row>
    <row r="504" spans="1:13">
      <c r="A504" t="s">
        <v>4</v>
      </c>
      <c r="B504" s="4">
        <v>46311.64646207176</v>
      </c>
      <c r="C504" s="5">
        <v>85.235000000000582</v>
      </c>
      <c r="D504" s="5">
        <v>1.4205833333333431</v>
      </c>
      <c r="E504" s="5">
        <v>18</v>
      </c>
      <c r="F504" s="5">
        <v>3665990</v>
      </c>
      <c r="G504" s="5">
        <v>342.6</v>
      </c>
      <c r="H504" s="5">
        <v>0.48409999999999997</v>
      </c>
      <c r="I504" s="5">
        <v>1.6744870000000001</v>
      </c>
      <c r="J504" s="5">
        <v>6.5527899999999999</v>
      </c>
      <c r="K504" s="5">
        <v>-0.57563999999999993</v>
      </c>
      <c r="L504" s="5">
        <v>-2.6530000000000161E-2</v>
      </c>
      <c r="M504" s="5">
        <v>-0.31836000000000197</v>
      </c>
    </row>
    <row r="505" spans="1:13">
      <c r="A505" t="s">
        <v>4</v>
      </c>
      <c r="B505" s="4">
        <v>46311.646520034723</v>
      </c>
      <c r="C505" s="5">
        <v>90.235000000000582</v>
      </c>
      <c r="D505" s="5">
        <v>1.5039166666666759</v>
      </c>
      <c r="E505" s="5">
        <v>19</v>
      </c>
      <c r="F505" s="5">
        <v>3670989</v>
      </c>
      <c r="G505" s="5">
        <v>343.88</v>
      </c>
      <c r="H505" s="5">
        <v>0.64949999999999997</v>
      </c>
      <c r="I505" s="5">
        <v>1.6807430000000001</v>
      </c>
      <c r="J505" s="5">
        <v>6.5158699999999996</v>
      </c>
      <c r="K505" s="5">
        <v>-0.61256000000000022</v>
      </c>
      <c r="L505" s="5">
        <v>-3.6920000000000293E-2</v>
      </c>
      <c r="M505" s="5">
        <v>-0.44304000000000338</v>
      </c>
    </row>
    <row r="506" spans="1:13">
      <c r="A506" t="s">
        <v>4</v>
      </c>
      <c r="B506" s="4">
        <v>46311.646577812498</v>
      </c>
      <c r="C506" s="5">
        <v>95.235000000000582</v>
      </c>
      <c r="D506" s="5">
        <v>1.58725000000001</v>
      </c>
      <c r="E506" s="5">
        <v>20</v>
      </c>
      <c r="F506" s="5">
        <v>3675988</v>
      </c>
      <c r="G506" s="5">
        <v>345</v>
      </c>
      <c r="H506" s="5">
        <v>0.49209999999999998</v>
      </c>
      <c r="I506" s="5">
        <v>1.6862170000000001</v>
      </c>
      <c r="J506" s="5">
        <v>6.4835700000000003</v>
      </c>
      <c r="K506" s="5">
        <v>-0.64485999999999954</v>
      </c>
      <c r="L506" s="5">
        <v>-3.2299999999999329E-2</v>
      </c>
      <c r="M506" s="5">
        <v>-0.38759999999999201</v>
      </c>
    </row>
    <row r="507" spans="1:13">
      <c r="A507" t="s">
        <v>4</v>
      </c>
      <c r="B507" s="4">
        <v>46311.646635578705</v>
      </c>
      <c r="C507" s="5">
        <v>100.21899999999729</v>
      </c>
      <c r="D507" s="5">
        <v>1.670316666666622</v>
      </c>
      <c r="E507" s="5">
        <v>21</v>
      </c>
      <c r="F507" s="5">
        <v>3680989</v>
      </c>
      <c r="G507" s="5">
        <v>346.16</v>
      </c>
      <c r="H507" s="5">
        <v>0.3644</v>
      </c>
      <c r="I507" s="5">
        <v>1.6918869999999999</v>
      </c>
      <c r="J507" s="5">
        <v>6.4501200000000001</v>
      </c>
      <c r="K507" s="5">
        <v>-0.67830999999999975</v>
      </c>
      <c r="L507" s="5">
        <v>-3.3450000000000202E-2</v>
      </c>
      <c r="M507" s="5">
        <v>-0.40268860353156588</v>
      </c>
    </row>
    <row r="508" spans="1:13">
      <c r="A508" t="s">
        <v>4</v>
      </c>
      <c r="B508" s="4">
        <v>46311.646693530092</v>
      </c>
      <c r="C508" s="5">
        <v>105.2350000000006</v>
      </c>
      <c r="D508" s="5">
        <v>1.7539166666666759</v>
      </c>
      <c r="E508" s="5">
        <v>22</v>
      </c>
      <c r="F508" s="5">
        <v>3685989</v>
      </c>
      <c r="G508" s="5">
        <v>346.8</v>
      </c>
      <c r="H508" s="5">
        <v>0.63739999999999997</v>
      </c>
      <c r="I508" s="5">
        <v>1.6950149999999999</v>
      </c>
      <c r="J508" s="5">
        <v>6.4316599999999999</v>
      </c>
      <c r="K508" s="5">
        <v>-0.69676999999999989</v>
      </c>
      <c r="L508" s="5">
        <v>-1.8460000000000139E-2</v>
      </c>
      <c r="M508" s="5">
        <v>-0.2208133971290448</v>
      </c>
    </row>
    <row r="509" spans="1:13">
      <c r="A509" t="s">
        <v>4</v>
      </c>
      <c r="B509" s="4">
        <v>46311.646751319444</v>
      </c>
      <c r="C509" s="5">
        <v>110.21899999999729</v>
      </c>
      <c r="D509" s="5">
        <v>1.836983333333289</v>
      </c>
      <c r="E509" s="5">
        <v>23</v>
      </c>
      <c r="F509" s="5">
        <v>3690989</v>
      </c>
      <c r="G509" s="5">
        <v>347.96</v>
      </c>
      <c r="H509" s="5">
        <v>0.35360000000000003</v>
      </c>
      <c r="I509" s="5">
        <v>1.7006840000000001</v>
      </c>
      <c r="J509" s="5">
        <v>6.3982099999999997</v>
      </c>
      <c r="K509" s="5">
        <v>-0.73022000000000009</v>
      </c>
      <c r="L509" s="5">
        <v>-3.3450000000000202E-2</v>
      </c>
      <c r="M509" s="5">
        <v>-0.40268860353156588</v>
      </c>
    </row>
    <row r="510" spans="1:13">
      <c r="A510" t="s">
        <v>4</v>
      </c>
      <c r="B510" s="4">
        <v>46311.646809085651</v>
      </c>
      <c r="C510" s="5">
        <v>115.21899999999729</v>
      </c>
      <c r="D510" s="5">
        <v>1.920316666666622</v>
      </c>
      <c r="E510" s="5">
        <v>24</v>
      </c>
      <c r="F510" s="5">
        <v>3695989</v>
      </c>
      <c r="G510" s="5">
        <v>349.24</v>
      </c>
      <c r="H510" s="5">
        <v>0.433</v>
      </c>
      <c r="I510" s="5">
        <v>1.7069399999999999</v>
      </c>
      <c r="J510" s="5">
        <v>6.3612900000000003</v>
      </c>
      <c r="K510" s="5">
        <v>-0.76713999999999949</v>
      </c>
      <c r="L510" s="5">
        <v>-3.6919999999999398E-2</v>
      </c>
      <c r="M510" s="5">
        <v>-0.44303999999999277</v>
      </c>
    </row>
    <row r="511" spans="1:13">
      <c r="A511" t="s">
        <v>4</v>
      </c>
      <c r="B511" s="4">
        <v>46311.646866875002</v>
      </c>
      <c r="C511" s="5">
        <v>120.2030000000013</v>
      </c>
      <c r="D511" s="5">
        <v>2.0033833333333551</v>
      </c>
      <c r="E511" s="5">
        <v>25</v>
      </c>
      <c r="F511" s="5">
        <v>3700989</v>
      </c>
      <c r="G511" s="5">
        <v>349.92</v>
      </c>
      <c r="H511" s="5">
        <v>0.55200000000000005</v>
      </c>
      <c r="I511" s="5">
        <v>1.710264</v>
      </c>
      <c r="J511" s="5">
        <v>6.3416800000000002</v>
      </c>
      <c r="K511" s="5">
        <v>-0.78674999999999962</v>
      </c>
      <c r="L511" s="5">
        <v>-1.9610000000000131E-2</v>
      </c>
      <c r="M511" s="5">
        <v>-0.2360754414123313</v>
      </c>
    </row>
    <row r="512" spans="1:13">
      <c r="A512" t="s">
        <v>4</v>
      </c>
      <c r="B512" s="4">
        <v>46311.646924826389</v>
      </c>
      <c r="C512" s="5">
        <v>125.2030000000013</v>
      </c>
      <c r="D512" s="5">
        <v>2.086716666666689</v>
      </c>
      <c r="E512" s="5">
        <v>26</v>
      </c>
      <c r="F512" s="5">
        <v>3705989</v>
      </c>
      <c r="G512" s="5">
        <v>350.96</v>
      </c>
      <c r="H512" s="5">
        <v>0.45069999999999999</v>
      </c>
      <c r="I512" s="5">
        <v>1.715347</v>
      </c>
      <c r="J512" s="5">
        <v>6.3116899999999996</v>
      </c>
      <c r="K512" s="5">
        <v>-0.81674000000000024</v>
      </c>
      <c r="L512" s="5">
        <v>-2.9990000000000631E-2</v>
      </c>
      <c r="M512" s="5">
        <v>-0.35988000000000753</v>
      </c>
    </row>
    <row r="513" spans="1:13">
      <c r="A513" t="s">
        <v>4</v>
      </c>
      <c r="B513" s="4">
        <v>46311.646982592596</v>
      </c>
      <c r="C513" s="5">
        <v>130.20300000000131</v>
      </c>
      <c r="D513" s="5">
        <v>2.170050000000022</v>
      </c>
      <c r="E513" s="5">
        <v>27</v>
      </c>
      <c r="F513" s="5">
        <v>3710989</v>
      </c>
      <c r="G513" s="5">
        <v>352</v>
      </c>
      <c r="H513" s="5">
        <v>0.27950000000000003</v>
      </c>
      <c r="I513" s="5">
        <v>1.7204299999999999</v>
      </c>
      <c r="J513" s="5">
        <v>6.2816900000000002</v>
      </c>
      <c r="K513" s="5">
        <v>-0.8467399999999996</v>
      </c>
      <c r="L513" s="5">
        <v>-2.9999999999999361E-2</v>
      </c>
      <c r="M513" s="5">
        <v>-0.35999999999999233</v>
      </c>
    </row>
    <row r="514" spans="1:13">
      <c r="A514" t="s">
        <v>4</v>
      </c>
      <c r="B514" s="4">
        <v>46311.647040370372</v>
      </c>
      <c r="C514" s="5">
        <v>135.18800000000189</v>
      </c>
      <c r="D514" s="5">
        <v>2.253133333333365</v>
      </c>
      <c r="E514" s="5">
        <v>28</v>
      </c>
      <c r="F514" s="5">
        <v>3715989</v>
      </c>
      <c r="G514" s="5">
        <v>353.12</v>
      </c>
      <c r="H514" s="5">
        <v>0.433</v>
      </c>
      <c r="I514" s="5">
        <v>1.7259040000000001</v>
      </c>
      <c r="J514" s="5">
        <v>6.24939</v>
      </c>
      <c r="K514" s="5">
        <v>-0.87903999999999982</v>
      </c>
      <c r="L514" s="5">
        <v>-3.2300000000000217E-2</v>
      </c>
      <c r="M514" s="5">
        <v>-0.38876629889664732</v>
      </c>
    </row>
    <row r="515" spans="1:13">
      <c r="A515" t="s">
        <v>4</v>
      </c>
      <c r="B515" s="4">
        <v>46311.647098333335</v>
      </c>
      <c r="C515" s="5">
        <v>140.20300000000131</v>
      </c>
      <c r="D515" s="5">
        <v>2.336716666666689</v>
      </c>
      <c r="E515" s="5">
        <v>29</v>
      </c>
      <c r="F515" s="5">
        <v>3720990</v>
      </c>
      <c r="G515" s="5">
        <v>354.36</v>
      </c>
      <c r="H515" s="5">
        <v>0.49209999999999998</v>
      </c>
      <c r="I515" s="5">
        <v>1.731965</v>
      </c>
      <c r="J515" s="5">
        <v>6.2136300000000002</v>
      </c>
      <c r="K515" s="5">
        <v>-0.91479999999999961</v>
      </c>
      <c r="L515" s="5">
        <v>-3.5759999999999792E-2</v>
      </c>
      <c r="M515" s="5">
        <v>-0.42783649052846201</v>
      </c>
    </row>
    <row r="516" spans="1:13">
      <c r="A516" t="s">
        <v>4</v>
      </c>
      <c r="B516" s="4">
        <v>46311.64715611111</v>
      </c>
      <c r="C516" s="5">
        <v>145.18800000000189</v>
      </c>
      <c r="D516" s="5">
        <v>2.4198000000000319</v>
      </c>
      <c r="E516" s="5">
        <v>30</v>
      </c>
      <c r="F516" s="5">
        <v>3725990</v>
      </c>
      <c r="G516" s="5">
        <v>355.48</v>
      </c>
      <c r="H516" s="5">
        <v>0.49209999999999998</v>
      </c>
      <c r="I516" s="5">
        <v>1.737439</v>
      </c>
      <c r="J516" s="5">
        <v>6.18133</v>
      </c>
      <c r="K516" s="5">
        <v>-0.94709999999999983</v>
      </c>
      <c r="L516" s="5">
        <v>-3.2300000000000217E-2</v>
      </c>
      <c r="M516" s="5">
        <v>-0.38876629889664732</v>
      </c>
    </row>
    <row r="517" spans="1:13">
      <c r="A517" t="s">
        <v>4</v>
      </c>
      <c r="B517" s="4">
        <v>46311.647213877317</v>
      </c>
      <c r="C517" s="5">
        <v>150.18800000000189</v>
      </c>
      <c r="D517" s="5">
        <v>2.503133333333365</v>
      </c>
      <c r="E517" s="5">
        <v>31</v>
      </c>
      <c r="F517" s="5">
        <v>3730989</v>
      </c>
      <c r="G517" s="5">
        <v>356.68</v>
      </c>
      <c r="H517" s="5">
        <v>0.47599999999999998</v>
      </c>
      <c r="I517" s="5">
        <v>1.743304</v>
      </c>
      <c r="J517" s="5">
        <v>6.1467200000000002</v>
      </c>
      <c r="K517" s="5">
        <v>-0.98170999999999964</v>
      </c>
      <c r="L517" s="5">
        <v>-3.4609999999999808E-2</v>
      </c>
      <c r="M517" s="5">
        <v>-0.41531999999999769</v>
      </c>
    </row>
    <row r="518" spans="1:13">
      <c r="A518" t="s">
        <v>4</v>
      </c>
      <c r="B518" s="4">
        <v>46311.64727184028</v>
      </c>
      <c r="C518" s="5">
        <v>155.18800000000189</v>
      </c>
      <c r="D518" s="5">
        <v>2.5864666666666989</v>
      </c>
      <c r="E518" s="5">
        <v>32</v>
      </c>
      <c r="F518" s="5">
        <v>3735989</v>
      </c>
      <c r="G518" s="5">
        <v>357.76</v>
      </c>
      <c r="H518" s="5">
        <v>0.5</v>
      </c>
      <c r="I518" s="5">
        <v>1.748583</v>
      </c>
      <c r="J518" s="5">
        <v>6.11557</v>
      </c>
      <c r="K518" s="5">
        <v>-1.0128600000000001</v>
      </c>
      <c r="L518" s="5">
        <v>-3.115000000000023E-2</v>
      </c>
      <c r="M518" s="5">
        <v>-0.3738000000000028</v>
      </c>
    </row>
    <row r="519" spans="1:13">
      <c r="A519" t="s">
        <v>4</v>
      </c>
      <c r="B519" s="4">
        <v>46311.64732960648</v>
      </c>
      <c r="C519" s="5">
        <v>160.18800000000189</v>
      </c>
      <c r="D519" s="5">
        <v>2.6698000000000319</v>
      </c>
      <c r="E519" s="5">
        <v>33</v>
      </c>
      <c r="F519" s="5">
        <v>3740990</v>
      </c>
      <c r="G519" s="5">
        <v>358.84</v>
      </c>
      <c r="H519" s="5">
        <v>0.4677</v>
      </c>
      <c r="I519" s="5">
        <v>1.7538609999999999</v>
      </c>
      <c r="J519" s="5">
        <v>6.0844300000000002</v>
      </c>
      <c r="K519" s="5">
        <v>-1.044</v>
      </c>
      <c r="L519" s="5">
        <v>-3.113999999999972E-2</v>
      </c>
      <c r="M519" s="5">
        <v>-0.37367999999999668</v>
      </c>
    </row>
    <row r="520" spans="1:13">
      <c r="A520" t="s">
        <v>4</v>
      </c>
      <c r="B520" s="4">
        <v>46311.647387395831</v>
      </c>
      <c r="C520" s="5">
        <v>165.17199999999869</v>
      </c>
      <c r="D520" s="5">
        <v>2.7528666666666441</v>
      </c>
      <c r="E520" s="5">
        <v>34</v>
      </c>
      <c r="F520" s="5">
        <v>3745989</v>
      </c>
      <c r="G520" s="5">
        <v>360.24</v>
      </c>
      <c r="H520" s="5">
        <v>0.433</v>
      </c>
      <c r="I520" s="5">
        <v>1.760704</v>
      </c>
      <c r="J520" s="5">
        <v>6.0440500000000004</v>
      </c>
      <c r="K520" s="5">
        <v>-1.084379999999999</v>
      </c>
      <c r="L520" s="5">
        <v>-4.037999999999986E-2</v>
      </c>
      <c r="M520" s="5">
        <v>-0.4861155698237512</v>
      </c>
    </row>
    <row r="521" spans="1:13">
      <c r="A521" t="s">
        <v>4</v>
      </c>
      <c r="B521" s="4">
        <v>46311.64744533565</v>
      </c>
      <c r="C521" s="5">
        <v>170.18800000000189</v>
      </c>
      <c r="D521" s="5">
        <v>2.8364666666666989</v>
      </c>
      <c r="E521" s="5">
        <v>35</v>
      </c>
      <c r="F521" s="5">
        <v>3750990</v>
      </c>
      <c r="G521" s="5">
        <v>361.36</v>
      </c>
      <c r="H521" s="5">
        <v>0.49209999999999998</v>
      </c>
      <c r="I521" s="5">
        <v>1.766178</v>
      </c>
      <c r="J521" s="5">
        <v>6.0117500000000001</v>
      </c>
      <c r="K521" s="5">
        <v>-1.1166799999999999</v>
      </c>
      <c r="L521" s="5">
        <v>-3.2300000000000217E-2</v>
      </c>
      <c r="M521" s="5">
        <v>-0.38636363636338789</v>
      </c>
    </row>
    <row r="522" spans="1:13">
      <c r="A522" t="s">
        <v>4</v>
      </c>
      <c r="B522" s="4">
        <v>46311.647503125001</v>
      </c>
      <c r="C522" s="5">
        <v>175.17199999999869</v>
      </c>
      <c r="D522" s="5">
        <v>2.9195333333333111</v>
      </c>
      <c r="E522" s="5">
        <v>36</v>
      </c>
      <c r="F522" s="5">
        <v>3755988</v>
      </c>
      <c r="G522" s="5">
        <v>362.76</v>
      </c>
      <c r="H522" s="5">
        <v>0.5</v>
      </c>
      <c r="I522" s="5">
        <v>1.773021</v>
      </c>
      <c r="J522" s="5">
        <v>5.9713700000000003</v>
      </c>
      <c r="K522" s="5">
        <v>-1.15706</v>
      </c>
      <c r="L522" s="5">
        <v>-4.037999999999986E-2</v>
      </c>
      <c r="M522" s="5">
        <v>-0.4861155698237512</v>
      </c>
    </row>
    <row r="523" spans="1:13">
      <c r="A523" t="s">
        <v>4</v>
      </c>
      <c r="B523" s="4">
        <v>46311.647560891201</v>
      </c>
      <c r="C523" s="5">
        <v>180.17199999999869</v>
      </c>
      <c r="D523" s="5">
        <v>3.0028666666666441</v>
      </c>
      <c r="E523" s="5">
        <v>37</v>
      </c>
      <c r="F523" s="5">
        <v>3760989</v>
      </c>
      <c r="G523" s="5">
        <v>364.08</v>
      </c>
      <c r="H523" s="5">
        <v>0.27950000000000003</v>
      </c>
      <c r="I523" s="5">
        <v>1.7794719999999999</v>
      </c>
      <c r="J523" s="5">
        <v>5.9333099999999996</v>
      </c>
      <c r="K523" s="5">
        <v>-1.19512</v>
      </c>
      <c r="L523" s="5">
        <v>-3.8060000000000649E-2</v>
      </c>
      <c r="M523" s="5">
        <v>-0.45672000000000779</v>
      </c>
    </row>
    <row r="524" spans="1:13">
      <c r="A524" t="s">
        <v>4</v>
      </c>
      <c r="B524" s="4">
        <v>46311.647618842595</v>
      </c>
      <c r="C524" s="5">
        <v>185.17199999999869</v>
      </c>
      <c r="D524" s="5">
        <v>3.0861999999999781</v>
      </c>
      <c r="E524" s="5">
        <v>38</v>
      </c>
      <c r="F524" s="5">
        <v>3765989</v>
      </c>
      <c r="G524" s="5">
        <v>365.56</v>
      </c>
      <c r="H524" s="5">
        <v>0.5</v>
      </c>
      <c r="I524" s="5">
        <v>1.7867059999999999</v>
      </c>
      <c r="J524" s="5">
        <v>5.8906200000000002</v>
      </c>
      <c r="K524" s="5">
        <v>-1.2378100000000001</v>
      </c>
      <c r="L524" s="5">
        <v>-4.2689999999999451E-2</v>
      </c>
      <c r="M524" s="5">
        <v>-0.51227999999999341</v>
      </c>
    </row>
    <row r="525" spans="1:13">
      <c r="A525" t="s">
        <v>4</v>
      </c>
      <c r="B525" s="4">
        <v>46311.647676631947</v>
      </c>
      <c r="C525" s="5">
        <v>190.17199999999869</v>
      </c>
      <c r="D525" s="5">
        <v>3.1695333333333111</v>
      </c>
      <c r="E525" s="5">
        <v>39</v>
      </c>
      <c r="F525" s="5">
        <v>3770989</v>
      </c>
      <c r="G525" s="5">
        <v>366.64</v>
      </c>
      <c r="H525" s="5">
        <v>0.4677</v>
      </c>
      <c r="I525" s="5">
        <v>1.791984</v>
      </c>
      <c r="J525" s="5">
        <v>5.85947</v>
      </c>
      <c r="K525" s="5">
        <v>-1.2689600000000001</v>
      </c>
      <c r="L525" s="5">
        <v>-3.115000000000023E-2</v>
      </c>
      <c r="M525" s="5">
        <v>-0.3738000000000028</v>
      </c>
    </row>
    <row r="526" spans="1:13">
      <c r="A526" t="s">
        <v>4</v>
      </c>
      <c r="B526" s="4">
        <v>46311.647734398146</v>
      </c>
      <c r="C526" s="5">
        <v>195.15600000000271</v>
      </c>
      <c r="D526" s="5">
        <v>3.252600000000045</v>
      </c>
      <c r="E526" s="5">
        <v>40</v>
      </c>
      <c r="F526" s="5">
        <v>3775989</v>
      </c>
      <c r="G526" s="5">
        <v>368.24</v>
      </c>
      <c r="H526" s="5">
        <v>0.51539999999999997</v>
      </c>
      <c r="I526" s="5">
        <v>1.799804</v>
      </c>
      <c r="J526" s="5">
        <v>5.8133299999999997</v>
      </c>
      <c r="K526" s="5">
        <v>-1.3150999999999999</v>
      </c>
      <c r="L526" s="5">
        <v>-4.6140000000000292E-2</v>
      </c>
      <c r="M526" s="5">
        <v>-0.55545746388398609</v>
      </c>
    </row>
    <row r="527" spans="1:13">
      <c r="A527" t="s">
        <v>4</v>
      </c>
      <c r="B527" s="4">
        <v>46311.647792361109</v>
      </c>
      <c r="C527" s="5">
        <v>200.17199999999869</v>
      </c>
      <c r="D527" s="5">
        <v>3.3361999999999781</v>
      </c>
      <c r="E527" s="5">
        <v>41</v>
      </c>
      <c r="F527" s="5">
        <v>3780988</v>
      </c>
      <c r="G527" s="5">
        <v>369.52</v>
      </c>
      <c r="H527" s="5">
        <v>0.51539999999999997</v>
      </c>
      <c r="I527" s="5">
        <v>1.80606</v>
      </c>
      <c r="J527" s="5">
        <v>5.7764199999999999</v>
      </c>
      <c r="K527" s="5">
        <v>-1.3520099999999999</v>
      </c>
      <c r="L527" s="5">
        <v>-3.6909999999999783E-2</v>
      </c>
      <c r="M527" s="5">
        <v>-0.44150717703384368</v>
      </c>
    </row>
    <row r="528" spans="1:13">
      <c r="A528" t="s">
        <v>4</v>
      </c>
      <c r="B528" s="4">
        <v>46311.647850127316</v>
      </c>
      <c r="C528" s="5">
        <v>205.15600000000271</v>
      </c>
      <c r="D528" s="5">
        <v>3.4192666666667111</v>
      </c>
      <c r="E528" s="5">
        <v>42</v>
      </c>
      <c r="F528" s="5">
        <v>3785989</v>
      </c>
      <c r="G528" s="5">
        <v>371</v>
      </c>
      <c r="H528" s="5">
        <v>0.55900000000000005</v>
      </c>
      <c r="I528" s="5">
        <v>1.813294</v>
      </c>
      <c r="J528" s="5">
        <v>5.7337300000000004</v>
      </c>
      <c r="K528" s="5">
        <v>-1.3946999999999989</v>
      </c>
      <c r="L528" s="5">
        <v>-4.2689999999999451E-2</v>
      </c>
      <c r="M528" s="5">
        <v>-0.5139245585870591</v>
      </c>
    </row>
    <row r="529" spans="1:13">
      <c r="A529" t="s">
        <v>4</v>
      </c>
      <c r="B529" s="4">
        <v>46311.647907905091</v>
      </c>
      <c r="C529" s="5">
        <v>210.15600000000271</v>
      </c>
      <c r="D529" s="5">
        <v>3.502600000000045</v>
      </c>
      <c r="E529" s="5">
        <v>43</v>
      </c>
      <c r="F529" s="5">
        <v>3790989</v>
      </c>
      <c r="G529" s="5">
        <v>372.36</v>
      </c>
      <c r="H529" s="5">
        <v>0.5</v>
      </c>
      <c r="I529" s="5">
        <v>1.819941</v>
      </c>
      <c r="J529" s="5">
        <v>5.6945100000000002</v>
      </c>
      <c r="K529" s="5">
        <v>-1.4339200000000001</v>
      </c>
      <c r="L529" s="5">
        <v>-3.9220000000000248E-2</v>
      </c>
      <c r="M529" s="5">
        <v>-0.47064000000000311</v>
      </c>
    </row>
    <row r="530" spans="1:13">
      <c r="A530" t="s">
        <v>4</v>
      </c>
      <c r="B530" s="4">
        <v>46311.647965868055</v>
      </c>
      <c r="C530" s="5">
        <v>215.15600000000271</v>
      </c>
      <c r="D530" s="5">
        <v>3.585933333333378</v>
      </c>
      <c r="E530" s="5">
        <v>44</v>
      </c>
      <c r="F530" s="5">
        <v>3795989</v>
      </c>
      <c r="G530" s="5">
        <v>373.84</v>
      </c>
      <c r="H530" s="5">
        <v>0.4677</v>
      </c>
      <c r="I530" s="5">
        <v>1.827175</v>
      </c>
      <c r="J530" s="5">
        <v>5.6518300000000004</v>
      </c>
      <c r="K530" s="5">
        <v>-1.476599999999999</v>
      </c>
      <c r="L530" s="5">
        <v>-4.2679999999999829E-2</v>
      </c>
      <c r="M530" s="5">
        <v>-0.51215999999999795</v>
      </c>
    </row>
    <row r="531" spans="1:13">
      <c r="A531" t="s">
        <v>4</v>
      </c>
      <c r="B531" s="4">
        <v>46311.64802364583</v>
      </c>
      <c r="C531" s="5">
        <v>220.15600000000271</v>
      </c>
      <c r="D531" s="5">
        <v>3.6692666666667111</v>
      </c>
      <c r="E531" s="5">
        <v>45</v>
      </c>
      <c r="F531" s="5">
        <v>3800989</v>
      </c>
      <c r="G531" s="5">
        <v>375.36</v>
      </c>
      <c r="H531" s="5">
        <v>0.48409999999999997</v>
      </c>
      <c r="I531" s="5">
        <v>1.8346039999999999</v>
      </c>
      <c r="J531" s="5">
        <v>5.60799</v>
      </c>
      <c r="K531" s="5">
        <v>-1.52044</v>
      </c>
      <c r="L531" s="5">
        <v>-4.3840000000000323E-2</v>
      </c>
      <c r="M531" s="5">
        <v>-0.52608000000000388</v>
      </c>
    </row>
    <row r="532" spans="1:13">
      <c r="A532" t="s">
        <v>4</v>
      </c>
      <c r="B532" s="4">
        <v>46311.648081412037</v>
      </c>
      <c r="C532" s="5">
        <v>225.14100000000329</v>
      </c>
      <c r="D532" s="5">
        <v>3.752350000000054</v>
      </c>
      <c r="E532" s="5">
        <v>46</v>
      </c>
      <c r="F532" s="5">
        <v>3805989</v>
      </c>
      <c r="G532" s="5">
        <v>377.08</v>
      </c>
      <c r="H532" s="5">
        <v>0.41460000000000002</v>
      </c>
      <c r="I532" s="5">
        <v>1.843011</v>
      </c>
      <c r="J532" s="5">
        <v>5.5583900000000002</v>
      </c>
      <c r="K532" s="5">
        <v>-1.5700400000000001</v>
      </c>
      <c r="L532" s="5">
        <v>-4.9599999999999873E-2</v>
      </c>
      <c r="M532" s="5">
        <v>-0.59699097291868497</v>
      </c>
    </row>
    <row r="533" spans="1:13">
      <c r="A533" t="s">
        <v>4</v>
      </c>
      <c r="B533" s="4">
        <v>46311.648139375</v>
      </c>
      <c r="C533" s="5">
        <v>230.14100000000329</v>
      </c>
      <c r="D533" s="5">
        <v>3.835683333333388</v>
      </c>
      <c r="E533" s="5">
        <v>47</v>
      </c>
      <c r="F533" s="5">
        <v>3810989</v>
      </c>
      <c r="G533" s="5">
        <v>378.4</v>
      </c>
      <c r="H533" s="5">
        <v>0.48409999999999997</v>
      </c>
      <c r="I533" s="5">
        <v>1.8494619999999999</v>
      </c>
      <c r="J533" s="5">
        <v>5.5203199999999999</v>
      </c>
      <c r="K533" s="5">
        <v>-1.6081099999999999</v>
      </c>
      <c r="L533" s="5">
        <v>-3.807000000000027E-2</v>
      </c>
      <c r="M533" s="5">
        <v>-0.45684000000000319</v>
      </c>
    </row>
    <row r="534" spans="1:13">
      <c r="A534" t="s">
        <v>4</v>
      </c>
      <c r="B534" s="4">
        <v>46311.648197141207</v>
      </c>
      <c r="C534" s="5">
        <v>235.14100000000329</v>
      </c>
      <c r="D534" s="5">
        <v>3.919016666666721</v>
      </c>
      <c r="E534" s="5">
        <v>48</v>
      </c>
      <c r="F534" s="5">
        <v>3815989</v>
      </c>
      <c r="G534" s="5">
        <v>379.76</v>
      </c>
      <c r="H534" s="5">
        <v>0.41460000000000002</v>
      </c>
      <c r="I534" s="5">
        <v>1.8561099999999999</v>
      </c>
      <c r="J534" s="5">
        <v>5.48109</v>
      </c>
      <c r="K534" s="5">
        <v>-1.64734</v>
      </c>
      <c r="L534" s="5">
        <v>-3.9229999999999883E-2</v>
      </c>
      <c r="M534" s="5">
        <v>-0.47075999999999851</v>
      </c>
    </row>
    <row r="535" spans="1:13">
      <c r="A535" t="s">
        <v>4</v>
      </c>
      <c r="B535" s="4">
        <v>46311.648254930558</v>
      </c>
      <c r="C535" s="5">
        <v>240.125</v>
      </c>
      <c r="D535" s="5">
        <v>4.0020833333333332</v>
      </c>
      <c r="E535" s="5">
        <v>49</v>
      </c>
      <c r="F535" s="5">
        <v>3820989</v>
      </c>
      <c r="G535" s="5">
        <v>381.32</v>
      </c>
      <c r="H535" s="5">
        <v>0.53029999999999999</v>
      </c>
      <c r="I535" s="5">
        <v>1.863734</v>
      </c>
      <c r="J535" s="5">
        <v>5.4360999999999997</v>
      </c>
      <c r="K535" s="5">
        <v>-1.6923299999999999</v>
      </c>
      <c r="L535" s="5">
        <v>-4.4990000000000308E-2</v>
      </c>
      <c r="M535" s="5">
        <v>-0.54161316211913801</v>
      </c>
    </row>
    <row r="536" spans="1:13">
      <c r="A536" t="s">
        <v>4</v>
      </c>
      <c r="B536" s="4">
        <v>46311.648312696758</v>
      </c>
      <c r="C536" s="5">
        <v>245.125</v>
      </c>
      <c r="D536" s="5">
        <v>4.0854166666666663</v>
      </c>
      <c r="E536" s="5">
        <v>50</v>
      </c>
      <c r="F536" s="5">
        <v>3825989</v>
      </c>
      <c r="G536" s="5">
        <v>382.64</v>
      </c>
      <c r="H536" s="5">
        <v>0.55900000000000005</v>
      </c>
      <c r="I536" s="5">
        <v>1.8701859999999999</v>
      </c>
      <c r="J536" s="5">
        <v>5.3980399999999999</v>
      </c>
      <c r="K536" s="5">
        <v>-1.7303900000000001</v>
      </c>
      <c r="L536" s="5">
        <v>-3.8059999999999761E-2</v>
      </c>
      <c r="M536" s="5">
        <v>-0.45671999999999707</v>
      </c>
    </row>
    <row r="537" spans="1:13">
      <c r="A537" t="s">
        <v>4</v>
      </c>
      <c r="B537" s="4">
        <v>46311.648370659721</v>
      </c>
      <c r="C537" s="5">
        <v>250.125</v>
      </c>
      <c r="D537" s="5">
        <v>4.1687500000000002</v>
      </c>
      <c r="E537" s="5">
        <v>51</v>
      </c>
      <c r="F537" s="5">
        <v>3830989</v>
      </c>
      <c r="G537" s="5">
        <v>384.16</v>
      </c>
      <c r="H537" s="5">
        <v>0.4677</v>
      </c>
      <c r="I537" s="5">
        <v>1.877615</v>
      </c>
      <c r="J537" s="5">
        <v>5.3541999999999996</v>
      </c>
      <c r="K537" s="5">
        <v>-1.77423</v>
      </c>
      <c r="L537" s="5">
        <v>-4.3840000000000323E-2</v>
      </c>
      <c r="M537" s="5">
        <v>-0.52608000000000388</v>
      </c>
    </row>
    <row r="538" spans="1:13">
      <c r="A538" t="s">
        <v>4</v>
      </c>
      <c r="B538" s="4">
        <v>46311.648428425928</v>
      </c>
      <c r="C538" s="5">
        <v>255.125</v>
      </c>
      <c r="D538" s="5">
        <v>4.2520833333333332</v>
      </c>
      <c r="E538" s="5">
        <v>52</v>
      </c>
      <c r="F538" s="5">
        <v>3835988</v>
      </c>
      <c r="G538" s="5">
        <v>385.8</v>
      </c>
      <c r="H538" s="5">
        <v>0.41460000000000002</v>
      </c>
      <c r="I538" s="5">
        <v>1.8856299999999999</v>
      </c>
      <c r="J538" s="5">
        <v>5.3068999999999997</v>
      </c>
      <c r="K538" s="5">
        <v>-1.8215300000000001</v>
      </c>
      <c r="L538" s="5">
        <v>-4.7299999999999898E-2</v>
      </c>
      <c r="M538" s="5">
        <v>-0.56759999999999877</v>
      </c>
    </row>
    <row r="539" spans="1:13">
      <c r="A539" t="s">
        <v>4</v>
      </c>
      <c r="B539" s="4">
        <v>46311.648486203703</v>
      </c>
      <c r="C539" s="5">
        <v>260.11000000000058</v>
      </c>
      <c r="D539" s="5">
        <v>4.3351666666666766</v>
      </c>
      <c r="E539" s="5">
        <v>53</v>
      </c>
      <c r="F539" s="5">
        <v>3840989</v>
      </c>
      <c r="G539" s="5">
        <v>387.36</v>
      </c>
      <c r="H539" s="5">
        <v>0.48409999999999997</v>
      </c>
      <c r="I539" s="5">
        <v>1.8932549999999999</v>
      </c>
      <c r="J539" s="5">
        <v>5.2619100000000003</v>
      </c>
      <c r="K539" s="5">
        <v>-1.86652</v>
      </c>
      <c r="L539" s="5">
        <v>-4.4989999999999419E-2</v>
      </c>
      <c r="M539" s="5">
        <v>-0.54150451354055174</v>
      </c>
    </row>
    <row r="540" spans="1:13">
      <c r="A540" t="s">
        <v>4</v>
      </c>
      <c r="B540" s="4">
        <v>46311.64854415509</v>
      </c>
      <c r="C540" s="5">
        <v>265.125</v>
      </c>
      <c r="D540" s="5">
        <v>4.4187500000000002</v>
      </c>
      <c r="E540" s="5">
        <v>54</v>
      </c>
      <c r="F540" s="5">
        <v>3845989</v>
      </c>
      <c r="G540" s="5">
        <v>388.6</v>
      </c>
      <c r="H540" s="5">
        <v>0.55900000000000005</v>
      </c>
      <c r="I540" s="5">
        <v>1.899316</v>
      </c>
      <c r="J540" s="5">
        <v>5.2261499999999996</v>
      </c>
      <c r="K540" s="5">
        <v>-1.90228</v>
      </c>
      <c r="L540" s="5">
        <v>-3.576000000000068E-2</v>
      </c>
      <c r="M540" s="5">
        <v>-0.42783649052847261</v>
      </c>
    </row>
    <row r="541" spans="1:13">
      <c r="A541" t="s">
        <v>4</v>
      </c>
      <c r="B541" s="4">
        <v>46311.648601932873</v>
      </c>
      <c r="C541" s="5">
        <v>270.11000000000058</v>
      </c>
      <c r="D541" s="5">
        <v>4.5018333333333427</v>
      </c>
      <c r="E541" s="5">
        <v>55</v>
      </c>
      <c r="F541" s="5">
        <v>3850989</v>
      </c>
      <c r="G541" s="5">
        <v>390.12</v>
      </c>
      <c r="H541" s="5">
        <v>0.58630000000000004</v>
      </c>
      <c r="I541" s="5">
        <v>1.9067449999999999</v>
      </c>
      <c r="J541" s="5">
        <v>5.1823100000000002</v>
      </c>
      <c r="K541" s="5">
        <v>-1.9461200000000001</v>
      </c>
      <c r="L541" s="5">
        <v>-4.3839999999999428E-2</v>
      </c>
      <c r="M541" s="5">
        <v>-0.52766298896683228</v>
      </c>
    </row>
    <row r="542" spans="1:13">
      <c r="A542" t="s">
        <v>4</v>
      </c>
      <c r="B542" s="4">
        <v>46311.648659699073</v>
      </c>
      <c r="C542" s="5">
        <v>275.11000000000058</v>
      </c>
      <c r="D542" s="5">
        <v>4.5851666666666766</v>
      </c>
      <c r="E542" s="5">
        <v>56</v>
      </c>
      <c r="F542" s="5">
        <v>3855989</v>
      </c>
      <c r="G542" s="5">
        <v>391.52</v>
      </c>
      <c r="H542" s="5">
        <v>0.5</v>
      </c>
      <c r="I542" s="5">
        <v>1.9135869999999999</v>
      </c>
      <c r="J542" s="5">
        <v>5.14194</v>
      </c>
      <c r="K542" s="5">
        <v>-1.9864900000000001</v>
      </c>
      <c r="L542" s="5">
        <v>-4.0370000000000239E-2</v>
      </c>
      <c r="M542" s="5">
        <v>-0.48444000000000292</v>
      </c>
    </row>
    <row r="543" spans="1:13">
      <c r="A543" t="s">
        <v>4</v>
      </c>
      <c r="B543" s="4">
        <v>46311.648717662036</v>
      </c>
      <c r="C543" s="5">
        <v>280.11000000000058</v>
      </c>
      <c r="D543" s="5">
        <v>4.6685000000000096</v>
      </c>
      <c r="E543" s="5">
        <v>57</v>
      </c>
      <c r="F543" s="5">
        <v>3860988</v>
      </c>
      <c r="G543" s="5">
        <v>392.76</v>
      </c>
      <c r="H543" s="5">
        <v>0.58630000000000004</v>
      </c>
      <c r="I543" s="5">
        <v>1.919648</v>
      </c>
      <c r="J543" s="5">
        <v>5.1061800000000002</v>
      </c>
      <c r="K543" s="5">
        <v>-2.0222500000000001</v>
      </c>
      <c r="L543" s="5">
        <v>-3.5759999999999792E-2</v>
      </c>
      <c r="M543" s="5">
        <v>-0.4291199999999975</v>
      </c>
    </row>
    <row r="544" spans="1:13">
      <c r="A544" t="s">
        <v>4</v>
      </c>
      <c r="B544" s="4">
        <v>46311.648775451387</v>
      </c>
      <c r="C544" s="5">
        <v>285.11000000000058</v>
      </c>
      <c r="D544" s="5">
        <v>4.7518333333333427</v>
      </c>
      <c r="E544" s="5">
        <v>58</v>
      </c>
      <c r="F544" s="5">
        <v>3865989</v>
      </c>
      <c r="G544" s="5">
        <v>393.96</v>
      </c>
      <c r="H544" s="5">
        <v>0.54490000000000005</v>
      </c>
      <c r="I544" s="5">
        <v>1.925513</v>
      </c>
      <c r="J544" s="5">
        <v>5.0715700000000004</v>
      </c>
      <c r="K544" s="5">
        <v>-2.056859999999999</v>
      </c>
      <c r="L544" s="5">
        <v>-3.4609999999999808E-2</v>
      </c>
      <c r="M544" s="5">
        <v>-0.41531999999999769</v>
      </c>
    </row>
    <row r="545" spans="1:13">
      <c r="A545" t="s">
        <v>4</v>
      </c>
      <c r="B545" s="4">
        <v>46311.648833217594</v>
      </c>
      <c r="C545" s="5">
        <v>290.09399999999732</v>
      </c>
      <c r="D545" s="5">
        <v>4.8348999999999558</v>
      </c>
      <c r="E545" s="5">
        <v>59</v>
      </c>
      <c r="F545" s="5">
        <v>3870989</v>
      </c>
      <c r="G545" s="5">
        <v>395.2</v>
      </c>
      <c r="H545" s="5">
        <v>0.48409999999999997</v>
      </c>
      <c r="I545" s="5">
        <v>1.9315739999999999</v>
      </c>
      <c r="J545" s="5">
        <v>5.0358099999999997</v>
      </c>
      <c r="K545" s="5">
        <v>-2.0926200000000001</v>
      </c>
      <c r="L545" s="5">
        <v>-3.576000000000068E-2</v>
      </c>
      <c r="M545" s="5">
        <v>-0.43049759229563478</v>
      </c>
    </row>
    <row r="546" spans="1:13">
      <c r="A546" t="s">
        <v>4</v>
      </c>
      <c r="B546" s="4">
        <v>46311.648891180557</v>
      </c>
      <c r="C546" s="5">
        <v>295.11000000000058</v>
      </c>
      <c r="D546" s="5">
        <v>4.9185000000000096</v>
      </c>
      <c r="E546" s="5">
        <v>60</v>
      </c>
      <c r="F546" s="5">
        <v>3875989</v>
      </c>
      <c r="G546" s="5">
        <v>396.6</v>
      </c>
      <c r="H546" s="5">
        <v>0.48409999999999997</v>
      </c>
      <c r="I546" s="5">
        <v>1.9384159999999999</v>
      </c>
      <c r="J546" s="5">
        <v>4.9954299999999998</v>
      </c>
      <c r="K546" s="5">
        <v>-2.133</v>
      </c>
      <c r="L546" s="5">
        <v>-4.037999999999986E-2</v>
      </c>
      <c r="M546" s="5">
        <v>-0.48301435406667009</v>
      </c>
    </row>
    <row r="547" spans="1:13">
      <c r="A547" t="s">
        <v>4</v>
      </c>
      <c r="B547" s="4">
        <v>46311.648948958333</v>
      </c>
      <c r="C547" s="5">
        <v>300.09399999999732</v>
      </c>
      <c r="D547" s="5">
        <v>5.0015666666666219</v>
      </c>
      <c r="E547" s="5">
        <v>61</v>
      </c>
      <c r="F547" s="5">
        <v>3880989</v>
      </c>
      <c r="G547" s="5">
        <v>397.76</v>
      </c>
      <c r="H547" s="5">
        <v>0.41460000000000002</v>
      </c>
      <c r="I547" s="5">
        <v>1.944086</v>
      </c>
      <c r="J547" s="5">
        <v>4.9619799999999996</v>
      </c>
      <c r="K547" s="5">
        <v>-2.1664500000000002</v>
      </c>
      <c r="L547" s="5">
        <v>-3.3450000000000202E-2</v>
      </c>
      <c r="M547" s="5">
        <v>-0.40268860353156588</v>
      </c>
    </row>
    <row r="548" spans="1:13">
      <c r="A548" t="s">
        <v>4</v>
      </c>
      <c r="B548" s="4">
        <v>46311.649006736108</v>
      </c>
      <c r="C548" s="5">
        <v>305.09399999999732</v>
      </c>
      <c r="D548" s="5">
        <v>5.0848999999999558</v>
      </c>
      <c r="E548" s="5">
        <v>62</v>
      </c>
      <c r="F548" s="5">
        <v>3885989</v>
      </c>
      <c r="G548" s="5">
        <v>399.08</v>
      </c>
      <c r="H548" s="5">
        <v>0.5</v>
      </c>
      <c r="I548" s="5">
        <v>1.9505380000000001</v>
      </c>
      <c r="J548" s="5">
        <v>4.9239100000000002</v>
      </c>
      <c r="K548" s="5">
        <v>-2.20452</v>
      </c>
      <c r="L548" s="5">
        <v>-3.8069999999999382E-2</v>
      </c>
      <c r="M548" s="5">
        <v>-0.45683999999999259</v>
      </c>
    </row>
    <row r="549" spans="1:13">
      <c r="A549" t="s">
        <v>4</v>
      </c>
      <c r="B549" s="4">
        <v>46311.649064687503</v>
      </c>
      <c r="C549" s="5">
        <v>310.09399999999732</v>
      </c>
      <c r="D549" s="5">
        <v>5.1682333333332888</v>
      </c>
      <c r="E549" s="5">
        <v>63</v>
      </c>
      <c r="F549" s="5">
        <v>3890989</v>
      </c>
      <c r="G549" s="5">
        <v>400</v>
      </c>
      <c r="H549" s="5">
        <v>0.48409999999999997</v>
      </c>
      <c r="I549" s="5">
        <v>1.9550339999999999</v>
      </c>
      <c r="J549" s="5">
        <v>4.8973699999999996</v>
      </c>
      <c r="K549" s="5">
        <v>-2.2310599999999998</v>
      </c>
      <c r="L549" s="5">
        <v>-2.6540000000000671E-2</v>
      </c>
      <c r="M549" s="5">
        <v>-0.31848000000000809</v>
      </c>
    </row>
    <row r="550" spans="1:13">
      <c r="A550" t="s">
        <v>4</v>
      </c>
      <c r="B550" s="4">
        <v>46311.649122453702</v>
      </c>
      <c r="C550" s="5">
        <v>315.09399999999732</v>
      </c>
      <c r="D550" s="5">
        <v>5.2515666666666219</v>
      </c>
      <c r="E550" s="5">
        <v>64</v>
      </c>
      <c r="F550" s="5">
        <v>3895989</v>
      </c>
      <c r="G550" s="5">
        <v>401.2</v>
      </c>
      <c r="H550" s="5">
        <v>0.55900000000000005</v>
      </c>
      <c r="I550" s="5">
        <v>1.9608989999999999</v>
      </c>
      <c r="J550" s="5">
        <v>4.8627700000000003</v>
      </c>
      <c r="K550" s="5">
        <v>-2.26566</v>
      </c>
      <c r="L550" s="5">
        <v>-3.4599999999999298E-2</v>
      </c>
      <c r="M550" s="5">
        <v>-0.41519999999999158</v>
      </c>
    </row>
    <row r="551" spans="1:13">
      <c r="A551" t="s">
        <v>4</v>
      </c>
      <c r="B551" s="4">
        <v>46311.649180231485</v>
      </c>
      <c r="C551" s="5">
        <v>320.07800000000128</v>
      </c>
      <c r="D551" s="5">
        <v>5.3346333333333558</v>
      </c>
      <c r="E551" s="5">
        <v>65</v>
      </c>
      <c r="F551" s="5">
        <v>3900989</v>
      </c>
      <c r="G551" s="5">
        <v>402.24</v>
      </c>
      <c r="H551" s="5">
        <v>0.433</v>
      </c>
      <c r="I551" s="5">
        <v>1.9659819999999999</v>
      </c>
      <c r="J551" s="5">
        <v>4.83277</v>
      </c>
      <c r="K551" s="5">
        <v>-2.2956599999999998</v>
      </c>
      <c r="L551" s="5">
        <v>-3.0000000000000249E-2</v>
      </c>
      <c r="M551" s="5">
        <v>-0.36115569823406191</v>
      </c>
    </row>
    <row r="552" spans="1:13">
      <c r="A552" t="s">
        <v>4</v>
      </c>
      <c r="B552" s="4">
        <v>46311.649238194441</v>
      </c>
      <c r="C552" s="5">
        <v>325.09399999999732</v>
      </c>
      <c r="D552" s="5">
        <v>5.4182333333332888</v>
      </c>
      <c r="E552" s="5">
        <v>66</v>
      </c>
      <c r="F552" s="5">
        <v>3905989</v>
      </c>
      <c r="G552" s="5">
        <v>403.24</v>
      </c>
      <c r="H552" s="5">
        <v>0.53029999999999999</v>
      </c>
      <c r="I552" s="5">
        <v>1.9708699999999999</v>
      </c>
      <c r="J552" s="5">
        <v>4.8039300000000003</v>
      </c>
      <c r="K552" s="5">
        <v>-2.3245</v>
      </c>
      <c r="L552" s="5">
        <v>-2.8839999999999751E-2</v>
      </c>
      <c r="M552" s="5">
        <v>-0.34497607655529722</v>
      </c>
    </row>
    <row r="553" spans="1:13">
      <c r="A553" t="s">
        <v>4</v>
      </c>
      <c r="B553" s="4">
        <v>46311.649295972224</v>
      </c>
      <c r="C553" s="5">
        <v>330.07800000000128</v>
      </c>
      <c r="D553" s="5">
        <v>5.5013000000000227</v>
      </c>
      <c r="E553" s="5">
        <v>67</v>
      </c>
      <c r="F553" s="5">
        <v>3910989</v>
      </c>
      <c r="G553" s="5">
        <v>404.16</v>
      </c>
      <c r="H553" s="5">
        <v>0.61240000000000006</v>
      </c>
      <c r="I553" s="5">
        <v>1.9753670000000001</v>
      </c>
      <c r="J553" s="5">
        <v>4.7774000000000001</v>
      </c>
      <c r="K553" s="5">
        <v>-2.3510300000000002</v>
      </c>
      <c r="L553" s="5">
        <v>-2.6530000000000161E-2</v>
      </c>
      <c r="M553" s="5">
        <v>-0.3193820224716547</v>
      </c>
    </row>
    <row r="554" spans="1:13">
      <c r="A554" t="s">
        <v>4</v>
      </c>
      <c r="B554" s="4">
        <v>46311.649353738423</v>
      </c>
      <c r="C554" s="5">
        <v>335.06300000000192</v>
      </c>
      <c r="D554" s="5">
        <v>5.5843833333333652</v>
      </c>
      <c r="E554" s="5">
        <v>68</v>
      </c>
      <c r="F554" s="5">
        <v>3915988</v>
      </c>
      <c r="G554" s="5">
        <v>405.08</v>
      </c>
      <c r="H554" s="5">
        <v>0.57279999999999998</v>
      </c>
      <c r="I554" s="5">
        <v>1.9798629999999999</v>
      </c>
      <c r="J554" s="5">
        <v>4.7508699999999999</v>
      </c>
      <c r="K554" s="5">
        <v>-2.3775599999999999</v>
      </c>
      <c r="L554" s="5">
        <v>-2.6530000000000161E-2</v>
      </c>
      <c r="M554" s="5">
        <v>-0.31931795386154949</v>
      </c>
    </row>
    <row r="555" spans="1:13">
      <c r="A555" t="s">
        <v>4</v>
      </c>
      <c r="B555" s="4">
        <v>46311.649411689817</v>
      </c>
      <c r="C555" s="5">
        <v>340.07800000000128</v>
      </c>
      <c r="D555" s="5">
        <v>5.6679666666666888</v>
      </c>
      <c r="E555" s="5">
        <v>69</v>
      </c>
      <c r="F555" s="5">
        <v>3920989</v>
      </c>
      <c r="G555" s="5">
        <v>406.4</v>
      </c>
      <c r="H555" s="5">
        <v>0.5</v>
      </c>
      <c r="I555" s="5">
        <v>1.9863150000000001</v>
      </c>
      <c r="J555" s="5">
        <v>4.7127999999999997</v>
      </c>
      <c r="K555" s="5">
        <v>-2.4156300000000002</v>
      </c>
      <c r="L555" s="5">
        <v>-3.807000000000027E-2</v>
      </c>
      <c r="M555" s="5">
        <v>-0.4554735792622695</v>
      </c>
    </row>
    <row r="556" spans="1:13">
      <c r="A556" t="s">
        <v>4</v>
      </c>
      <c r="B556" s="4">
        <v>46311.649469479169</v>
      </c>
      <c r="C556" s="5">
        <v>345.06300000000192</v>
      </c>
      <c r="D556" s="5">
        <v>5.7510500000000322</v>
      </c>
      <c r="E556" s="5">
        <v>70</v>
      </c>
      <c r="F556" s="5">
        <v>3925989</v>
      </c>
      <c r="G556" s="5">
        <v>406.8</v>
      </c>
      <c r="H556" s="5">
        <v>0.41460000000000002</v>
      </c>
      <c r="I556" s="5">
        <v>1.98827</v>
      </c>
      <c r="J556" s="5">
        <v>4.7012600000000004</v>
      </c>
      <c r="K556" s="5">
        <v>-2.4271699999999989</v>
      </c>
      <c r="L556" s="5">
        <v>-1.1539999999999219E-2</v>
      </c>
      <c r="M556" s="5">
        <v>-0.13889669007018501</v>
      </c>
    </row>
    <row r="557" spans="1:13">
      <c r="A557" t="s">
        <v>4</v>
      </c>
      <c r="B557" s="4">
        <v>46311.649527245369</v>
      </c>
      <c r="C557" s="5">
        <v>350.06300000000192</v>
      </c>
      <c r="D557" s="5">
        <v>5.8343833333333652</v>
      </c>
      <c r="E557" s="5">
        <v>71</v>
      </c>
      <c r="F557" s="5">
        <v>3930989</v>
      </c>
      <c r="G557" s="5">
        <v>407.88</v>
      </c>
      <c r="H557" s="5">
        <v>0.51539999999999997</v>
      </c>
      <c r="I557" s="5">
        <v>1.9935480000000001</v>
      </c>
      <c r="J557" s="5">
        <v>4.6701199999999998</v>
      </c>
      <c r="K557" s="5">
        <v>-2.45831</v>
      </c>
      <c r="L557" s="5">
        <v>-3.1140000000000612E-2</v>
      </c>
      <c r="M557" s="5">
        <v>-0.37368000000000728</v>
      </c>
    </row>
    <row r="558" spans="1:13">
      <c r="A558" t="s">
        <v>4</v>
      </c>
      <c r="B558" s="4">
        <v>46311.649585196756</v>
      </c>
      <c r="C558" s="5">
        <v>355.06300000000192</v>
      </c>
      <c r="D558" s="5">
        <v>5.9177166666666983</v>
      </c>
      <c r="E558" s="5">
        <v>72</v>
      </c>
      <c r="F558" s="5">
        <v>3935989</v>
      </c>
      <c r="G558" s="5">
        <v>408.6</v>
      </c>
      <c r="H558" s="5">
        <v>0.48409999999999997</v>
      </c>
      <c r="I558" s="5">
        <v>1.9970669999999999</v>
      </c>
      <c r="J558" s="5">
        <v>4.6493500000000001</v>
      </c>
      <c r="K558" s="5">
        <v>-2.4790800000000002</v>
      </c>
      <c r="L558" s="5">
        <v>-2.076999999999973E-2</v>
      </c>
      <c r="M558" s="5">
        <v>-0.2492399999999968</v>
      </c>
    </row>
    <row r="559" spans="1:13">
      <c r="A559" t="s">
        <v>4</v>
      </c>
      <c r="B559" s="4">
        <v>46311.649642986114</v>
      </c>
      <c r="C559" s="5">
        <v>360.06300000000192</v>
      </c>
      <c r="D559" s="5">
        <v>6.0010500000000322</v>
      </c>
      <c r="E559" s="5">
        <v>73</v>
      </c>
      <c r="F559" s="5">
        <v>3940988</v>
      </c>
      <c r="G559" s="5">
        <v>408.88</v>
      </c>
      <c r="H559" s="5">
        <v>0.433</v>
      </c>
      <c r="I559" s="5">
        <v>1.9984360000000001</v>
      </c>
      <c r="J559" s="5">
        <v>4.6412800000000001</v>
      </c>
      <c r="K559" s="5">
        <v>-2.4871500000000002</v>
      </c>
      <c r="L559" s="5">
        <v>-8.0700000000000216E-3</v>
      </c>
      <c r="M559" s="5">
        <v>-9.6840000000000259E-2</v>
      </c>
    </row>
    <row r="560" spans="1:13">
      <c r="A560" t="s">
        <v>4</v>
      </c>
      <c r="B560" s="4">
        <v>46311.649700752314</v>
      </c>
      <c r="C560" s="5">
        <v>365.04699999999872</v>
      </c>
      <c r="D560" s="5">
        <v>6.0841166666666444</v>
      </c>
      <c r="E560" s="5">
        <v>74</v>
      </c>
      <c r="F560" s="5">
        <v>3945989</v>
      </c>
      <c r="G560" s="5">
        <v>409.76</v>
      </c>
      <c r="H560" s="5">
        <v>0.5</v>
      </c>
      <c r="I560" s="5">
        <v>2.0027370000000002</v>
      </c>
      <c r="J560" s="5">
        <v>4.6158999999999999</v>
      </c>
      <c r="K560" s="5">
        <v>-2.5125299999999999</v>
      </c>
      <c r="L560" s="5">
        <v>-2.538000000000018E-2</v>
      </c>
      <c r="M560" s="5">
        <v>-0.30553772070646201</v>
      </c>
    </row>
    <row r="561" spans="1:13">
      <c r="A561" t="s">
        <v>4</v>
      </c>
      <c r="B561" s="4">
        <v>46311.649758553242</v>
      </c>
      <c r="C561" s="5">
        <v>370.04699999999872</v>
      </c>
      <c r="D561" s="5">
        <v>6.1674499999999766</v>
      </c>
      <c r="E561" s="5">
        <v>75</v>
      </c>
      <c r="F561" s="5">
        <v>3950989</v>
      </c>
      <c r="G561" s="5">
        <v>410.48</v>
      </c>
      <c r="H561" s="5">
        <v>0.55900000000000005</v>
      </c>
      <c r="I561" s="5">
        <v>2.006256</v>
      </c>
      <c r="J561" s="5">
        <v>4.5951300000000002</v>
      </c>
      <c r="K561" s="5">
        <v>-2.5333000000000001</v>
      </c>
      <c r="L561" s="5">
        <v>-2.076999999999973E-2</v>
      </c>
      <c r="M561" s="5">
        <v>-0.2492399999999968</v>
      </c>
    </row>
    <row r="562" spans="1:13">
      <c r="A562" t="s">
        <v>4</v>
      </c>
      <c r="B562" s="4">
        <v>46311.649816493053</v>
      </c>
      <c r="C562" s="5">
        <v>375.04699999999872</v>
      </c>
      <c r="D562" s="5">
        <v>6.2507833333333114</v>
      </c>
      <c r="E562" s="5">
        <v>76</v>
      </c>
      <c r="F562" s="5">
        <v>3955989</v>
      </c>
      <c r="G562" s="5">
        <v>411.12</v>
      </c>
      <c r="H562" s="5">
        <v>0.51539999999999997</v>
      </c>
      <c r="I562" s="5">
        <v>2.0093839999999998</v>
      </c>
      <c r="J562" s="5">
        <v>4.57667</v>
      </c>
      <c r="K562" s="5">
        <v>-2.5517599999999998</v>
      </c>
      <c r="L562" s="5">
        <v>-1.8460000000000139E-2</v>
      </c>
      <c r="M562" s="5">
        <v>-0.22152000000000169</v>
      </c>
    </row>
    <row r="563" spans="1:13">
      <c r="A563" t="s">
        <v>4</v>
      </c>
      <c r="B563" s="4">
        <v>46311.649874259259</v>
      </c>
      <c r="C563" s="5">
        <v>380.04699999999872</v>
      </c>
      <c r="D563" s="5">
        <v>6.3341166666666444</v>
      </c>
      <c r="E563" s="5">
        <v>77</v>
      </c>
      <c r="F563" s="5">
        <v>3960989</v>
      </c>
      <c r="G563" s="5">
        <v>411.56</v>
      </c>
      <c r="H563" s="5">
        <v>0.5</v>
      </c>
      <c r="I563" s="5">
        <v>2.0115349999999999</v>
      </c>
      <c r="J563" s="5">
        <v>4.5639799999999999</v>
      </c>
      <c r="K563" s="5">
        <v>-2.5644499999999999</v>
      </c>
      <c r="L563" s="5">
        <v>-1.269000000000009E-2</v>
      </c>
      <c r="M563" s="5">
        <v>-0.15228000000000111</v>
      </c>
    </row>
    <row r="564" spans="1:13">
      <c r="A564" t="s">
        <v>4</v>
      </c>
      <c r="B564" s="4">
        <v>46311.649932037035</v>
      </c>
      <c r="C564" s="5">
        <v>385.03100000000268</v>
      </c>
      <c r="D564" s="5">
        <v>6.4171833333333783</v>
      </c>
      <c r="E564" s="5">
        <v>78</v>
      </c>
      <c r="F564" s="5">
        <v>3965989</v>
      </c>
      <c r="G564" s="5">
        <v>412.32</v>
      </c>
      <c r="H564" s="5">
        <v>0.54490000000000005</v>
      </c>
      <c r="I564" s="5">
        <v>2.0152489999999998</v>
      </c>
      <c r="J564" s="5">
        <v>4.5420699999999998</v>
      </c>
      <c r="K564" s="5">
        <v>-2.58636</v>
      </c>
      <c r="L564" s="5">
        <v>-2.19100000000001E-2</v>
      </c>
      <c r="M564" s="5">
        <v>-0.26376404494360878</v>
      </c>
    </row>
    <row r="565" spans="1:13">
      <c r="A565" t="s">
        <v>4</v>
      </c>
      <c r="B565" s="4">
        <v>46311.649989999998</v>
      </c>
      <c r="C565" s="5">
        <v>390.04699999999872</v>
      </c>
      <c r="D565" s="5">
        <v>6.5007833333333114</v>
      </c>
      <c r="E565" s="5">
        <v>79</v>
      </c>
      <c r="F565" s="5">
        <v>3970989</v>
      </c>
      <c r="G565" s="5">
        <v>412.92</v>
      </c>
      <c r="H565" s="5">
        <v>0.4677</v>
      </c>
      <c r="I565" s="5">
        <v>2.0181819999999999</v>
      </c>
      <c r="J565" s="5">
        <v>4.5247599999999997</v>
      </c>
      <c r="K565" s="5">
        <v>-2.6036700000000002</v>
      </c>
      <c r="L565" s="5">
        <v>-1.7310000000000159E-2</v>
      </c>
      <c r="M565" s="5">
        <v>-0.20705741626811031</v>
      </c>
    </row>
    <row r="566" spans="1:13">
      <c r="A566" t="s">
        <v>4</v>
      </c>
      <c r="B566" s="4">
        <v>46311.650047777781</v>
      </c>
      <c r="C566" s="5">
        <v>395.03100000000268</v>
      </c>
      <c r="D566" s="5">
        <v>6.5838500000000444</v>
      </c>
      <c r="E566" s="5">
        <v>80</v>
      </c>
      <c r="F566" s="5">
        <v>3975989</v>
      </c>
      <c r="G566" s="5">
        <v>413.36</v>
      </c>
      <c r="H566" s="5">
        <v>0.48409999999999997</v>
      </c>
      <c r="I566" s="5">
        <v>2.0203319999999998</v>
      </c>
      <c r="J566" s="5">
        <v>4.5120699999999996</v>
      </c>
      <c r="K566" s="5">
        <v>-2.6163599999999998</v>
      </c>
      <c r="L566" s="5">
        <v>-1.269000000000009E-2</v>
      </c>
      <c r="M566" s="5">
        <v>-0.15276886035300799</v>
      </c>
    </row>
    <row r="567" spans="1:13">
      <c r="A567" t="s">
        <v>4</v>
      </c>
      <c r="B567" s="4">
        <v>46311.650105555556</v>
      </c>
      <c r="C567" s="5">
        <v>400.03100000000268</v>
      </c>
      <c r="D567" s="5">
        <v>6.6671833333333783</v>
      </c>
      <c r="E567" s="5">
        <v>81</v>
      </c>
      <c r="F567" s="5">
        <v>3980989</v>
      </c>
      <c r="G567" s="5">
        <v>413.84</v>
      </c>
      <c r="H567" s="5">
        <v>0.54490000000000005</v>
      </c>
      <c r="I567" s="5">
        <v>2.022678</v>
      </c>
      <c r="J567" s="5">
        <v>4.4982300000000004</v>
      </c>
      <c r="K567" s="5">
        <v>-2.630199999999999</v>
      </c>
      <c r="L567" s="5">
        <v>-1.383999999999919E-2</v>
      </c>
      <c r="M567" s="5">
        <v>-0.16607999999999021</v>
      </c>
    </row>
    <row r="568" spans="1:13">
      <c r="A568" t="s">
        <v>4</v>
      </c>
      <c r="B568" s="4">
        <v>46311.650163506943</v>
      </c>
      <c r="C568" s="5">
        <v>405.03100000000268</v>
      </c>
      <c r="D568" s="5">
        <v>6.7505166666667114</v>
      </c>
      <c r="E568" s="5">
        <v>82</v>
      </c>
      <c r="F568" s="5">
        <v>3985989</v>
      </c>
      <c r="G568" s="5">
        <v>414.36</v>
      </c>
      <c r="H568" s="5">
        <v>0.48409999999999997</v>
      </c>
      <c r="I568" s="5">
        <v>2.02522</v>
      </c>
      <c r="J568" s="5">
        <v>4.4832299999999998</v>
      </c>
      <c r="K568" s="5">
        <v>-2.6452</v>
      </c>
      <c r="L568" s="5">
        <v>-1.500000000000057E-2</v>
      </c>
      <c r="M568" s="5">
        <v>-0.18000000000000679</v>
      </c>
    </row>
    <row r="569" spans="1:13">
      <c r="A569" t="s">
        <v>4</v>
      </c>
      <c r="B569" s="4">
        <v>46311.650221284719</v>
      </c>
      <c r="C569" s="5">
        <v>410.03100000000268</v>
      </c>
      <c r="D569" s="5">
        <v>6.8338500000000444</v>
      </c>
      <c r="E569" s="5">
        <v>83</v>
      </c>
      <c r="F569" s="5">
        <v>3990989</v>
      </c>
      <c r="G569" s="5">
        <v>414.92</v>
      </c>
      <c r="H569" s="5">
        <v>0.4677</v>
      </c>
      <c r="I569" s="5">
        <v>2.0279569999999998</v>
      </c>
      <c r="J569" s="5">
        <v>4.4670800000000002</v>
      </c>
      <c r="K569" s="5">
        <v>-2.6613500000000001</v>
      </c>
      <c r="L569" s="5">
        <v>-1.6149999999999661E-2</v>
      </c>
      <c r="M569" s="5">
        <v>-0.193799999999996</v>
      </c>
    </row>
    <row r="570" spans="1:13">
      <c r="A570" t="s">
        <v>4</v>
      </c>
      <c r="B570" s="4">
        <v>46311.650279050926</v>
      </c>
      <c r="C570" s="5">
        <v>415.01600000000332</v>
      </c>
      <c r="D570" s="5">
        <v>6.9169333333333878</v>
      </c>
      <c r="E570" s="5">
        <v>84</v>
      </c>
      <c r="F570" s="5">
        <v>3995988</v>
      </c>
      <c r="G570" s="5">
        <v>415.36</v>
      </c>
      <c r="H570" s="5">
        <v>0.48409999999999997</v>
      </c>
      <c r="I570" s="5">
        <v>2.0301070000000001</v>
      </c>
      <c r="J570" s="5">
        <v>4.4543900000000001</v>
      </c>
      <c r="K570" s="5">
        <v>-2.6740400000000002</v>
      </c>
      <c r="L570" s="5">
        <v>-1.269000000000009E-2</v>
      </c>
      <c r="M570" s="5">
        <v>-0.15273821464391499</v>
      </c>
    </row>
    <row r="571" spans="1:13">
      <c r="A571" t="s">
        <v>4</v>
      </c>
      <c r="B571" s="4">
        <v>46311.650337002313</v>
      </c>
      <c r="C571" s="5">
        <v>420.01600000000332</v>
      </c>
      <c r="D571" s="5">
        <v>7.0002666666667208</v>
      </c>
      <c r="E571" s="5">
        <v>85</v>
      </c>
      <c r="F571" s="5">
        <v>4000989</v>
      </c>
      <c r="G571" s="5">
        <v>416.12</v>
      </c>
      <c r="H571" s="5">
        <v>0.33069999999999999</v>
      </c>
      <c r="I571" s="5">
        <v>2.0338219999999998</v>
      </c>
      <c r="J571" s="5">
        <v>4.4324700000000004</v>
      </c>
      <c r="K571" s="5">
        <v>-2.695959999999999</v>
      </c>
      <c r="L571" s="5">
        <v>-2.1919999999999721E-2</v>
      </c>
      <c r="M571" s="5">
        <v>-0.26303999999999661</v>
      </c>
    </row>
    <row r="572" spans="1:13">
      <c r="A572" t="s">
        <v>4</v>
      </c>
      <c r="B572" s="4">
        <v>46311.650394791664</v>
      </c>
      <c r="C572" s="5">
        <v>425.01600000000332</v>
      </c>
      <c r="D572" s="5">
        <v>7.0836000000000547</v>
      </c>
      <c r="E572" s="5">
        <v>86</v>
      </c>
      <c r="F572" s="5">
        <v>4005989</v>
      </c>
      <c r="G572" s="5">
        <v>416.32</v>
      </c>
      <c r="H572" s="5">
        <v>0.4677</v>
      </c>
      <c r="I572" s="5">
        <v>2.0348000000000002</v>
      </c>
      <c r="J572" s="5">
        <v>4.4267099999999999</v>
      </c>
      <c r="K572" s="5">
        <v>-2.7017199999999999</v>
      </c>
      <c r="L572" s="5">
        <v>-5.7600000000004306E-3</v>
      </c>
      <c r="M572" s="5">
        <v>-6.9120000000005177E-2</v>
      </c>
    </row>
    <row r="573" spans="1:13">
      <c r="A573" t="s">
        <v>4</v>
      </c>
      <c r="B573" s="4">
        <v>46311.650452557871</v>
      </c>
      <c r="C573" s="5">
        <v>430</v>
      </c>
      <c r="D573" s="5">
        <v>7.166666666666667</v>
      </c>
      <c r="E573" s="5">
        <v>87</v>
      </c>
      <c r="F573" s="5">
        <v>4010989</v>
      </c>
      <c r="G573" s="5">
        <v>416.64</v>
      </c>
      <c r="H573" s="5">
        <v>0.54490000000000005</v>
      </c>
      <c r="I573" s="5">
        <v>2.0363639999999998</v>
      </c>
      <c r="J573" s="5">
        <v>4.4174800000000003</v>
      </c>
      <c r="K573" s="5">
        <v>-2.71095</v>
      </c>
      <c r="L573" s="5">
        <v>-9.2299999999996274E-3</v>
      </c>
      <c r="M573" s="5">
        <v>-0.11111556982350319</v>
      </c>
    </row>
    <row r="574" spans="1:13">
      <c r="A574" t="s">
        <v>4</v>
      </c>
      <c r="B574" s="4">
        <v>46311.650510509258</v>
      </c>
      <c r="C574" s="5">
        <v>435.01600000000332</v>
      </c>
      <c r="D574" s="5">
        <v>7.2502666666667208</v>
      </c>
      <c r="E574" s="5">
        <v>88</v>
      </c>
      <c r="F574" s="5">
        <v>4015989</v>
      </c>
      <c r="G574" s="5">
        <v>417.36</v>
      </c>
      <c r="H574" s="5">
        <v>0.48409999999999997</v>
      </c>
      <c r="I574" s="5">
        <v>2.039882</v>
      </c>
      <c r="J574" s="5">
        <v>4.3967099999999997</v>
      </c>
      <c r="K574" s="5">
        <v>-2.7317200000000001</v>
      </c>
      <c r="L574" s="5">
        <v>-2.0770000000000621E-2</v>
      </c>
      <c r="M574" s="5">
        <v>-0.24844497607640101</v>
      </c>
    </row>
    <row r="575" spans="1:13">
      <c r="A575" t="s">
        <v>4</v>
      </c>
      <c r="B575" s="4">
        <v>46311.650568287034</v>
      </c>
      <c r="C575" s="5">
        <v>440</v>
      </c>
      <c r="D575" s="5">
        <v>7.333333333333333</v>
      </c>
      <c r="E575" s="5">
        <v>89</v>
      </c>
      <c r="F575" s="5">
        <v>4020988</v>
      </c>
      <c r="G575" s="5">
        <v>417.4</v>
      </c>
      <c r="H575" s="5">
        <v>0.5</v>
      </c>
      <c r="I575" s="5">
        <v>2.0400779999999998</v>
      </c>
      <c r="J575" s="5">
        <v>4.3955599999999997</v>
      </c>
      <c r="K575" s="5">
        <v>-2.7328700000000001</v>
      </c>
      <c r="L575" s="5">
        <v>-1.1499999999999839E-3</v>
      </c>
      <c r="M575" s="5">
        <v>-1.3844301765658949E-2</v>
      </c>
    </row>
    <row r="576" spans="1:13">
      <c r="A576" t="s">
        <v>4</v>
      </c>
      <c r="B576" s="4">
        <v>46311.650626064817</v>
      </c>
      <c r="C576" s="5">
        <v>445</v>
      </c>
      <c r="D576" s="5">
        <v>7.416666666666667</v>
      </c>
      <c r="E576" s="5">
        <v>90</v>
      </c>
      <c r="F576" s="5">
        <v>4025989</v>
      </c>
      <c r="G576" s="5">
        <v>417.84</v>
      </c>
      <c r="H576" s="5">
        <v>0.4677</v>
      </c>
      <c r="I576" s="5">
        <v>2.0422289999999998</v>
      </c>
      <c r="J576" s="5">
        <v>4.3828699999999996</v>
      </c>
      <c r="K576" s="5">
        <v>-2.7455599999999998</v>
      </c>
      <c r="L576" s="5">
        <v>-1.269000000000009E-2</v>
      </c>
      <c r="M576" s="5">
        <v>-0.15228000000000111</v>
      </c>
    </row>
    <row r="577" spans="1:13">
      <c r="A577" t="s">
        <v>4</v>
      </c>
      <c r="B577" s="4">
        <v>46311.65068402778</v>
      </c>
      <c r="C577" s="5">
        <v>450</v>
      </c>
      <c r="D577" s="5">
        <v>7.5</v>
      </c>
      <c r="E577" s="5">
        <v>91</v>
      </c>
      <c r="F577" s="5">
        <v>4030989</v>
      </c>
      <c r="G577" s="5">
        <v>418.2</v>
      </c>
      <c r="H577" s="5">
        <v>0.55900000000000005</v>
      </c>
      <c r="I577" s="5">
        <v>2.0439880000000001</v>
      </c>
      <c r="J577" s="5">
        <v>4.37249</v>
      </c>
      <c r="K577" s="5">
        <v>-2.7559399999999998</v>
      </c>
      <c r="L577" s="5">
        <v>-1.037999999999961E-2</v>
      </c>
      <c r="M577" s="5">
        <v>-0.1245599999999953</v>
      </c>
    </row>
    <row r="578" spans="1:13">
      <c r="A578" t="s">
        <v>4</v>
      </c>
      <c r="B578" s="4">
        <v>46311.650741805555</v>
      </c>
      <c r="C578" s="5">
        <v>455</v>
      </c>
      <c r="D578" s="5">
        <v>7.583333333333333</v>
      </c>
      <c r="E578" s="5">
        <v>92</v>
      </c>
      <c r="F578" s="5">
        <v>4035989</v>
      </c>
      <c r="G578" s="5">
        <v>418.6</v>
      </c>
      <c r="H578" s="5">
        <v>0.48409999999999997</v>
      </c>
      <c r="I578" s="5">
        <v>2.0459429999999998</v>
      </c>
      <c r="J578" s="5">
        <v>4.3609499999999999</v>
      </c>
      <c r="K578" s="5">
        <v>-2.7674799999999999</v>
      </c>
      <c r="L578" s="5">
        <v>-1.1540000000000109E-2</v>
      </c>
      <c r="M578" s="5">
        <v>-0.1384800000000013</v>
      </c>
    </row>
    <row r="579" spans="1:13">
      <c r="A579" t="s">
        <v>4</v>
      </c>
      <c r="B579" s="4">
        <v>46311.650799583331</v>
      </c>
      <c r="C579" s="5">
        <v>459.98500000000058</v>
      </c>
      <c r="D579" s="5">
        <v>7.6664166666666764</v>
      </c>
      <c r="E579" s="5">
        <v>93</v>
      </c>
      <c r="F579" s="5">
        <v>4040989</v>
      </c>
      <c r="G579" s="5">
        <v>419</v>
      </c>
      <c r="H579" s="5">
        <v>0.48409999999999997</v>
      </c>
      <c r="I579" s="5">
        <v>2.047898</v>
      </c>
      <c r="J579" s="5">
        <v>4.3494200000000003</v>
      </c>
      <c r="K579" s="5">
        <v>-2.77901</v>
      </c>
      <c r="L579" s="5">
        <v>-1.15299999999996E-2</v>
      </c>
      <c r="M579" s="5">
        <v>-0.13877632898693981</v>
      </c>
    </row>
    <row r="580" spans="1:13">
      <c r="A580" t="s">
        <v>4</v>
      </c>
      <c r="B580" s="4">
        <v>46311.650857534725</v>
      </c>
      <c r="C580" s="5">
        <v>465</v>
      </c>
      <c r="D580" s="5">
        <v>7.75</v>
      </c>
      <c r="E580" s="5">
        <v>94</v>
      </c>
      <c r="F580" s="5">
        <v>4045989</v>
      </c>
      <c r="G580" s="5">
        <v>419.32</v>
      </c>
      <c r="H580" s="5">
        <v>0.4677</v>
      </c>
      <c r="I580" s="5">
        <v>2.0494629999999998</v>
      </c>
      <c r="J580" s="5">
        <v>4.3401899999999998</v>
      </c>
      <c r="K580" s="5">
        <v>-2.7882400000000001</v>
      </c>
      <c r="L580" s="5">
        <v>-9.2300000000005156E-3</v>
      </c>
      <c r="M580" s="5">
        <v>-0.1104287138584437</v>
      </c>
    </row>
    <row r="581" spans="1:13">
      <c r="A581" t="s">
        <v>4</v>
      </c>
      <c r="B581" s="4">
        <v>46311.650915300925</v>
      </c>
      <c r="C581" s="5">
        <v>469.98500000000058</v>
      </c>
      <c r="D581" s="5">
        <v>7.8330833333333434</v>
      </c>
      <c r="E581" s="5">
        <v>95</v>
      </c>
      <c r="F581" s="5">
        <v>4050989</v>
      </c>
      <c r="G581" s="5">
        <v>419.48</v>
      </c>
      <c r="H581" s="5">
        <v>0.55900000000000005</v>
      </c>
      <c r="I581" s="5">
        <v>2.0502449999999999</v>
      </c>
      <c r="J581" s="5">
        <v>4.3355699999999997</v>
      </c>
      <c r="K581" s="5">
        <v>-2.7928600000000001</v>
      </c>
      <c r="L581" s="5">
        <v>-4.6200000000000676E-3</v>
      </c>
      <c r="M581" s="5">
        <v>-5.5606820461378492E-2</v>
      </c>
    </row>
    <row r="582" spans="1:13">
      <c r="A582" t="s">
        <v>4</v>
      </c>
      <c r="B582" s="4">
        <v>46311.650973090276</v>
      </c>
      <c r="C582" s="5">
        <v>474.98500000000058</v>
      </c>
      <c r="D582" s="5">
        <v>7.9164166666666764</v>
      </c>
      <c r="E582" s="5">
        <v>96</v>
      </c>
      <c r="F582" s="5">
        <v>4055989</v>
      </c>
      <c r="G582" s="5">
        <v>419.88</v>
      </c>
      <c r="H582" s="5">
        <v>0.64949999999999997</v>
      </c>
      <c r="I582" s="5">
        <v>2.0521989999999999</v>
      </c>
      <c r="J582" s="5">
        <v>4.3240400000000001</v>
      </c>
      <c r="K582" s="5">
        <v>-2.8043900000000002</v>
      </c>
      <c r="L582" s="5">
        <v>-1.15299999999996E-2</v>
      </c>
      <c r="M582" s="5">
        <v>-0.13835999999999521</v>
      </c>
    </row>
    <row r="583" spans="1:13">
      <c r="A583" t="s">
        <v>4</v>
      </c>
      <c r="B583" s="4">
        <v>46311.651031041663</v>
      </c>
      <c r="C583" s="5">
        <v>479.98500000000058</v>
      </c>
      <c r="D583" s="5">
        <v>7.9997500000000086</v>
      </c>
      <c r="E583" s="5">
        <v>97</v>
      </c>
      <c r="F583" s="5">
        <v>4060989</v>
      </c>
      <c r="G583" s="5">
        <v>419.88</v>
      </c>
      <c r="H583" s="5">
        <v>0.433</v>
      </c>
      <c r="I583" s="5">
        <v>2.0521989999999999</v>
      </c>
      <c r="J583" s="5">
        <v>4.3240400000000001</v>
      </c>
      <c r="K583" s="5">
        <v>-2.8043900000000002</v>
      </c>
      <c r="L583" s="5">
        <v>0</v>
      </c>
      <c r="M583" s="5">
        <v>0</v>
      </c>
    </row>
    <row r="584" spans="1:13">
      <c r="A584" t="s">
        <v>4</v>
      </c>
      <c r="B584" s="4">
        <v>46311.651088819446</v>
      </c>
      <c r="C584" s="5">
        <v>484.98500000000058</v>
      </c>
      <c r="D584" s="5">
        <v>8.0830833333333434</v>
      </c>
      <c r="E584" s="5">
        <v>98</v>
      </c>
      <c r="F584" s="5">
        <v>4065989</v>
      </c>
      <c r="G584" s="5">
        <v>420.52</v>
      </c>
      <c r="H584" s="5">
        <v>0.5</v>
      </c>
      <c r="I584" s="5">
        <v>2.0553270000000001</v>
      </c>
      <c r="J584" s="5">
        <v>4.30558</v>
      </c>
      <c r="K584" s="5">
        <v>-2.8228499999999999</v>
      </c>
      <c r="L584" s="5">
        <v>-1.8460000000000139E-2</v>
      </c>
      <c r="M584" s="5">
        <v>-0.22152000000000169</v>
      </c>
    </row>
    <row r="585" spans="1:13">
      <c r="A585" t="s">
        <v>4</v>
      </c>
      <c r="B585" s="4">
        <v>46311.651146585646</v>
      </c>
      <c r="C585" s="5">
        <v>489.96899999999732</v>
      </c>
      <c r="D585" s="5">
        <v>8.1661499999999556</v>
      </c>
      <c r="E585" s="5">
        <v>99</v>
      </c>
      <c r="F585" s="5">
        <v>4070989</v>
      </c>
      <c r="G585" s="5">
        <v>420.84</v>
      </c>
      <c r="H585" s="5">
        <v>0.54490000000000005</v>
      </c>
      <c r="I585" s="5">
        <v>2.0568909999999998</v>
      </c>
      <c r="J585" s="5">
        <v>4.2963500000000003</v>
      </c>
      <c r="K585" s="5">
        <v>-2.832079999999999</v>
      </c>
      <c r="L585" s="5">
        <v>-9.2299999999996274E-3</v>
      </c>
      <c r="M585" s="5">
        <v>-0.11111556982350319</v>
      </c>
    </row>
    <row r="586" spans="1:13">
      <c r="A586" t="s">
        <v>4</v>
      </c>
      <c r="B586" s="4">
        <v>46311.651204374997</v>
      </c>
      <c r="C586" s="5">
        <v>494.96899999999732</v>
      </c>
      <c r="D586" s="5">
        <v>8.2494833333332895</v>
      </c>
      <c r="E586" s="5">
        <v>100</v>
      </c>
      <c r="F586" s="5">
        <v>4075990</v>
      </c>
      <c r="G586" s="5">
        <v>420.88</v>
      </c>
      <c r="H586" s="5">
        <v>0.30620000000000003</v>
      </c>
      <c r="I586" s="5">
        <v>2.0570870000000001</v>
      </c>
      <c r="J586" s="5">
        <v>4.2952000000000004</v>
      </c>
      <c r="K586" s="5">
        <v>-2.833229999999999</v>
      </c>
      <c r="L586" s="5">
        <v>-1.1499999999999839E-3</v>
      </c>
      <c r="M586" s="5">
        <v>-1.3799999999999811E-2</v>
      </c>
    </row>
    <row r="587" spans="1:13">
      <c r="A587" t="s">
        <v>4</v>
      </c>
      <c r="B587" s="4">
        <v>46311.651262314816</v>
      </c>
      <c r="C587" s="5">
        <v>499.96899999999732</v>
      </c>
      <c r="D587" s="5">
        <v>8.3328166666666217</v>
      </c>
      <c r="E587" s="5">
        <v>101</v>
      </c>
      <c r="F587" s="5">
        <v>4080990</v>
      </c>
      <c r="G587" s="5">
        <v>421.68</v>
      </c>
      <c r="H587" s="5">
        <v>0.4677</v>
      </c>
      <c r="I587" s="5">
        <v>2.060997</v>
      </c>
      <c r="J587" s="5">
        <v>4.2721299999999998</v>
      </c>
      <c r="K587" s="5">
        <v>-2.8563000000000001</v>
      </c>
      <c r="L587" s="5">
        <v>-2.307000000000059E-2</v>
      </c>
      <c r="M587" s="5">
        <v>-0.27684000000000708</v>
      </c>
    </row>
    <row r="588" spans="1:13">
      <c r="A588" t="s">
        <v>4</v>
      </c>
      <c r="B588" s="4">
        <v>46311.651320104167</v>
      </c>
      <c r="C588" s="5">
        <v>504.96899999999732</v>
      </c>
      <c r="D588" s="5">
        <v>8.4161499999999556</v>
      </c>
      <c r="E588" s="5">
        <v>102</v>
      </c>
      <c r="F588" s="5">
        <v>4085989</v>
      </c>
      <c r="G588" s="5">
        <v>421.64</v>
      </c>
      <c r="H588" s="5">
        <v>0.4677</v>
      </c>
      <c r="I588" s="5">
        <v>2.0608019999999998</v>
      </c>
      <c r="J588" s="5">
        <v>4.2732799999999997</v>
      </c>
      <c r="K588" s="5">
        <v>-2.8551500000000001</v>
      </c>
      <c r="L588" s="5">
        <v>1.1499999999999839E-3</v>
      </c>
      <c r="M588" s="5">
        <v>1.3799999999999811E-2</v>
      </c>
    </row>
    <row r="589" spans="1:13">
      <c r="A589" t="s">
        <v>4</v>
      </c>
      <c r="B589" s="4">
        <v>46311.651377858798</v>
      </c>
      <c r="C589" s="5">
        <v>509.95300000000128</v>
      </c>
      <c r="D589" s="5">
        <v>8.4992166666666886</v>
      </c>
      <c r="E589" s="5">
        <v>103</v>
      </c>
      <c r="F589" s="5">
        <v>4090990</v>
      </c>
      <c r="G589" s="5">
        <v>421.88</v>
      </c>
      <c r="H589" s="5">
        <v>0.51539999999999997</v>
      </c>
      <c r="I589" s="5">
        <v>2.0619749999999999</v>
      </c>
      <c r="J589" s="5">
        <v>4.2663599999999997</v>
      </c>
      <c r="K589" s="5">
        <v>-2.8620700000000001</v>
      </c>
      <c r="L589" s="5">
        <v>-6.9200000000000372E-3</v>
      </c>
      <c r="M589" s="5">
        <v>-8.3306581059323356E-2</v>
      </c>
    </row>
    <row r="590" spans="1:13">
      <c r="A590" t="s">
        <v>4</v>
      </c>
      <c r="B590" s="4">
        <v>46311.651435821761</v>
      </c>
      <c r="C590" s="5">
        <v>514.95300000000134</v>
      </c>
      <c r="D590" s="5">
        <v>8.5825500000000225</v>
      </c>
      <c r="E590" s="5">
        <v>104</v>
      </c>
      <c r="F590" s="5">
        <v>4095990</v>
      </c>
      <c r="G590" s="5">
        <v>422.6</v>
      </c>
      <c r="H590" s="5">
        <v>0.48409999999999997</v>
      </c>
      <c r="I590" s="5">
        <v>2.0654940000000002</v>
      </c>
      <c r="J590" s="5">
        <v>4.24559</v>
      </c>
      <c r="K590" s="5">
        <v>-2.8828399999999998</v>
      </c>
      <c r="L590" s="5">
        <v>-2.076999999999973E-2</v>
      </c>
      <c r="M590" s="5">
        <v>-0.2492399999999968</v>
      </c>
    </row>
    <row r="591" spans="1:13">
      <c r="A591" t="s">
        <v>4</v>
      </c>
      <c r="B591" s="4">
        <v>46311.651493611113</v>
      </c>
      <c r="C591" s="5">
        <v>519.95300000000134</v>
      </c>
      <c r="D591" s="5">
        <v>8.6658833333333565</v>
      </c>
      <c r="E591" s="5">
        <v>105</v>
      </c>
      <c r="F591" s="5">
        <v>4100989</v>
      </c>
      <c r="G591" s="5">
        <v>422.48</v>
      </c>
      <c r="H591" s="5">
        <v>0.48409999999999997</v>
      </c>
      <c r="I591" s="5">
        <v>2.0649069999999998</v>
      </c>
      <c r="J591" s="5">
        <v>4.2490500000000004</v>
      </c>
      <c r="K591" s="5">
        <v>-2.8793799999999989</v>
      </c>
      <c r="L591" s="5">
        <v>3.4600000000004631E-3</v>
      </c>
      <c r="M591" s="5">
        <v>4.1520000000005552E-2</v>
      </c>
    </row>
    <row r="592" spans="1:13">
      <c r="A592" t="s">
        <v>4</v>
      </c>
      <c r="B592" s="4">
        <v>46311.651551388888</v>
      </c>
      <c r="C592" s="5">
        <v>524.95300000000134</v>
      </c>
      <c r="D592" s="5">
        <v>8.7492166666666886</v>
      </c>
      <c r="E592" s="5">
        <v>106</v>
      </c>
      <c r="F592" s="5">
        <v>4105990</v>
      </c>
      <c r="G592" s="5">
        <v>422.72</v>
      </c>
      <c r="H592" s="5">
        <v>0.45069999999999999</v>
      </c>
      <c r="I592" s="5">
        <v>2.0660799999999999</v>
      </c>
      <c r="J592" s="5">
        <v>4.2421300000000004</v>
      </c>
      <c r="K592" s="5">
        <v>-2.886299999999999</v>
      </c>
      <c r="L592" s="5">
        <v>-6.9200000000000372E-3</v>
      </c>
      <c r="M592" s="5">
        <v>-8.3040000000000447E-2</v>
      </c>
    </row>
    <row r="593" spans="1:13">
      <c r="A593" t="s">
        <v>4</v>
      </c>
      <c r="B593" s="4">
        <v>46311.651609340275</v>
      </c>
      <c r="C593" s="5">
        <v>529.95300000000134</v>
      </c>
      <c r="D593" s="5">
        <v>8.8325500000000225</v>
      </c>
      <c r="E593" s="5">
        <v>107</v>
      </c>
      <c r="F593" s="5">
        <v>4110990</v>
      </c>
      <c r="G593" s="5">
        <v>422.96</v>
      </c>
      <c r="H593" s="5">
        <v>0.45069999999999999</v>
      </c>
      <c r="I593" s="5">
        <v>2.067253</v>
      </c>
      <c r="J593" s="5">
        <v>4.2352100000000004</v>
      </c>
      <c r="K593" s="5">
        <v>-2.893219999999999</v>
      </c>
      <c r="L593" s="5">
        <v>-6.9200000000000372E-3</v>
      </c>
      <c r="M593" s="5">
        <v>-8.3040000000000447E-2</v>
      </c>
    </row>
    <row r="594" spans="1:13">
      <c r="A594" t="s">
        <v>4</v>
      </c>
      <c r="B594" s="4">
        <v>46311.651667106482</v>
      </c>
      <c r="C594" s="5">
        <v>534.93800000000192</v>
      </c>
      <c r="D594" s="5">
        <v>8.9156333333333659</v>
      </c>
      <c r="E594" s="5">
        <v>108</v>
      </c>
      <c r="F594" s="5">
        <v>4115990</v>
      </c>
      <c r="G594" s="5">
        <v>423.28</v>
      </c>
      <c r="H594" s="5">
        <v>0.67310000000000003</v>
      </c>
      <c r="I594" s="5">
        <v>2.0688170000000001</v>
      </c>
      <c r="J594" s="5">
        <v>4.2259799999999998</v>
      </c>
      <c r="K594" s="5">
        <v>-2.90245</v>
      </c>
      <c r="L594" s="5">
        <v>-9.2300000000005156E-3</v>
      </c>
      <c r="M594" s="5">
        <v>-0.1110932798395118</v>
      </c>
    </row>
    <row r="595" spans="1:13">
      <c r="A595" t="s">
        <v>4</v>
      </c>
      <c r="B595" s="4">
        <v>46311.651724884257</v>
      </c>
      <c r="C595" s="5">
        <v>539.93800000000192</v>
      </c>
      <c r="D595" s="5">
        <v>8.9989666666666981</v>
      </c>
      <c r="E595" s="5">
        <v>109</v>
      </c>
      <c r="F595" s="5">
        <v>4120990</v>
      </c>
      <c r="G595" s="5">
        <v>423.44</v>
      </c>
      <c r="H595" s="5">
        <v>0.5</v>
      </c>
      <c r="I595" s="5">
        <v>2.0695990000000002</v>
      </c>
      <c r="J595" s="5">
        <v>4.2213700000000003</v>
      </c>
      <c r="K595" s="5">
        <v>-2.90706</v>
      </c>
      <c r="L595" s="5">
        <v>-4.6099999999995589E-3</v>
      </c>
      <c r="M595" s="5">
        <v>-5.5319999999994707E-2</v>
      </c>
    </row>
    <row r="596" spans="1:13">
      <c r="A596" t="s">
        <v>4</v>
      </c>
      <c r="B596" s="4">
        <v>46311.651782835645</v>
      </c>
      <c r="C596" s="5">
        <v>544.93800000000192</v>
      </c>
      <c r="D596" s="5">
        <v>9.082300000000032</v>
      </c>
      <c r="E596" s="5">
        <v>110</v>
      </c>
      <c r="F596" s="5">
        <v>4125990</v>
      </c>
      <c r="G596" s="5">
        <v>423.56</v>
      </c>
      <c r="H596" s="5">
        <v>0.57279999999999998</v>
      </c>
      <c r="I596" s="5">
        <v>2.0701860000000001</v>
      </c>
      <c r="J596" s="5">
        <v>4.2179099999999998</v>
      </c>
      <c r="K596" s="5">
        <v>-2.91052</v>
      </c>
      <c r="L596" s="5">
        <v>-3.4600000000004631E-3</v>
      </c>
      <c r="M596" s="5">
        <v>-4.1520000000005552E-2</v>
      </c>
    </row>
    <row r="597" spans="1:13">
      <c r="A597" t="s">
        <v>4</v>
      </c>
      <c r="B597" s="4">
        <v>46311.651840625003</v>
      </c>
      <c r="C597" s="5">
        <v>549.93800000000192</v>
      </c>
      <c r="D597" s="5">
        <v>9.1656333333333659</v>
      </c>
      <c r="E597" s="5">
        <v>111</v>
      </c>
      <c r="F597" s="5">
        <v>4130990</v>
      </c>
      <c r="G597" s="5">
        <v>423.8</v>
      </c>
      <c r="H597" s="5">
        <v>0.51539999999999997</v>
      </c>
      <c r="I597" s="5">
        <v>2.0713590000000002</v>
      </c>
      <c r="J597" s="5">
        <v>4.2109800000000002</v>
      </c>
      <c r="K597" s="5">
        <v>-2.9174500000000001</v>
      </c>
      <c r="L597" s="5">
        <v>-6.9299999999996587E-3</v>
      </c>
      <c r="M597" s="5">
        <v>-8.3159999999995904E-2</v>
      </c>
    </row>
    <row r="598" spans="1:13">
      <c r="A598" t="s">
        <v>4</v>
      </c>
      <c r="B598" s="4">
        <v>46311.651898379627</v>
      </c>
      <c r="C598" s="5">
        <v>554.92199999999866</v>
      </c>
      <c r="D598" s="5">
        <v>9.2486999999999782</v>
      </c>
      <c r="E598" s="5">
        <v>112</v>
      </c>
      <c r="F598" s="5">
        <v>4135989</v>
      </c>
      <c r="G598" s="5">
        <v>423.96</v>
      </c>
      <c r="H598" s="5">
        <v>0.59950000000000003</v>
      </c>
      <c r="I598" s="5">
        <v>2.0721409999999998</v>
      </c>
      <c r="J598" s="5">
        <v>4.2063699999999997</v>
      </c>
      <c r="K598" s="5">
        <v>-2.9220600000000001</v>
      </c>
      <c r="L598" s="5">
        <v>-4.6100000000004471E-3</v>
      </c>
      <c r="M598" s="5">
        <v>-5.5497592295386783E-2</v>
      </c>
    </row>
    <row r="599" spans="1:13">
      <c r="A599" t="s">
        <v>4</v>
      </c>
      <c r="B599" s="4">
        <v>46311.651956354166</v>
      </c>
      <c r="C599" s="5">
        <v>559.93800000000192</v>
      </c>
      <c r="D599" s="5">
        <v>9.332300000000032</v>
      </c>
      <c r="E599" s="5">
        <v>113</v>
      </c>
      <c r="F599" s="5">
        <v>4140990</v>
      </c>
      <c r="G599" s="5">
        <v>424.24</v>
      </c>
      <c r="H599" s="5">
        <v>0.53029999999999999</v>
      </c>
      <c r="I599" s="5">
        <v>2.073509</v>
      </c>
      <c r="J599" s="5">
        <v>4.1982900000000001</v>
      </c>
      <c r="K599" s="5">
        <v>-2.9301400000000002</v>
      </c>
      <c r="L599" s="5">
        <v>-8.079999999999643E-3</v>
      </c>
      <c r="M599" s="5">
        <v>-9.6650717703282207E-2</v>
      </c>
    </row>
    <row r="600" spans="1:13">
      <c r="A600" t="s">
        <v>4</v>
      </c>
      <c r="B600" s="4">
        <v>46311.652014120373</v>
      </c>
      <c r="C600" s="5">
        <v>564.92199999999866</v>
      </c>
      <c r="D600" s="5">
        <v>9.4153666666666442</v>
      </c>
      <c r="E600" s="5">
        <v>114</v>
      </c>
      <c r="F600" s="5">
        <v>4145990</v>
      </c>
      <c r="G600" s="5">
        <v>424.52</v>
      </c>
      <c r="H600" s="5">
        <v>0.51539999999999997</v>
      </c>
      <c r="I600" s="5">
        <v>2.074878</v>
      </c>
      <c r="J600" s="5">
        <v>4.1902200000000001</v>
      </c>
      <c r="K600" s="5">
        <v>-2.9382100000000002</v>
      </c>
      <c r="L600" s="5">
        <v>-8.0700000000000216E-3</v>
      </c>
      <c r="M600" s="5">
        <v>-9.7150882825103924E-2</v>
      </c>
    </row>
    <row r="601" spans="1:13">
      <c r="A601" t="s">
        <v>4</v>
      </c>
      <c r="B601" s="4">
        <v>46311.652071898148</v>
      </c>
      <c r="C601" s="5">
        <v>569.92199999999866</v>
      </c>
      <c r="D601" s="5">
        <v>9.4986999999999782</v>
      </c>
      <c r="E601" s="5">
        <v>115</v>
      </c>
      <c r="F601" s="5">
        <v>4150990</v>
      </c>
      <c r="G601" s="5">
        <v>424.44</v>
      </c>
      <c r="H601" s="5">
        <v>0.5</v>
      </c>
      <c r="I601" s="5">
        <v>2.074487</v>
      </c>
      <c r="J601" s="5">
        <v>4.1925299999999996</v>
      </c>
      <c r="K601" s="5">
        <v>-2.9359000000000002</v>
      </c>
      <c r="L601" s="5">
        <v>2.3099999999995902E-3</v>
      </c>
      <c r="M601" s="5">
        <v>2.7719999999995078E-2</v>
      </c>
    </row>
    <row r="602" spans="1:13">
      <c r="A602" t="s">
        <v>4</v>
      </c>
      <c r="B602" s="4">
        <v>46311.652129849535</v>
      </c>
      <c r="C602" s="5">
        <v>574.92199999999866</v>
      </c>
      <c r="D602" s="5">
        <v>9.5820333333333103</v>
      </c>
      <c r="E602" s="5">
        <v>116</v>
      </c>
      <c r="F602" s="5">
        <v>4155988</v>
      </c>
      <c r="G602" s="5">
        <v>424.72</v>
      </c>
      <c r="H602" s="5">
        <v>0.66139999999999999</v>
      </c>
      <c r="I602" s="5">
        <v>2.0758549999999998</v>
      </c>
      <c r="J602" s="5">
        <v>4.18445</v>
      </c>
      <c r="K602" s="5">
        <v>-2.9439799999999998</v>
      </c>
      <c r="L602" s="5">
        <v>-8.079999999999643E-3</v>
      </c>
      <c r="M602" s="5">
        <v>-9.6959999999995716E-2</v>
      </c>
    </row>
    <row r="603" spans="1:13">
      <c r="A603" t="s">
        <v>4</v>
      </c>
      <c r="B603" s="4">
        <v>46311.652187627318</v>
      </c>
      <c r="C603" s="5">
        <v>579.92199999999866</v>
      </c>
      <c r="D603" s="5">
        <v>9.6653666666666442</v>
      </c>
      <c r="E603" s="5">
        <v>117</v>
      </c>
      <c r="F603" s="5">
        <v>4160990</v>
      </c>
      <c r="G603" s="5">
        <v>425.2</v>
      </c>
      <c r="H603" s="5">
        <v>0.39529999999999998</v>
      </c>
      <c r="I603" s="5">
        <v>2.078201</v>
      </c>
      <c r="J603" s="5">
        <v>4.1706099999999999</v>
      </c>
      <c r="K603" s="5">
        <v>-2.9578199999999999</v>
      </c>
      <c r="L603" s="5">
        <v>-1.3840000000000069E-2</v>
      </c>
      <c r="M603" s="5">
        <v>-0.16608000000000089</v>
      </c>
    </row>
    <row r="604" spans="1:13">
      <c r="A604" t="s">
        <v>4</v>
      </c>
      <c r="B604" s="4">
        <v>46311.652245405094</v>
      </c>
      <c r="C604" s="5">
        <v>584.90600000000268</v>
      </c>
      <c r="D604" s="5">
        <v>9.7484333333333772</v>
      </c>
      <c r="E604" s="5">
        <v>118</v>
      </c>
      <c r="F604" s="5">
        <v>4165990</v>
      </c>
      <c r="G604" s="5">
        <v>425.08</v>
      </c>
      <c r="H604" s="5">
        <v>0.48409999999999997</v>
      </c>
      <c r="I604" s="5">
        <v>2.0776150000000002</v>
      </c>
      <c r="J604" s="5">
        <v>4.1740700000000004</v>
      </c>
      <c r="K604" s="5">
        <v>-2.954359999999999</v>
      </c>
      <c r="L604" s="5">
        <v>3.4600000000004631E-3</v>
      </c>
      <c r="M604" s="5">
        <v>4.1653290529667028E-2</v>
      </c>
    </row>
    <row r="605" spans="1:13">
      <c r="A605" t="s">
        <v>4</v>
      </c>
      <c r="B605" s="4">
        <v>46311.652303356481</v>
      </c>
      <c r="C605" s="5">
        <v>589.92199999999866</v>
      </c>
      <c r="D605" s="5">
        <v>9.8320333333333103</v>
      </c>
      <c r="E605" s="5">
        <v>119</v>
      </c>
      <c r="F605" s="5">
        <v>4170990</v>
      </c>
      <c r="G605" s="5">
        <v>425.32</v>
      </c>
      <c r="H605" s="5">
        <v>0.54490000000000005</v>
      </c>
      <c r="I605" s="5">
        <v>2.0787879999999999</v>
      </c>
      <c r="J605" s="5">
        <v>4.1671500000000004</v>
      </c>
      <c r="K605" s="5">
        <v>-2.961279999999999</v>
      </c>
      <c r="L605" s="5">
        <v>-6.9200000000000372E-3</v>
      </c>
      <c r="M605" s="5">
        <v>-8.2775119617291601E-2</v>
      </c>
    </row>
    <row r="606" spans="1:13">
      <c r="A606" t="s">
        <v>4</v>
      </c>
      <c r="B606" s="4">
        <v>46311.652361134256</v>
      </c>
      <c r="C606" s="5">
        <v>594.90600000000268</v>
      </c>
      <c r="D606" s="5">
        <v>9.9151000000000451</v>
      </c>
      <c r="E606" s="5">
        <v>120</v>
      </c>
      <c r="F606" s="5">
        <v>4175990</v>
      </c>
      <c r="G606" s="5">
        <v>425.84</v>
      </c>
      <c r="H606" s="5">
        <v>0.4677</v>
      </c>
      <c r="I606" s="5">
        <v>2.0813290000000002</v>
      </c>
      <c r="J606" s="5">
        <v>4.1521499999999998</v>
      </c>
      <c r="K606" s="5">
        <v>-2.97628</v>
      </c>
      <c r="L606" s="5">
        <v>-1.500000000000057E-2</v>
      </c>
      <c r="M606" s="5">
        <v>-0.18057784911703631</v>
      </c>
    </row>
    <row r="607" spans="1:13">
      <c r="A607" t="s">
        <v>4</v>
      </c>
      <c r="B607" s="4">
        <v>46311.652418923608</v>
      </c>
      <c r="C607" s="5">
        <v>599.90600000000268</v>
      </c>
      <c r="D607" s="5">
        <v>9.9984333333333772</v>
      </c>
      <c r="E607" s="5">
        <v>121</v>
      </c>
      <c r="F607" s="5">
        <v>4180988</v>
      </c>
      <c r="G607" s="5">
        <v>425.72</v>
      </c>
      <c r="H607" s="5">
        <v>0.45069999999999999</v>
      </c>
      <c r="I607" s="5">
        <v>2.080743</v>
      </c>
      <c r="J607" s="5">
        <v>4.1556100000000002</v>
      </c>
      <c r="K607" s="5">
        <v>-2.97282</v>
      </c>
      <c r="L607" s="5">
        <v>3.4600000000004631E-3</v>
      </c>
      <c r="M607" s="5">
        <v>4.1520000000005552E-2</v>
      </c>
    </row>
    <row r="608" spans="1:13">
      <c r="A608" t="s">
        <v>4</v>
      </c>
      <c r="B608" s="4">
        <v>46311.652476875002</v>
      </c>
      <c r="C608" s="5">
        <v>604.90600000000268</v>
      </c>
      <c r="D608" s="5">
        <v>10.081766666666709</v>
      </c>
      <c r="E608" s="5">
        <v>122</v>
      </c>
      <c r="F608" s="5">
        <v>4185990</v>
      </c>
      <c r="G608" s="5">
        <v>425.96</v>
      </c>
      <c r="H608" s="5">
        <v>0.45069999999999999</v>
      </c>
      <c r="I608" s="5">
        <v>2.0819160000000001</v>
      </c>
      <c r="J608" s="5">
        <v>4.1486900000000002</v>
      </c>
      <c r="K608" s="5">
        <v>-2.9797400000000001</v>
      </c>
      <c r="L608" s="5">
        <v>-6.9200000000000372E-3</v>
      </c>
      <c r="M608" s="5">
        <v>-8.3040000000000447E-2</v>
      </c>
    </row>
    <row r="609" spans="1:13">
      <c r="A609" t="s">
        <v>4</v>
      </c>
      <c r="B609" s="4">
        <v>46311.652534652778</v>
      </c>
      <c r="C609" s="5">
        <v>609.90600000000268</v>
      </c>
      <c r="D609" s="5">
        <v>10.16510000000005</v>
      </c>
      <c r="E609" s="5">
        <v>123</v>
      </c>
      <c r="F609" s="5">
        <v>4190990</v>
      </c>
      <c r="G609" s="5">
        <v>425.92</v>
      </c>
      <c r="H609" s="5">
        <v>0.4677</v>
      </c>
      <c r="I609" s="5">
        <v>2.0817209999999999</v>
      </c>
      <c r="J609" s="5">
        <v>4.1498400000000002</v>
      </c>
      <c r="K609" s="5">
        <v>-2.9785900000000001</v>
      </c>
      <c r="L609" s="5">
        <v>1.1499999999999839E-3</v>
      </c>
      <c r="M609" s="5">
        <v>1.3799999999999811E-2</v>
      </c>
    </row>
    <row r="610" spans="1:13">
      <c r="A610" t="s">
        <v>4</v>
      </c>
      <c r="B610" s="4">
        <v>46311.652592418985</v>
      </c>
      <c r="C610" s="5">
        <v>614.89100000000326</v>
      </c>
      <c r="D610" s="5">
        <v>10.24818333333339</v>
      </c>
      <c r="E610" s="5">
        <v>124</v>
      </c>
      <c r="F610" s="5">
        <v>4195990</v>
      </c>
      <c r="G610" s="5">
        <v>426.2</v>
      </c>
      <c r="H610" s="5">
        <v>0.375</v>
      </c>
      <c r="I610" s="5">
        <v>2.0830890000000002</v>
      </c>
      <c r="J610" s="5">
        <v>4.1417700000000002</v>
      </c>
      <c r="K610" s="5">
        <v>-2.9866600000000001</v>
      </c>
      <c r="L610" s="5">
        <v>-8.0700000000000216E-3</v>
      </c>
      <c r="M610" s="5">
        <v>-9.7131394182536565E-2</v>
      </c>
    </row>
    <row r="611" spans="1:13">
      <c r="A611" t="s">
        <v>4</v>
      </c>
      <c r="B611" s="4">
        <v>46311.652650370372</v>
      </c>
      <c r="C611" s="5">
        <v>619.89100000000326</v>
      </c>
      <c r="D611" s="5">
        <v>10.331516666666721</v>
      </c>
      <c r="E611" s="5">
        <v>125</v>
      </c>
      <c r="F611" s="5">
        <v>4200989</v>
      </c>
      <c r="G611" s="5">
        <v>426.52</v>
      </c>
      <c r="H611" s="5">
        <v>0.51539999999999997</v>
      </c>
      <c r="I611" s="5">
        <v>2.0846529999999999</v>
      </c>
      <c r="J611" s="5">
        <v>4.1325399999999997</v>
      </c>
      <c r="K611" s="5">
        <v>-2.9958900000000002</v>
      </c>
      <c r="L611" s="5">
        <v>-9.2300000000005156E-3</v>
      </c>
      <c r="M611" s="5">
        <v>-0.1107600000000062</v>
      </c>
    </row>
    <row r="612" spans="1:13">
      <c r="A612" t="s">
        <v>4</v>
      </c>
      <c r="B612" s="4">
        <v>46311.652708148147</v>
      </c>
      <c r="C612" s="5">
        <v>624.89100000000326</v>
      </c>
      <c r="D612" s="5">
        <v>10.414850000000049</v>
      </c>
      <c r="E612" s="5">
        <v>126</v>
      </c>
      <c r="F612" s="5">
        <v>4205990</v>
      </c>
      <c r="G612" s="5">
        <v>426.36</v>
      </c>
      <c r="H612" s="5">
        <v>0.48409999999999997</v>
      </c>
      <c r="I612" s="5">
        <v>2.0838709999999998</v>
      </c>
      <c r="J612" s="5">
        <v>4.1371500000000001</v>
      </c>
      <c r="K612" s="5">
        <v>-2.9912800000000002</v>
      </c>
      <c r="L612" s="5">
        <v>4.6100000000004471E-3</v>
      </c>
      <c r="M612" s="5">
        <v>5.5320000000005358E-2</v>
      </c>
    </row>
    <row r="613" spans="1:13">
      <c r="A613" t="s">
        <v>4</v>
      </c>
      <c r="B613" s="4">
        <v>46311.652765925923</v>
      </c>
      <c r="C613" s="5">
        <v>629.875</v>
      </c>
      <c r="D613" s="5">
        <v>10.49791666666667</v>
      </c>
      <c r="E613" s="5">
        <v>127</v>
      </c>
      <c r="F613" s="5">
        <v>4210990</v>
      </c>
      <c r="G613" s="5">
        <v>426.84</v>
      </c>
      <c r="H613" s="5">
        <v>0.4677</v>
      </c>
      <c r="I613" s="5">
        <v>2.086217</v>
      </c>
      <c r="J613" s="5">
        <v>4.12331</v>
      </c>
      <c r="K613" s="5">
        <v>-3.0051199999999998</v>
      </c>
      <c r="L613" s="5">
        <v>-1.3840000000000069E-2</v>
      </c>
      <c r="M613" s="5">
        <v>-0.16661316211888991</v>
      </c>
    </row>
    <row r="614" spans="1:13">
      <c r="A614" t="s">
        <v>4</v>
      </c>
      <c r="B614" s="4">
        <v>46311.652823888886</v>
      </c>
      <c r="C614" s="5">
        <v>634.89100000000326</v>
      </c>
      <c r="D614" s="5">
        <v>10.581516666666721</v>
      </c>
      <c r="E614" s="5">
        <v>128</v>
      </c>
      <c r="F614" s="5">
        <v>4215989</v>
      </c>
      <c r="G614" s="5">
        <v>426.8</v>
      </c>
      <c r="H614" s="5">
        <v>0.57279999999999998</v>
      </c>
      <c r="I614" s="5">
        <v>2.0860210000000001</v>
      </c>
      <c r="J614" s="5">
        <v>4.12446</v>
      </c>
      <c r="K614" s="5">
        <v>-3.0039699999999998</v>
      </c>
      <c r="L614" s="5">
        <v>1.1499999999999839E-3</v>
      </c>
      <c r="M614" s="5">
        <v>1.375598086123489E-2</v>
      </c>
    </row>
    <row r="615" spans="1:13">
      <c r="A615" t="s">
        <v>4</v>
      </c>
      <c r="B615" s="4">
        <v>46311.652881655093</v>
      </c>
      <c r="C615" s="5">
        <v>639.875</v>
      </c>
      <c r="D615" s="5">
        <v>10.664583333333329</v>
      </c>
      <c r="E615" s="5">
        <v>129</v>
      </c>
      <c r="F615" s="5">
        <v>4220990</v>
      </c>
      <c r="G615" s="5">
        <v>427.08</v>
      </c>
      <c r="H615" s="5">
        <v>0.5</v>
      </c>
      <c r="I615" s="5">
        <v>2.0873900000000001</v>
      </c>
      <c r="J615" s="5">
        <v>4.11639</v>
      </c>
      <c r="K615" s="5">
        <v>-3.0120399999999998</v>
      </c>
      <c r="L615" s="5">
        <v>-8.0700000000000216E-3</v>
      </c>
      <c r="M615" s="5">
        <v>-9.7150882825103924E-2</v>
      </c>
    </row>
    <row r="616" spans="1:13">
      <c r="A616" t="s">
        <v>4</v>
      </c>
      <c r="B616" s="4">
        <v>46311.652939432868</v>
      </c>
      <c r="C616" s="5">
        <v>644.875</v>
      </c>
      <c r="D616" s="5">
        <v>10.74791666666667</v>
      </c>
      <c r="E616" s="5">
        <v>130</v>
      </c>
      <c r="F616" s="5">
        <v>4225990</v>
      </c>
      <c r="G616" s="5">
        <v>427.32</v>
      </c>
      <c r="H616" s="5">
        <v>0.54490000000000005</v>
      </c>
      <c r="I616" s="5">
        <v>2.0885630000000002</v>
      </c>
      <c r="J616" s="5">
        <v>4.10947</v>
      </c>
      <c r="K616" s="5">
        <v>-3.0189599999999999</v>
      </c>
      <c r="L616" s="5">
        <v>-6.9200000000000372E-3</v>
      </c>
      <c r="M616" s="5">
        <v>-8.3040000000000447E-2</v>
      </c>
    </row>
    <row r="617" spans="1:13">
      <c r="A617" t="s">
        <v>4</v>
      </c>
      <c r="B617" s="4">
        <v>46311.652997395831</v>
      </c>
      <c r="C617" s="5">
        <v>649.875</v>
      </c>
      <c r="D617" s="5">
        <v>10.831250000000001</v>
      </c>
      <c r="E617" s="5">
        <v>131</v>
      </c>
      <c r="F617" s="5">
        <v>4230990</v>
      </c>
      <c r="G617" s="5">
        <v>427.48</v>
      </c>
      <c r="H617" s="5">
        <v>0.57279999999999998</v>
      </c>
      <c r="I617" s="5">
        <v>2.0893449999999998</v>
      </c>
      <c r="J617" s="5">
        <v>4.1048499999999999</v>
      </c>
      <c r="K617" s="5">
        <v>-3.0235799999999999</v>
      </c>
      <c r="L617" s="5">
        <v>-4.6200000000000676E-3</v>
      </c>
      <c r="M617" s="5">
        <v>-5.5440000000000822E-2</v>
      </c>
    </row>
    <row r="618" spans="1:13">
      <c r="A618" t="s">
        <v>4</v>
      </c>
      <c r="B618" s="4">
        <v>46311.653055162038</v>
      </c>
      <c r="C618" s="5">
        <v>654.875</v>
      </c>
      <c r="D618" s="5">
        <v>10.914583333333329</v>
      </c>
      <c r="E618" s="5">
        <v>132</v>
      </c>
      <c r="F618" s="5">
        <v>4235990</v>
      </c>
      <c r="G618" s="5">
        <v>427.48</v>
      </c>
      <c r="H618" s="5">
        <v>0.5</v>
      </c>
      <c r="I618" s="5">
        <v>2.0893449999999998</v>
      </c>
      <c r="J618" s="5">
        <v>4.1048499999999999</v>
      </c>
      <c r="K618" s="5">
        <v>-3.0235799999999999</v>
      </c>
      <c r="L618" s="5">
        <v>0</v>
      </c>
      <c r="M618" s="5">
        <v>0</v>
      </c>
    </row>
    <row r="619" spans="1:13">
      <c r="A619" t="s">
        <v>4</v>
      </c>
      <c r="B619" s="4">
        <v>46311.653112939814</v>
      </c>
      <c r="C619" s="5">
        <v>659.86000000000058</v>
      </c>
      <c r="D619" s="5">
        <v>10.99766666666668</v>
      </c>
      <c r="E619" s="5">
        <v>133</v>
      </c>
      <c r="F619" s="5">
        <v>4240990</v>
      </c>
      <c r="G619" s="5">
        <v>428.08</v>
      </c>
      <c r="H619" s="5">
        <v>0.5</v>
      </c>
      <c r="I619" s="5">
        <v>2.0922779999999999</v>
      </c>
      <c r="J619" s="5">
        <v>4.0875500000000002</v>
      </c>
      <c r="K619" s="5">
        <v>-3.04088</v>
      </c>
      <c r="L619" s="5">
        <v>-1.7299999999999649E-2</v>
      </c>
      <c r="M619" s="5">
        <v>-0.2082246740220377</v>
      </c>
    </row>
    <row r="620" spans="1:13">
      <c r="A620" t="s">
        <v>4</v>
      </c>
      <c r="B620" s="4">
        <v>46311.65317070602</v>
      </c>
      <c r="C620" s="5">
        <v>664.86000000000058</v>
      </c>
      <c r="D620" s="5">
        <v>11.08100000000001</v>
      </c>
      <c r="E620" s="5">
        <v>134</v>
      </c>
      <c r="F620" s="5">
        <v>4245990</v>
      </c>
      <c r="G620" s="5">
        <v>427.92</v>
      </c>
      <c r="H620" s="5">
        <v>0.48409999999999997</v>
      </c>
      <c r="I620" s="5">
        <v>2.0914959999999998</v>
      </c>
      <c r="J620" s="5">
        <v>4.0921599999999998</v>
      </c>
      <c r="K620" s="5">
        <v>-3.03627</v>
      </c>
      <c r="L620" s="5">
        <v>4.6099999999995589E-3</v>
      </c>
      <c r="M620" s="5">
        <v>5.5319999999994707E-2</v>
      </c>
    </row>
    <row r="621" spans="1:13">
      <c r="A621" t="s">
        <v>4</v>
      </c>
      <c r="B621" s="4">
        <v>46311.653228680552</v>
      </c>
      <c r="C621" s="5">
        <v>669.86000000000058</v>
      </c>
      <c r="D621" s="5">
        <v>11.164333333333341</v>
      </c>
      <c r="E621" s="5">
        <v>135</v>
      </c>
      <c r="F621" s="5">
        <v>4250990</v>
      </c>
      <c r="G621" s="5">
        <v>427.88</v>
      </c>
      <c r="H621" s="5">
        <v>0.51539999999999997</v>
      </c>
      <c r="I621" s="5">
        <v>2.0912999999999999</v>
      </c>
      <c r="J621" s="5">
        <v>4.0933200000000003</v>
      </c>
      <c r="K621" s="5">
        <v>-3.03511</v>
      </c>
      <c r="L621" s="5">
        <v>1.160000000000494E-3</v>
      </c>
      <c r="M621" s="5">
        <v>1.3920000000005929E-2</v>
      </c>
    </row>
    <row r="622" spans="1:13">
      <c r="A622" t="s">
        <v>4</v>
      </c>
      <c r="B622" s="4">
        <v>46311.653286446759</v>
      </c>
      <c r="C622" s="5">
        <v>674.86000000000058</v>
      </c>
      <c r="D622" s="5">
        <v>11.24766666666668</v>
      </c>
      <c r="E622" s="5">
        <v>136</v>
      </c>
      <c r="F622" s="5">
        <v>4255990</v>
      </c>
      <c r="G622" s="5">
        <v>428.48</v>
      </c>
      <c r="H622" s="5">
        <v>0.55900000000000005</v>
      </c>
      <c r="I622" s="5">
        <v>2.094233</v>
      </c>
      <c r="J622" s="5">
        <v>4.0760100000000001</v>
      </c>
      <c r="K622" s="5">
        <v>-3.0524200000000001</v>
      </c>
      <c r="L622" s="5">
        <v>-1.7310000000000159E-2</v>
      </c>
      <c r="M622" s="5">
        <v>-0.2077200000000019</v>
      </c>
    </row>
    <row r="623" spans="1:13">
      <c r="A623" t="s">
        <v>4</v>
      </c>
      <c r="B623" s="4">
        <v>46311.653344212966</v>
      </c>
      <c r="C623" s="5">
        <v>679.84399999999732</v>
      </c>
      <c r="D623" s="5">
        <v>11.33073333333329</v>
      </c>
      <c r="E623" s="5">
        <v>137</v>
      </c>
      <c r="F623" s="5">
        <v>4260988</v>
      </c>
      <c r="G623" s="5">
        <v>428.28</v>
      </c>
      <c r="H623" s="5">
        <v>0.45069999999999999</v>
      </c>
      <c r="I623" s="5">
        <v>2.0932550000000001</v>
      </c>
      <c r="J623" s="5">
        <v>4.0817800000000002</v>
      </c>
      <c r="K623" s="5">
        <v>-3.0466500000000001</v>
      </c>
      <c r="L623" s="5">
        <v>5.7700000000000529E-3</v>
      </c>
      <c r="M623" s="5">
        <v>6.9462279293786025E-2</v>
      </c>
    </row>
    <row r="624" spans="1:13">
      <c r="A624" t="s">
        <v>4</v>
      </c>
      <c r="B624" s="4">
        <v>46311.653402187498</v>
      </c>
      <c r="C624" s="5">
        <v>684.86000000000058</v>
      </c>
      <c r="D624" s="5">
        <v>11.414333333333341</v>
      </c>
      <c r="E624" s="5">
        <v>138</v>
      </c>
      <c r="F624" s="5">
        <v>4265990</v>
      </c>
      <c r="G624" s="5">
        <v>428.64</v>
      </c>
      <c r="H624" s="5">
        <v>0.54490000000000005</v>
      </c>
      <c r="I624" s="5">
        <v>2.0950150000000001</v>
      </c>
      <c r="J624" s="5">
        <v>4.0713999999999997</v>
      </c>
      <c r="K624" s="5">
        <v>-3.0570300000000001</v>
      </c>
      <c r="L624" s="5">
        <v>-1.03800000000005E-2</v>
      </c>
      <c r="M624" s="5">
        <v>-0.1241626794257626</v>
      </c>
    </row>
    <row r="625" spans="1:13">
      <c r="A625" t="s">
        <v>4</v>
      </c>
      <c r="B625" s="4">
        <v>46311.65345996528</v>
      </c>
      <c r="C625" s="5">
        <v>689.84399999999732</v>
      </c>
      <c r="D625" s="5">
        <v>11.497399999999949</v>
      </c>
      <c r="E625" s="5">
        <v>139</v>
      </c>
      <c r="F625" s="5">
        <v>4270990</v>
      </c>
      <c r="G625" s="5">
        <v>428.52</v>
      </c>
      <c r="H625" s="5">
        <v>0.51539999999999997</v>
      </c>
      <c r="I625" s="5">
        <v>2.0944280000000002</v>
      </c>
      <c r="J625" s="5">
        <v>4.0748600000000001</v>
      </c>
      <c r="K625" s="5">
        <v>-3.0535700000000001</v>
      </c>
      <c r="L625" s="5">
        <v>3.4600000000004631E-3</v>
      </c>
      <c r="M625" s="5">
        <v>4.1653290529727827E-2</v>
      </c>
    </row>
    <row r="626" spans="1:13">
      <c r="A626" t="s">
        <v>4</v>
      </c>
      <c r="B626" s="4">
        <v>46311.65351773148</v>
      </c>
      <c r="C626" s="5">
        <v>694.84399999999732</v>
      </c>
      <c r="D626" s="5">
        <v>11.58073333333329</v>
      </c>
      <c r="E626" s="5">
        <v>140</v>
      </c>
      <c r="F626" s="5">
        <v>4275990</v>
      </c>
      <c r="G626" s="5">
        <v>428.76</v>
      </c>
      <c r="H626" s="5">
        <v>0.64949999999999997</v>
      </c>
      <c r="I626" s="5">
        <v>2.0956009999999998</v>
      </c>
      <c r="J626" s="5">
        <v>4.0679400000000001</v>
      </c>
      <c r="K626" s="5">
        <v>-3.0604900000000002</v>
      </c>
      <c r="L626" s="5">
        <v>-6.9200000000000372E-3</v>
      </c>
      <c r="M626" s="5">
        <v>-8.3040000000000447E-2</v>
      </c>
    </row>
    <row r="627" spans="1:13">
      <c r="A627" t="s">
        <v>4</v>
      </c>
      <c r="B627" s="4">
        <v>46311.653575694443</v>
      </c>
      <c r="C627" s="5">
        <v>699.84399999999732</v>
      </c>
      <c r="D627" s="5">
        <v>11.664066666666621</v>
      </c>
      <c r="E627" s="5">
        <v>141</v>
      </c>
      <c r="F627" s="5">
        <v>4280990</v>
      </c>
      <c r="G627" s="5">
        <v>428.84</v>
      </c>
      <c r="H627" s="5">
        <v>0.35360000000000003</v>
      </c>
      <c r="I627" s="5">
        <v>2.0959919999999999</v>
      </c>
      <c r="J627" s="5">
        <v>4.0656299999999996</v>
      </c>
      <c r="K627" s="5">
        <v>-3.0628000000000002</v>
      </c>
      <c r="L627" s="5">
        <v>-2.3100000000004779E-3</v>
      </c>
      <c r="M627" s="5">
        <v>-2.772000000000574E-2</v>
      </c>
    </row>
    <row r="628" spans="1:13">
      <c r="A628" t="s">
        <v>4</v>
      </c>
      <c r="B628" s="4">
        <v>46311.653633472219</v>
      </c>
      <c r="C628" s="5">
        <v>704.84399999999732</v>
      </c>
      <c r="D628" s="5">
        <v>11.747399999999949</v>
      </c>
      <c r="E628" s="5">
        <v>142</v>
      </c>
      <c r="F628" s="5">
        <v>4285989</v>
      </c>
      <c r="G628" s="5">
        <v>429.04</v>
      </c>
      <c r="H628" s="5">
        <v>0.433</v>
      </c>
      <c r="I628" s="5">
        <v>2.0969699999999998</v>
      </c>
      <c r="J628" s="5">
        <v>4.0598599999999996</v>
      </c>
      <c r="K628" s="5">
        <v>-3.0685699999999998</v>
      </c>
      <c r="L628" s="5">
        <v>-5.7700000000000529E-3</v>
      </c>
      <c r="M628" s="5">
        <v>-6.9240000000000634E-2</v>
      </c>
    </row>
    <row r="629" spans="1:13">
      <c r="A629" t="s">
        <v>4</v>
      </c>
      <c r="B629" s="4">
        <v>46311.653691238425</v>
      </c>
      <c r="C629" s="5">
        <v>709.82800000000134</v>
      </c>
      <c r="D629" s="5">
        <v>11.830466666666689</v>
      </c>
      <c r="E629" s="5">
        <v>143</v>
      </c>
      <c r="F629" s="5">
        <v>4290990</v>
      </c>
      <c r="G629" s="5">
        <v>429.08</v>
      </c>
      <c r="H629" s="5">
        <v>0.48409999999999997</v>
      </c>
      <c r="I629" s="5">
        <v>2.0971649999999999</v>
      </c>
      <c r="J629" s="5">
        <v>4.0587099999999996</v>
      </c>
      <c r="K629" s="5">
        <v>-3.0697199999999998</v>
      </c>
      <c r="L629" s="5">
        <v>-1.1499999999999839E-3</v>
      </c>
      <c r="M629" s="5">
        <v>-1.3844301765638729E-2</v>
      </c>
    </row>
    <row r="630" spans="1:13">
      <c r="A630" t="s">
        <v>4</v>
      </c>
      <c r="B630" s="4">
        <v>46311.653749212965</v>
      </c>
      <c r="C630" s="5">
        <v>714.84399999999732</v>
      </c>
      <c r="D630" s="5">
        <v>11.914066666666621</v>
      </c>
      <c r="E630" s="5">
        <v>144</v>
      </c>
      <c r="F630" s="5">
        <v>4295990</v>
      </c>
      <c r="G630" s="5">
        <v>429.16</v>
      </c>
      <c r="H630" s="5">
        <v>0.53029999999999999</v>
      </c>
      <c r="I630" s="5">
        <v>2.097556</v>
      </c>
      <c r="J630" s="5">
        <v>4.0564</v>
      </c>
      <c r="K630" s="5">
        <v>-3.0720299999999998</v>
      </c>
      <c r="L630" s="5">
        <v>-2.3099999999995902E-3</v>
      </c>
      <c r="M630" s="5">
        <v>-2.7631578947385639E-2</v>
      </c>
    </row>
    <row r="631" spans="1:13">
      <c r="A631" t="s">
        <v>4</v>
      </c>
      <c r="B631" s="4">
        <v>46311.653806967595</v>
      </c>
      <c r="C631" s="5">
        <v>719.82800000000134</v>
      </c>
      <c r="D631" s="5">
        <v>11.997133333333361</v>
      </c>
      <c r="E631" s="5">
        <v>145</v>
      </c>
      <c r="F631" s="5">
        <v>4300990</v>
      </c>
      <c r="G631" s="5">
        <v>429.24</v>
      </c>
      <c r="H631" s="5">
        <v>0.433</v>
      </c>
      <c r="I631" s="5">
        <v>2.097947</v>
      </c>
      <c r="J631" s="5">
        <v>4.0541</v>
      </c>
      <c r="K631" s="5">
        <v>-3.0743299999999998</v>
      </c>
      <c r="L631" s="5">
        <v>-2.2999999999999692E-3</v>
      </c>
      <c r="M631" s="5">
        <v>-2.7688603531277469E-2</v>
      </c>
    </row>
    <row r="632" spans="1:13">
      <c r="A632" t="s">
        <v>4</v>
      </c>
      <c r="B632" s="4">
        <v>46311.653864768516</v>
      </c>
      <c r="C632" s="5">
        <v>724.82800000000134</v>
      </c>
      <c r="D632" s="5">
        <v>12.080466666666689</v>
      </c>
      <c r="E632" s="5">
        <v>146</v>
      </c>
      <c r="F632" s="5">
        <v>4305990</v>
      </c>
      <c r="G632" s="5">
        <v>429.56</v>
      </c>
      <c r="H632" s="5">
        <v>0.5</v>
      </c>
      <c r="I632" s="5">
        <v>2.0995110000000001</v>
      </c>
      <c r="J632" s="5">
        <v>4.0448700000000004</v>
      </c>
      <c r="K632" s="5">
        <v>-3.083559999999999</v>
      </c>
      <c r="L632" s="5">
        <v>-9.2299999999996274E-3</v>
      </c>
      <c r="M632" s="5">
        <v>-0.1107599999999955</v>
      </c>
    </row>
    <row r="633" spans="1:13">
      <c r="A633" t="s">
        <v>4</v>
      </c>
      <c r="B633" s="4">
        <v>46311.653922708334</v>
      </c>
      <c r="C633" s="5">
        <v>729.82800000000134</v>
      </c>
      <c r="D633" s="5">
        <v>12.16380000000002</v>
      </c>
      <c r="E633" s="5">
        <v>147</v>
      </c>
      <c r="F633" s="5">
        <v>4310989</v>
      </c>
      <c r="G633" s="5">
        <v>429.72</v>
      </c>
      <c r="H633" s="5">
        <v>0.45069999999999999</v>
      </c>
      <c r="I633" s="5">
        <v>2.1002930000000002</v>
      </c>
      <c r="J633" s="5">
        <v>4.0402500000000003</v>
      </c>
      <c r="K633" s="5">
        <v>-3.088179999999999</v>
      </c>
      <c r="L633" s="5">
        <v>-4.6200000000000676E-3</v>
      </c>
      <c r="M633" s="5">
        <v>-5.5440000000000822E-2</v>
      </c>
    </row>
    <row r="634" spans="1:13">
      <c r="A634" t="s">
        <v>4</v>
      </c>
      <c r="B634" s="4">
        <v>46311.65398048611</v>
      </c>
      <c r="C634" s="5">
        <v>734.81300000000192</v>
      </c>
      <c r="D634" s="5">
        <v>12.24688333333336</v>
      </c>
      <c r="E634" s="5">
        <v>148</v>
      </c>
      <c r="F634" s="5">
        <v>4315990</v>
      </c>
      <c r="G634" s="5">
        <v>429.84</v>
      </c>
      <c r="H634" s="5">
        <v>0.54490000000000005</v>
      </c>
      <c r="I634" s="5">
        <v>2.1008800000000001</v>
      </c>
      <c r="J634" s="5">
        <v>4.0367899999999999</v>
      </c>
      <c r="K634" s="5">
        <v>-3.0916399999999999</v>
      </c>
      <c r="L634" s="5">
        <v>-3.4600000000004631E-3</v>
      </c>
      <c r="M634" s="5">
        <v>-4.1644934804413947E-2</v>
      </c>
    </row>
    <row r="635" spans="1:13">
      <c r="A635" t="s">
        <v>4</v>
      </c>
      <c r="B635" s="4">
        <v>46311.654038263892</v>
      </c>
      <c r="C635" s="5">
        <v>739.81300000000192</v>
      </c>
      <c r="D635" s="5">
        <v>12.330216666666701</v>
      </c>
      <c r="E635" s="5">
        <v>149</v>
      </c>
      <c r="F635" s="5">
        <v>4320990</v>
      </c>
      <c r="G635" s="5">
        <v>430.24</v>
      </c>
      <c r="H635" s="5">
        <v>0.433</v>
      </c>
      <c r="I635" s="5">
        <v>2.1028349999999998</v>
      </c>
      <c r="J635" s="5">
        <v>4.0252499999999998</v>
      </c>
      <c r="K635" s="5">
        <v>-3.10318</v>
      </c>
      <c r="L635" s="5">
        <v>-1.1540000000000109E-2</v>
      </c>
      <c r="M635" s="5">
        <v>-0.1384800000000013</v>
      </c>
    </row>
    <row r="636" spans="1:13">
      <c r="A636" t="s">
        <v>4</v>
      </c>
      <c r="B636" s="4">
        <v>46311.654096215279</v>
      </c>
      <c r="C636" s="5">
        <v>744.81300000000192</v>
      </c>
      <c r="D636" s="5">
        <v>12.413550000000029</v>
      </c>
      <c r="E636" s="5">
        <v>150</v>
      </c>
      <c r="F636" s="5">
        <v>4325990</v>
      </c>
      <c r="G636" s="5">
        <v>430</v>
      </c>
      <c r="H636" s="5">
        <v>0.48409999999999997</v>
      </c>
      <c r="I636" s="5">
        <v>2.1016620000000001</v>
      </c>
      <c r="J636" s="5">
        <v>4.0321800000000003</v>
      </c>
      <c r="K636" s="5">
        <v>-3.0962499999999999</v>
      </c>
      <c r="L636" s="5">
        <v>6.9300000000005468E-3</v>
      </c>
      <c r="M636" s="5">
        <v>8.3160000000006562E-2</v>
      </c>
    </row>
    <row r="637" spans="1:13">
      <c r="A637" t="s">
        <v>4</v>
      </c>
      <c r="B637" s="4">
        <v>46311.654154004631</v>
      </c>
      <c r="C637" s="5">
        <v>749.81300000000192</v>
      </c>
      <c r="D637" s="5">
        <v>12.49688333333336</v>
      </c>
      <c r="E637" s="5">
        <v>151</v>
      </c>
      <c r="F637" s="5">
        <v>4330990</v>
      </c>
      <c r="G637" s="5">
        <v>430.16</v>
      </c>
      <c r="H637" s="5">
        <v>0.61240000000000006</v>
      </c>
      <c r="I637" s="5">
        <v>2.1024440000000002</v>
      </c>
      <c r="J637" s="5">
        <v>4.0275600000000003</v>
      </c>
      <c r="K637" s="5">
        <v>-3.10087</v>
      </c>
      <c r="L637" s="5">
        <v>-4.6200000000000676E-3</v>
      </c>
      <c r="M637" s="5">
        <v>-5.5440000000000822E-2</v>
      </c>
    </row>
    <row r="638" spans="1:13">
      <c r="A638" t="s">
        <v>4</v>
      </c>
      <c r="B638" s="4">
        <v>46311.65421177083</v>
      </c>
      <c r="C638" s="5">
        <v>754.79699999999866</v>
      </c>
      <c r="D638" s="5">
        <v>12.579949999999981</v>
      </c>
      <c r="E638" s="5">
        <v>152</v>
      </c>
      <c r="F638" s="5">
        <v>4335990</v>
      </c>
      <c r="G638" s="5">
        <v>430.68</v>
      </c>
      <c r="H638" s="5">
        <v>0.48409999999999997</v>
      </c>
      <c r="I638" s="5">
        <v>2.1049850000000001</v>
      </c>
      <c r="J638" s="5">
        <v>4.0125700000000002</v>
      </c>
      <c r="K638" s="5">
        <v>-3.1158600000000001</v>
      </c>
      <c r="L638" s="5">
        <v>-1.4990000000000061E-2</v>
      </c>
      <c r="M638" s="5">
        <v>-0.18045746388454889</v>
      </c>
    </row>
    <row r="639" spans="1:13">
      <c r="A639" t="s">
        <v>4</v>
      </c>
      <c r="B639" s="4">
        <v>46311.65426974537</v>
      </c>
      <c r="C639" s="5">
        <v>759.81300000000192</v>
      </c>
      <c r="D639" s="5">
        <v>12.663550000000029</v>
      </c>
      <c r="E639" s="5">
        <v>153</v>
      </c>
      <c r="F639" s="5">
        <v>4340988</v>
      </c>
      <c r="G639" s="5">
        <v>430.4</v>
      </c>
      <c r="H639" s="5">
        <v>0.5</v>
      </c>
      <c r="I639" s="5">
        <v>2.1036169999999998</v>
      </c>
      <c r="J639" s="5">
        <v>4.0206400000000002</v>
      </c>
      <c r="K639" s="5">
        <v>-3.1077900000000001</v>
      </c>
      <c r="L639" s="5">
        <v>8.0700000000000216E-3</v>
      </c>
      <c r="M639" s="5">
        <v>9.6531100478406434E-2</v>
      </c>
    </row>
    <row r="640" spans="1:13">
      <c r="A640" t="s">
        <v>4</v>
      </c>
      <c r="B640" s="4">
        <v>46311.654327511576</v>
      </c>
      <c r="C640" s="5">
        <v>764.79699999999866</v>
      </c>
      <c r="D640" s="5">
        <v>12.74661666666664</v>
      </c>
      <c r="E640" s="5">
        <v>154</v>
      </c>
      <c r="F640" s="5">
        <v>4345990</v>
      </c>
      <c r="G640" s="5">
        <v>430.4</v>
      </c>
      <c r="H640" s="5">
        <v>0.5</v>
      </c>
      <c r="I640" s="5">
        <v>2.1036169999999998</v>
      </c>
      <c r="J640" s="5">
        <v>4.0206400000000002</v>
      </c>
      <c r="K640" s="5">
        <v>-3.1077900000000001</v>
      </c>
      <c r="L640" s="5">
        <v>0</v>
      </c>
      <c r="M640" s="5">
        <v>0</v>
      </c>
    </row>
    <row r="641" spans="1:13">
      <c r="A641" t="s">
        <v>4</v>
      </c>
      <c r="B641" s="4">
        <v>46311.654385289352</v>
      </c>
      <c r="C641" s="5">
        <v>769.79699999999866</v>
      </c>
      <c r="D641" s="5">
        <v>12.829949999999981</v>
      </c>
      <c r="E641" s="5">
        <v>155</v>
      </c>
      <c r="F641" s="5">
        <v>4350990</v>
      </c>
      <c r="G641" s="5">
        <v>430.6</v>
      </c>
      <c r="H641" s="5">
        <v>0.48409999999999997</v>
      </c>
      <c r="I641" s="5">
        <v>2.1045940000000001</v>
      </c>
      <c r="J641" s="5">
        <v>4.0148700000000002</v>
      </c>
      <c r="K641" s="5">
        <v>-3.1135600000000001</v>
      </c>
      <c r="L641" s="5">
        <v>-5.7700000000000529E-3</v>
      </c>
      <c r="M641" s="5">
        <v>-6.9240000000000634E-2</v>
      </c>
    </row>
    <row r="642" spans="1:13">
      <c r="A642" t="s">
        <v>4</v>
      </c>
      <c r="B642" s="4">
        <v>46311.654443067127</v>
      </c>
      <c r="C642" s="5">
        <v>774.78100000000268</v>
      </c>
      <c r="D642" s="5">
        <v>12.91301666666671</v>
      </c>
      <c r="E642" s="5">
        <v>156</v>
      </c>
      <c r="F642" s="5">
        <v>4355990</v>
      </c>
      <c r="G642" s="5">
        <v>430.92</v>
      </c>
      <c r="H642" s="5">
        <v>0.375</v>
      </c>
      <c r="I642" s="5">
        <v>2.1061580000000002</v>
      </c>
      <c r="J642" s="5">
        <v>4.0056399999999996</v>
      </c>
      <c r="K642" s="5">
        <v>-3.1227900000000002</v>
      </c>
      <c r="L642" s="5">
        <v>-9.2300000000005156E-3</v>
      </c>
      <c r="M642" s="5">
        <v>-0.11111556982335161</v>
      </c>
    </row>
    <row r="643" spans="1:13">
      <c r="A643" t="s">
        <v>4</v>
      </c>
      <c r="B643" s="4">
        <v>46311.654501030091</v>
      </c>
      <c r="C643" s="5">
        <v>779.79699999999866</v>
      </c>
      <c r="D643" s="5">
        <v>12.99661666666664</v>
      </c>
      <c r="E643" s="5">
        <v>157</v>
      </c>
      <c r="F643" s="5">
        <v>4360990</v>
      </c>
      <c r="G643" s="5">
        <v>431</v>
      </c>
      <c r="H643" s="5">
        <v>0.48409999999999997</v>
      </c>
      <c r="I643" s="5">
        <v>2.1065489999999998</v>
      </c>
      <c r="J643" s="5">
        <v>4.0033399999999997</v>
      </c>
      <c r="K643" s="5">
        <v>-3.1250900000000001</v>
      </c>
      <c r="L643" s="5">
        <v>-2.2999999999999692E-3</v>
      </c>
      <c r="M643" s="5">
        <v>-2.7511961722509689E-2</v>
      </c>
    </row>
    <row r="644" spans="1:13">
      <c r="A644" t="s">
        <v>4</v>
      </c>
      <c r="B644" s="4">
        <v>46311.654558807873</v>
      </c>
      <c r="C644" s="5">
        <v>784.78100000000268</v>
      </c>
      <c r="D644" s="5">
        <v>13.07968333333338</v>
      </c>
      <c r="E644" s="5">
        <v>158</v>
      </c>
      <c r="F644" s="5">
        <v>4365989</v>
      </c>
      <c r="G644" s="5">
        <v>431.12</v>
      </c>
      <c r="H644" s="5">
        <v>0.58630000000000004</v>
      </c>
      <c r="I644" s="5">
        <v>2.1071360000000001</v>
      </c>
      <c r="J644" s="5">
        <v>3.9998800000000001</v>
      </c>
      <c r="K644" s="5">
        <v>-3.1285500000000002</v>
      </c>
      <c r="L644" s="5">
        <v>-3.459999999999575E-3</v>
      </c>
      <c r="M644" s="5">
        <v>-4.1653290529656342E-2</v>
      </c>
    </row>
    <row r="645" spans="1:13">
      <c r="A645" t="s">
        <v>4</v>
      </c>
      <c r="B645" s="4">
        <v>46311.654616585649</v>
      </c>
      <c r="C645" s="5">
        <v>789.78100000000268</v>
      </c>
      <c r="D645" s="5">
        <v>13.16301666666671</v>
      </c>
      <c r="E645" s="5">
        <v>159</v>
      </c>
      <c r="F645" s="5">
        <v>4370990</v>
      </c>
      <c r="G645" s="5">
        <v>431.08</v>
      </c>
      <c r="H645" s="5">
        <v>0.41460000000000002</v>
      </c>
      <c r="I645" s="5">
        <v>2.1069399999999998</v>
      </c>
      <c r="J645" s="5">
        <v>4.0010300000000001</v>
      </c>
      <c r="K645" s="5">
        <v>-3.1274000000000002</v>
      </c>
      <c r="L645" s="5">
        <v>1.1499999999999839E-3</v>
      </c>
      <c r="M645" s="5">
        <v>1.3799999999999811E-2</v>
      </c>
    </row>
    <row r="646" spans="1:13">
      <c r="A646" t="s">
        <v>4</v>
      </c>
      <c r="B646" s="4">
        <v>46311.65467452546</v>
      </c>
      <c r="C646" s="5">
        <v>794.78100000000268</v>
      </c>
      <c r="D646" s="5">
        <v>13.24635000000004</v>
      </c>
      <c r="E646" s="5">
        <v>160</v>
      </c>
      <c r="F646" s="5">
        <v>4375990</v>
      </c>
      <c r="G646" s="5">
        <v>431.32</v>
      </c>
      <c r="H646" s="5">
        <v>0.53029999999999999</v>
      </c>
      <c r="I646" s="5">
        <v>2.108114</v>
      </c>
      <c r="J646" s="5">
        <v>3.99411</v>
      </c>
      <c r="K646" s="5">
        <v>-3.1343200000000002</v>
      </c>
      <c r="L646" s="5">
        <v>-6.9200000000000372E-3</v>
      </c>
      <c r="M646" s="5">
        <v>-8.3040000000000447E-2</v>
      </c>
    </row>
    <row r="647" spans="1:13">
      <c r="A647" t="s">
        <v>4</v>
      </c>
      <c r="B647" s="4">
        <v>46311.654732314812</v>
      </c>
      <c r="C647" s="5">
        <v>799.78100000000268</v>
      </c>
      <c r="D647" s="5">
        <v>13.32968333333338</v>
      </c>
      <c r="E647" s="5">
        <v>161</v>
      </c>
      <c r="F647" s="5">
        <v>4380990</v>
      </c>
      <c r="G647" s="5">
        <v>431.52</v>
      </c>
      <c r="H647" s="5">
        <v>0.51539999999999997</v>
      </c>
      <c r="I647" s="5">
        <v>2.1090909999999998</v>
      </c>
      <c r="J647" s="5">
        <v>3.98834</v>
      </c>
      <c r="K647" s="5">
        <v>-3.1400899999999998</v>
      </c>
      <c r="L647" s="5">
        <v>-5.7700000000000529E-3</v>
      </c>
      <c r="M647" s="5">
        <v>-6.9240000000000634E-2</v>
      </c>
    </row>
    <row r="648" spans="1:13">
      <c r="A648" t="s">
        <v>4</v>
      </c>
      <c r="B648" s="4">
        <v>46311.654790092594</v>
      </c>
      <c r="C648" s="5">
        <v>804.76600000000326</v>
      </c>
      <c r="D648" s="5">
        <v>13.41276666666672</v>
      </c>
      <c r="E648" s="5">
        <v>162</v>
      </c>
      <c r="F648" s="5">
        <v>4385990</v>
      </c>
      <c r="G648" s="5">
        <v>431.76</v>
      </c>
      <c r="H648" s="5">
        <v>0.5</v>
      </c>
      <c r="I648" s="5">
        <v>2.1102639999999999</v>
      </c>
      <c r="J648" s="5">
        <v>3.98142</v>
      </c>
      <c r="K648" s="5">
        <v>-3.1470099999999999</v>
      </c>
      <c r="L648" s="5">
        <v>-6.9200000000000372E-3</v>
      </c>
      <c r="M648" s="5">
        <v>-8.3289869608817207E-2</v>
      </c>
    </row>
    <row r="649" spans="1:13">
      <c r="A649" t="s">
        <v>4</v>
      </c>
      <c r="B649" s="4">
        <v>46311.654848043981</v>
      </c>
      <c r="C649" s="5">
        <v>809.76600000000326</v>
      </c>
      <c r="D649" s="5">
        <v>13.49610000000005</v>
      </c>
      <c r="E649" s="5">
        <v>163</v>
      </c>
      <c r="F649" s="5">
        <v>4390990</v>
      </c>
      <c r="G649" s="5">
        <v>431.84</v>
      </c>
      <c r="H649" s="5">
        <v>0.4677</v>
      </c>
      <c r="I649" s="5">
        <v>2.1106549999999999</v>
      </c>
      <c r="J649" s="5">
        <v>3.9791099999999999</v>
      </c>
      <c r="K649" s="5">
        <v>-3.1493199999999999</v>
      </c>
      <c r="L649" s="5">
        <v>-2.3100000000000338E-3</v>
      </c>
      <c r="M649" s="5">
        <v>-2.7720000000000411E-2</v>
      </c>
    </row>
    <row r="650" spans="1:13">
      <c r="A650" t="s">
        <v>4</v>
      </c>
      <c r="B650" s="4">
        <v>46311.654905810188</v>
      </c>
      <c r="C650" s="5">
        <v>814.76600000000326</v>
      </c>
      <c r="D650" s="5">
        <v>13.579433333333389</v>
      </c>
      <c r="E650" s="5">
        <v>164</v>
      </c>
      <c r="F650" s="5">
        <v>4395990</v>
      </c>
      <c r="G650" s="5">
        <v>431.84</v>
      </c>
      <c r="H650" s="5">
        <v>0.54490000000000005</v>
      </c>
      <c r="I650" s="5">
        <v>2.1106549999999999</v>
      </c>
      <c r="J650" s="5">
        <v>3.9791099999999999</v>
      </c>
      <c r="K650" s="5">
        <v>-3.1493199999999999</v>
      </c>
      <c r="L650" s="5">
        <v>0</v>
      </c>
      <c r="M650" s="5">
        <v>0</v>
      </c>
    </row>
    <row r="651" spans="1:13">
      <c r="A651" t="s">
        <v>4</v>
      </c>
      <c r="B651" s="4">
        <v>46311.65496359954</v>
      </c>
      <c r="C651" s="5">
        <v>819.75</v>
      </c>
      <c r="D651" s="5">
        <v>13.6625</v>
      </c>
      <c r="E651" s="5">
        <v>165</v>
      </c>
      <c r="F651" s="5">
        <v>4400990</v>
      </c>
      <c r="G651" s="5">
        <v>432.04</v>
      </c>
      <c r="H651" s="5">
        <v>0.45069999999999999</v>
      </c>
      <c r="I651" s="5">
        <v>2.1116320000000002</v>
      </c>
      <c r="J651" s="5">
        <v>3.9733399999999999</v>
      </c>
      <c r="K651" s="5">
        <v>-3.15509</v>
      </c>
      <c r="L651" s="5">
        <v>-5.7700000000000529E-3</v>
      </c>
      <c r="M651" s="5">
        <v>-6.9462279293786025E-2</v>
      </c>
    </row>
    <row r="652" spans="1:13">
      <c r="A652" t="s">
        <v>4</v>
      </c>
      <c r="B652" s="4">
        <v>46311.655021562503</v>
      </c>
      <c r="C652" s="5">
        <v>824.76600000000326</v>
      </c>
      <c r="D652" s="5">
        <v>13.74610000000005</v>
      </c>
      <c r="E652" s="5">
        <v>166</v>
      </c>
      <c r="F652" s="5">
        <v>4405989</v>
      </c>
      <c r="G652" s="5">
        <v>432.08</v>
      </c>
      <c r="H652" s="5">
        <v>0.5</v>
      </c>
      <c r="I652" s="5">
        <v>2.111828</v>
      </c>
      <c r="J652" s="5">
        <v>3.9721899999999999</v>
      </c>
      <c r="K652" s="5">
        <v>-3.1562399999999999</v>
      </c>
      <c r="L652" s="5">
        <v>-1.1499999999999839E-3</v>
      </c>
      <c r="M652" s="5">
        <v>-1.375598086123489E-2</v>
      </c>
    </row>
    <row r="653" spans="1:13">
      <c r="A653" t="s">
        <v>4</v>
      </c>
      <c r="B653" s="4">
        <v>46311.655079340278</v>
      </c>
      <c r="C653" s="5">
        <v>829.75</v>
      </c>
      <c r="D653" s="5">
        <v>13.829166666666669</v>
      </c>
      <c r="E653" s="5">
        <v>167</v>
      </c>
      <c r="F653" s="5">
        <v>4410990</v>
      </c>
      <c r="G653" s="5">
        <v>432</v>
      </c>
      <c r="H653" s="5">
        <v>0.48409999999999997</v>
      </c>
      <c r="I653" s="5">
        <v>2.111437</v>
      </c>
      <c r="J653" s="5">
        <v>3.9744999999999999</v>
      </c>
      <c r="K653" s="5">
        <v>-3.1539299999999999</v>
      </c>
      <c r="L653" s="5">
        <v>2.3100000000000338E-3</v>
      </c>
      <c r="M653" s="5">
        <v>2.7808988764063541E-2</v>
      </c>
    </row>
    <row r="654" spans="1:13">
      <c r="A654" t="s">
        <v>4</v>
      </c>
      <c r="B654" s="4">
        <v>46311.655137106478</v>
      </c>
      <c r="C654" s="5">
        <v>834.75</v>
      </c>
      <c r="D654" s="5">
        <v>13.9125</v>
      </c>
      <c r="E654" s="5">
        <v>168</v>
      </c>
      <c r="F654" s="5">
        <v>4415989</v>
      </c>
      <c r="G654" s="5">
        <v>432.64</v>
      </c>
      <c r="H654" s="5">
        <v>0.4677</v>
      </c>
      <c r="I654" s="5">
        <v>2.1145649999999998</v>
      </c>
      <c r="J654" s="5">
        <v>3.9560399999999998</v>
      </c>
      <c r="K654" s="5">
        <v>-3.17239</v>
      </c>
      <c r="L654" s="5">
        <v>-1.8460000000000139E-2</v>
      </c>
      <c r="M654" s="5">
        <v>-0.22152000000000169</v>
      </c>
    </row>
    <row r="655" spans="1:13">
      <c r="A655" t="s">
        <v>4</v>
      </c>
      <c r="B655" s="4">
        <v>46311.655195081017</v>
      </c>
      <c r="C655" s="5">
        <v>839.75</v>
      </c>
      <c r="D655" s="5">
        <v>13.99583333333333</v>
      </c>
      <c r="E655" s="5">
        <v>169</v>
      </c>
      <c r="F655" s="5">
        <v>4420989</v>
      </c>
      <c r="G655" s="5">
        <v>432.24</v>
      </c>
      <c r="H655" s="5">
        <v>0.433</v>
      </c>
      <c r="I655" s="5">
        <v>2.1126100000000001</v>
      </c>
      <c r="J655" s="5">
        <v>3.9675799999999999</v>
      </c>
      <c r="K655" s="5">
        <v>-3.1608499999999999</v>
      </c>
      <c r="L655" s="5">
        <v>1.1540000000000109E-2</v>
      </c>
      <c r="M655" s="5">
        <v>0.1384800000000013</v>
      </c>
    </row>
    <row r="656" spans="1:13">
      <c r="A656" t="s">
        <v>4</v>
      </c>
      <c r="B656" s="4">
        <v>46311.655252847224</v>
      </c>
      <c r="C656" s="5">
        <v>844.75</v>
      </c>
      <c r="D656" s="5">
        <v>14.079166666666669</v>
      </c>
      <c r="E656" s="5">
        <v>170</v>
      </c>
      <c r="F656" s="5">
        <v>4425990</v>
      </c>
      <c r="G656" s="5">
        <v>432.68</v>
      </c>
      <c r="H656" s="5">
        <v>0.48409999999999997</v>
      </c>
      <c r="I656" s="5">
        <v>2.11476</v>
      </c>
      <c r="J656" s="5">
        <v>3.9548899999999998</v>
      </c>
      <c r="K656" s="5">
        <v>-3.17354</v>
      </c>
      <c r="L656" s="5">
        <v>-1.269000000000009E-2</v>
      </c>
      <c r="M656" s="5">
        <v>-0.15228000000000111</v>
      </c>
    </row>
    <row r="657" spans="1:13">
      <c r="A657" t="s">
        <v>4</v>
      </c>
      <c r="B657" s="4">
        <v>46311.655310624999</v>
      </c>
      <c r="C657" s="5">
        <v>849.73500000000058</v>
      </c>
      <c r="D657" s="5">
        <v>14.162250000000011</v>
      </c>
      <c r="E657" s="5">
        <v>171</v>
      </c>
      <c r="F657" s="5">
        <v>4430990</v>
      </c>
      <c r="G657" s="5">
        <v>432.4</v>
      </c>
      <c r="H657" s="5">
        <v>0.5</v>
      </c>
      <c r="I657" s="5">
        <v>2.1133920000000002</v>
      </c>
      <c r="J657" s="5">
        <v>3.9629599999999998</v>
      </c>
      <c r="K657" s="5">
        <v>-3.16547</v>
      </c>
      <c r="L657" s="5">
        <v>8.0700000000000216E-3</v>
      </c>
      <c r="M657" s="5">
        <v>9.7131394182536565E-2</v>
      </c>
    </row>
    <row r="658" spans="1:13">
      <c r="A658" t="s">
        <v>4</v>
      </c>
      <c r="B658" s="4">
        <v>46311.655368576387</v>
      </c>
      <c r="C658" s="5">
        <v>854.75</v>
      </c>
      <c r="D658" s="5">
        <v>14.24583333333333</v>
      </c>
      <c r="E658" s="5">
        <v>172</v>
      </c>
      <c r="F658" s="5">
        <v>4435989</v>
      </c>
      <c r="G658" s="5">
        <v>432.68</v>
      </c>
      <c r="H658" s="5">
        <v>0.55900000000000005</v>
      </c>
      <c r="I658" s="5">
        <v>2.11476</v>
      </c>
      <c r="J658" s="5">
        <v>3.9548899999999998</v>
      </c>
      <c r="K658" s="5">
        <v>-3.17354</v>
      </c>
      <c r="L658" s="5">
        <v>-8.0700000000000216E-3</v>
      </c>
      <c r="M658" s="5">
        <v>-9.6550348953152051E-2</v>
      </c>
    </row>
    <row r="659" spans="1:13">
      <c r="A659" t="s">
        <v>4</v>
      </c>
      <c r="B659" s="4">
        <v>46311.655426354169</v>
      </c>
      <c r="C659" s="5">
        <v>859.73500000000058</v>
      </c>
      <c r="D659" s="5">
        <v>14.328916666666681</v>
      </c>
      <c r="E659" s="5">
        <v>173</v>
      </c>
      <c r="F659" s="5">
        <v>4440990</v>
      </c>
      <c r="G659" s="5">
        <v>432.6</v>
      </c>
      <c r="H659" s="5">
        <v>0.48409999999999997</v>
      </c>
      <c r="I659" s="5">
        <v>2.1143689999999999</v>
      </c>
      <c r="J659" s="5">
        <v>3.9571900000000002</v>
      </c>
      <c r="K659" s="5">
        <v>-3.1712400000000001</v>
      </c>
      <c r="L659" s="5">
        <v>2.3000000000004128E-3</v>
      </c>
      <c r="M659" s="5">
        <v>2.7683049147444069E-2</v>
      </c>
    </row>
    <row r="660" spans="1:13">
      <c r="A660" t="s">
        <v>4</v>
      </c>
      <c r="B660" s="4">
        <v>46311.655484120369</v>
      </c>
      <c r="C660" s="5">
        <v>864.73500000000058</v>
      </c>
      <c r="D660" s="5">
        <v>14.412250000000011</v>
      </c>
      <c r="E660" s="5">
        <v>174</v>
      </c>
      <c r="F660" s="5">
        <v>4445990</v>
      </c>
      <c r="G660" s="5">
        <v>432.72</v>
      </c>
      <c r="H660" s="5">
        <v>0.45069999999999999</v>
      </c>
      <c r="I660" s="5">
        <v>2.1149559999999998</v>
      </c>
      <c r="J660" s="5">
        <v>3.9537300000000002</v>
      </c>
      <c r="K660" s="5">
        <v>-3.1747000000000001</v>
      </c>
      <c r="L660" s="5">
        <v>-3.460000000000019E-3</v>
      </c>
      <c r="M660" s="5">
        <v>-4.1520000000000223E-2</v>
      </c>
    </row>
    <row r="661" spans="1:13">
      <c r="A661" t="s">
        <v>4</v>
      </c>
      <c r="B661" s="4">
        <v>46311.655542083332</v>
      </c>
      <c r="C661" s="5">
        <v>869.73500000000058</v>
      </c>
      <c r="D661" s="5">
        <v>14.495583333333339</v>
      </c>
      <c r="E661" s="5">
        <v>175</v>
      </c>
      <c r="F661" s="5">
        <v>4450990</v>
      </c>
      <c r="G661" s="5">
        <v>432.76</v>
      </c>
      <c r="H661" s="5">
        <v>0.51539999999999997</v>
      </c>
      <c r="I661" s="5">
        <v>2.1151520000000001</v>
      </c>
      <c r="J661" s="5">
        <v>3.9525800000000002</v>
      </c>
      <c r="K661" s="5">
        <v>-3.1758500000000001</v>
      </c>
      <c r="L661" s="5">
        <v>-1.1499999999999839E-3</v>
      </c>
      <c r="M661" s="5">
        <v>-1.3799999999999811E-2</v>
      </c>
    </row>
    <row r="662" spans="1:13">
      <c r="A662" t="s">
        <v>4</v>
      </c>
      <c r="B662" s="4">
        <v>46311.655599861107</v>
      </c>
      <c r="C662" s="5">
        <v>874.73500000000058</v>
      </c>
      <c r="D662" s="5">
        <v>14.578916666666681</v>
      </c>
      <c r="E662" s="5">
        <v>176</v>
      </c>
      <c r="F662" s="5">
        <v>4455990</v>
      </c>
      <c r="G662" s="5">
        <v>433</v>
      </c>
      <c r="H662" s="5">
        <v>0.39529999999999998</v>
      </c>
      <c r="I662" s="5">
        <v>2.1163240000000001</v>
      </c>
      <c r="J662" s="5">
        <v>3.9456600000000002</v>
      </c>
      <c r="K662" s="5">
        <v>-3.1827700000000001</v>
      </c>
      <c r="L662" s="5">
        <v>-6.9200000000000372E-3</v>
      </c>
      <c r="M662" s="5">
        <v>-8.3040000000000447E-2</v>
      </c>
    </row>
    <row r="663" spans="1:13">
      <c r="A663" t="s">
        <v>4</v>
      </c>
      <c r="B663" s="4">
        <v>46311.65565763889</v>
      </c>
      <c r="C663" s="5">
        <v>879.71899999999732</v>
      </c>
      <c r="D663" s="5">
        <v>14.661983333333289</v>
      </c>
      <c r="E663" s="5">
        <v>177</v>
      </c>
      <c r="F663" s="5">
        <v>4460990</v>
      </c>
      <c r="G663" s="5">
        <v>432.84</v>
      </c>
      <c r="H663" s="5">
        <v>0.61240000000000006</v>
      </c>
      <c r="I663" s="5">
        <v>2.115542</v>
      </c>
      <c r="J663" s="5">
        <v>3.9502700000000002</v>
      </c>
      <c r="K663" s="5">
        <v>-3.1781600000000001</v>
      </c>
      <c r="L663" s="5">
        <v>4.610000000000003E-3</v>
      </c>
      <c r="M663" s="5">
        <v>5.5497592295381433E-2</v>
      </c>
    </row>
    <row r="664" spans="1:13">
      <c r="A664" t="s">
        <v>4</v>
      </c>
      <c r="B664" s="4">
        <v>46311.655715601853</v>
      </c>
      <c r="C664" s="5">
        <v>884.73500000000058</v>
      </c>
      <c r="D664" s="5">
        <v>14.745583333333339</v>
      </c>
      <c r="E664" s="5">
        <v>178</v>
      </c>
      <c r="F664" s="5">
        <v>4465990</v>
      </c>
      <c r="G664" s="5">
        <v>433.24</v>
      </c>
      <c r="H664" s="5">
        <v>0.58630000000000004</v>
      </c>
      <c r="I664" s="5">
        <v>2.1174970000000002</v>
      </c>
      <c r="J664" s="5">
        <v>3.9387300000000001</v>
      </c>
      <c r="K664" s="5">
        <v>-3.1897000000000002</v>
      </c>
      <c r="L664" s="5">
        <v>-1.1540000000000109E-2</v>
      </c>
      <c r="M664" s="5">
        <v>-0.13803827751187331</v>
      </c>
    </row>
    <row r="665" spans="1:13">
      <c r="A665" t="s">
        <v>4</v>
      </c>
      <c r="B665" s="4">
        <v>46311.655773368053</v>
      </c>
      <c r="C665" s="5">
        <v>889.71899999999732</v>
      </c>
      <c r="D665" s="5">
        <v>14.828649999999961</v>
      </c>
      <c r="E665" s="5">
        <v>179</v>
      </c>
      <c r="F665" s="5">
        <v>4470990</v>
      </c>
      <c r="G665" s="5">
        <v>433.28</v>
      </c>
      <c r="H665" s="5">
        <v>0.53029999999999999</v>
      </c>
      <c r="I665" s="5">
        <v>2.117693</v>
      </c>
      <c r="J665" s="5">
        <v>3.9375800000000001</v>
      </c>
      <c r="K665" s="5">
        <v>-3.1908500000000002</v>
      </c>
      <c r="L665" s="5">
        <v>-1.1499999999999839E-3</v>
      </c>
      <c r="M665" s="5">
        <v>-1.3844301765658949E-2</v>
      </c>
    </row>
    <row r="666" spans="1:13">
      <c r="A666" t="s">
        <v>4</v>
      </c>
      <c r="B666" s="4">
        <v>46311.655831145836</v>
      </c>
      <c r="C666" s="5">
        <v>894.71899999999732</v>
      </c>
      <c r="D666" s="5">
        <v>14.911983333333289</v>
      </c>
      <c r="E666" s="5">
        <v>180</v>
      </c>
      <c r="F666" s="5">
        <v>4475990</v>
      </c>
      <c r="G666" s="5">
        <v>433.4</v>
      </c>
      <c r="H666" s="5">
        <v>0.55900000000000005</v>
      </c>
      <c r="I666" s="5">
        <v>2.1182789999999998</v>
      </c>
      <c r="J666" s="5">
        <v>3.9341200000000001</v>
      </c>
      <c r="K666" s="5">
        <v>-3.1943100000000002</v>
      </c>
      <c r="L666" s="5">
        <v>-3.460000000000019E-3</v>
      </c>
      <c r="M666" s="5">
        <v>-4.1520000000000223E-2</v>
      </c>
    </row>
    <row r="667" spans="1:13">
      <c r="A667" t="s">
        <v>4</v>
      </c>
      <c r="B667" s="4">
        <v>46311.655888923611</v>
      </c>
      <c r="C667" s="5">
        <v>899.70300000000134</v>
      </c>
      <c r="D667" s="5">
        <v>14.99505000000002</v>
      </c>
      <c r="E667" s="5">
        <v>181</v>
      </c>
      <c r="F667" s="5">
        <v>4480990</v>
      </c>
      <c r="G667" s="5">
        <v>433.8</v>
      </c>
      <c r="H667" s="5">
        <v>0.41460000000000002</v>
      </c>
      <c r="I667" s="5">
        <v>2.120234</v>
      </c>
      <c r="J667" s="5">
        <v>3.92258</v>
      </c>
      <c r="K667" s="5">
        <v>-3.2058499999999999</v>
      </c>
      <c r="L667" s="5">
        <v>-1.1540000000000109E-2</v>
      </c>
      <c r="M667" s="5">
        <v>-0.13892455858736921</v>
      </c>
    </row>
    <row r="668" spans="1:13">
      <c r="A668" t="s">
        <v>4</v>
      </c>
      <c r="B668" s="4">
        <v>46311.65594689815</v>
      </c>
      <c r="C668" s="5">
        <v>904.71899999999732</v>
      </c>
      <c r="D668" s="5">
        <v>15.078649999999961</v>
      </c>
      <c r="E668" s="5">
        <v>182</v>
      </c>
      <c r="F668" s="5">
        <v>4485990</v>
      </c>
      <c r="G668" s="5">
        <v>433.52</v>
      </c>
      <c r="H668" s="5">
        <v>0.58630000000000004</v>
      </c>
      <c r="I668" s="5">
        <v>2.1188660000000001</v>
      </c>
      <c r="J668" s="5">
        <v>3.93066</v>
      </c>
      <c r="K668" s="5">
        <v>-3.1977699999999998</v>
      </c>
      <c r="L668" s="5">
        <v>8.0800000000000871E-3</v>
      </c>
      <c r="M668" s="5">
        <v>9.6650717703427716E-2</v>
      </c>
    </row>
    <row r="669" spans="1:13">
      <c r="A669" t="s">
        <v>4</v>
      </c>
      <c r="B669" s="4">
        <v>46311.65600466435</v>
      </c>
      <c r="C669" s="5">
        <v>909.70300000000134</v>
      </c>
      <c r="D669" s="5">
        <v>15.16171666666669</v>
      </c>
      <c r="E669" s="5">
        <v>183</v>
      </c>
      <c r="F669" s="5">
        <v>4490990</v>
      </c>
      <c r="G669" s="5">
        <v>433.6</v>
      </c>
      <c r="H669" s="5">
        <v>0.48409999999999997</v>
      </c>
      <c r="I669" s="5">
        <v>2.1192570000000002</v>
      </c>
      <c r="J669" s="5">
        <v>3.92835</v>
      </c>
      <c r="K669" s="5">
        <v>-3.2000799999999998</v>
      </c>
      <c r="L669" s="5">
        <v>-2.3100000000000338E-3</v>
      </c>
      <c r="M669" s="5">
        <v>-2.7808988764022949E-2</v>
      </c>
    </row>
    <row r="670" spans="1:13">
      <c r="A670" t="s">
        <v>4</v>
      </c>
      <c r="B670" s="4">
        <v>46311.656062442133</v>
      </c>
      <c r="C670" s="5">
        <v>914.68800000000192</v>
      </c>
      <c r="D670" s="5">
        <v>15.24480000000003</v>
      </c>
      <c r="E670" s="5">
        <v>184</v>
      </c>
      <c r="F670" s="5">
        <v>4495990</v>
      </c>
      <c r="G670" s="5">
        <v>434.08</v>
      </c>
      <c r="H670" s="5">
        <v>0.39529999999999998</v>
      </c>
      <c r="I670" s="5">
        <v>2.1216029999999999</v>
      </c>
      <c r="J670" s="5">
        <v>3.9145099999999999</v>
      </c>
      <c r="K670" s="5">
        <v>-3.2139199999999999</v>
      </c>
      <c r="L670" s="5">
        <v>-1.3840000000000069E-2</v>
      </c>
      <c r="M670" s="5">
        <v>-0.16657973921763439</v>
      </c>
    </row>
    <row r="671" spans="1:13">
      <c r="A671" t="s">
        <v>4</v>
      </c>
      <c r="B671" s="4">
        <v>46311.656120405096</v>
      </c>
      <c r="C671" s="5">
        <v>919.70300000000134</v>
      </c>
      <c r="D671" s="5">
        <v>15.32838333333336</v>
      </c>
      <c r="E671" s="5">
        <v>185</v>
      </c>
      <c r="F671" s="5">
        <v>4500989</v>
      </c>
      <c r="G671" s="5">
        <v>433.84</v>
      </c>
      <c r="H671" s="5">
        <v>0.54490000000000005</v>
      </c>
      <c r="I671" s="5">
        <v>2.1204299999999998</v>
      </c>
      <c r="J671" s="5">
        <v>3.92143</v>
      </c>
      <c r="K671" s="5">
        <v>-3.2069999999999999</v>
      </c>
      <c r="L671" s="5">
        <v>6.9200000000000372E-3</v>
      </c>
      <c r="M671" s="5">
        <v>8.2791625124636184E-2</v>
      </c>
    </row>
    <row r="672" spans="1:13">
      <c r="A672" t="s">
        <v>4</v>
      </c>
      <c r="B672" s="4">
        <v>46311.656178171295</v>
      </c>
      <c r="C672" s="5">
        <v>924.68800000000192</v>
      </c>
      <c r="D672" s="5">
        <v>15.4114666666667</v>
      </c>
      <c r="E672" s="5">
        <v>186</v>
      </c>
      <c r="F672" s="5">
        <v>4505990</v>
      </c>
      <c r="G672" s="5">
        <v>433.92</v>
      </c>
      <c r="H672" s="5">
        <v>0.375</v>
      </c>
      <c r="I672" s="5">
        <v>2.1208209999999998</v>
      </c>
      <c r="J672" s="5">
        <v>3.9191199999999999</v>
      </c>
      <c r="K672" s="5">
        <v>-3.2093099999999999</v>
      </c>
      <c r="L672" s="5">
        <v>-2.3100000000000338E-3</v>
      </c>
      <c r="M672" s="5">
        <v>-2.7803410230689239E-2</v>
      </c>
    </row>
    <row r="673" spans="1:13">
      <c r="A673" t="s">
        <v>4</v>
      </c>
      <c r="B673" s="4">
        <v>46311.656235949071</v>
      </c>
      <c r="C673" s="5">
        <v>929.68800000000192</v>
      </c>
      <c r="D673" s="5">
        <v>15.49480000000003</v>
      </c>
      <c r="E673" s="5">
        <v>187</v>
      </c>
      <c r="F673" s="5">
        <v>4510990</v>
      </c>
      <c r="G673" s="5">
        <v>433.92</v>
      </c>
      <c r="H673" s="5">
        <v>0.4677</v>
      </c>
      <c r="I673" s="5">
        <v>2.1208209999999998</v>
      </c>
      <c r="J673" s="5">
        <v>3.9191199999999999</v>
      </c>
      <c r="K673" s="5">
        <v>-3.2093099999999999</v>
      </c>
      <c r="L673" s="5">
        <v>0</v>
      </c>
      <c r="M673" s="5">
        <v>0</v>
      </c>
    </row>
    <row r="674" spans="1:13">
      <c r="A674" t="s">
        <v>4</v>
      </c>
      <c r="B674" s="4">
        <v>46311.65629392361</v>
      </c>
      <c r="C674" s="5">
        <v>934.68800000000192</v>
      </c>
      <c r="D674" s="5">
        <v>15.578133333333369</v>
      </c>
      <c r="E674" s="5">
        <v>188</v>
      </c>
      <c r="F674" s="5">
        <v>4515990</v>
      </c>
      <c r="G674" s="5">
        <v>434.2</v>
      </c>
      <c r="H674" s="5">
        <v>0.54490000000000005</v>
      </c>
      <c r="I674" s="5">
        <v>2.1221890000000001</v>
      </c>
      <c r="J674" s="5">
        <v>3.9110499999999999</v>
      </c>
      <c r="K674" s="5">
        <v>-3.2173799999999999</v>
      </c>
      <c r="L674" s="5">
        <v>-8.0700000000000216E-3</v>
      </c>
      <c r="M674" s="5">
        <v>-9.6840000000000259E-2</v>
      </c>
    </row>
    <row r="675" spans="1:13">
      <c r="A675" t="s">
        <v>4</v>
      </c>
      <c r="B675" s="4">
        <v>46311.656351689817</v>
      </c>
      <c r="C675" s="5">
        <v>939.68800000000192</v>
      </c>
      <c r="D675" s="5">
        <v>15.6614666666667</v>
      </c>
      <c r="E675" s="5">
        <v>189</v>
      </c>
      <c r="F675" s="5">
        <v>4520990</v>
      </c>
      <c r="G675" s="5">
        <v>434.12</v>
      </c>
      <c r="H675" s="5">
        <v>0.51539999999999997</v>
      </c>
      <c r="I675" s="5">
        <v>2.1217990000000002</v>
      </c>
      <c r="J675" s="5">
        <v>3.9133599999999999</v>
      </c>
      <c r="K675" s="5">
        <v>-3.2150699999999999</v>
      </c>
      <c r="L675" s="5">
        <v>2.3100000000000338E-3</v>
      </c>
      <c r="M675" s="5">
        <v>2.7720000000000411E-2</v>
      </c>
    </row>
    <row r="676" spans="1:13">
      <c r="A676" t="s">
        <v>4</v>
      </c>
      <c r="B676" s="4">
        <v>46311.656409467592</v>
      </c>
      <c r="C676" s="5">
        <v>944.67199999999866</v>
      </c>
      <c r="D676" s="5">
        <v>15.74453333333331</v>
      </c>
      <c r="E676" s="5">
        <v>190</v>
      </c>
      <c r="F676" s="5">
        <v>4525990</v>
      </c>
      <c r="G676" s="5">
        <v>434.36</v>
      </c>
      <c r="H676" s="5">
        <v>0.5</v>
      </c>
      <c r="I676" s="5">
        <v>2.1229719999999999</v>
      </c>
      <c r="J676" s="5">
        <v>3.9064299999999998</v>
      </c>
      <c r="K676" s="5">
        <v>-3.222</v>
      </c>
      <c r="L676" s="5">
        <v>-6.9300000000001027E-3</v>
      </c>
      <c r="M676" s="5">
        <v>-8.3426966292190624E-2</v>
      </c>
    </row>
    <row r="677" spans="1:13">
      <c r="A677" t="s">
        <v>4</v>
      </c>
      <c r="B677" s="4">
        <v>46311.656467418979</v>
      </c>
      <c r="C677" s="5">
        <v>949.68800000000192</v>
      </c>
      <c r="D677" s="5">
        <v>15.828133333333369</v>
      </c>
      <c r="E677" s="5">
        <v>191</v>
      </c>
      <c r="F677" s="5">
        <v>4530990</v>
      </c>
      <c r="G677" s="5">
        <v>434.28</v>
      </c>
      <c r="H677" s="5">
        <v>0.53029999999999999</v>
      </c>
      <c r="I677" s="5">
        <v>2.1225809999999998</v>
      </c>
      <c r="J677" s="5">
        <v>3.9087399999999999</v>
      </c>
      <c r="K677" s="5">
        <v>-3.2196899999999999</v>
      </c>
      <c r="L677" s="5">
        <v>2.3100000000000338E-3</v>
      </c>
      <c r="M677" s="5">
        <v>2.7631578947350879E-2</v>
      </c>
    </row>
    <row r="678" spans="1:13">
      <c r="A678" t="s">
        <v>4</v>
      </c>
      <c r="B678" s="4">
        <v>46311.656525196762</v>
      </c>
      <c r="C678" s="5">
        <v>954.67199999999866</v>
      </c>
      <c r="D678" s="5">
        <v>15.91119999999998</v>
      </c>
      <c r="E678" s="5">
        <v>192</v>
      </c>
      <c r="F678" s="5">
        <v>4535990</v>
      </c>
      <c r="G678" s="5">
        <v>434.4</v>
      </c>
      <c r="H678" s="5">
        <v>0.48409999999999997</v>
      </c>
      <c r="I678" s="5">
        <v>2.123167</v>
      </c>
      <c r="J678" s="5">
        <v>3.9052799999999999</v>
      </c>
      <c r="K678" s="5">
        <v>-3.22315</v>
      </c>
      <c r="L678" s="5">
        <v>-3.460000000000019E-3</v>
      </c>
      <c r="M678" s="5">
        <v>-4.1653290529722477E-2</v>
      </c>
    </row>
    <row r="679" spans="1:13">
      <c r="A679" t="s">
        <v>4</v>
      </c>
      <c r="B679" s="4">
        <v>46311.656582974538</v>
      </c>
      <c r="C679" s="5">
        <v>959.67199999999866</v>
      </c>
      <c r="D679" s="5">
        <v>15.99453333333331</v>
      </c>
      <c r="E679" s="5">
        <v>193</v>
      </c>
      <c r="F679" s="5">
        <v>4540990</v>
      </c>
      <c r="G679" s="5">
        <v>434.44</v>
      </c>
      <c r="H679" s="5">
        <v>0.5</v>
      </c>
      <c r="I679" s="5">
        <v>2.1233629999999999</v>
      </c>
      <c r="J679" s="5">
        <v>3.9041299999999999</v>
      </c>
      <c r="K679" s="5">
        <v>-3.2242999999999999</v>
      </c>
      <c r="L679" s="5">
        <v>-1.1499999999999839E-3</v>
      </c>
      <c r="M679" s="5">
        <v>-1.3799999999999811E-2</v>
      </c>
    </row>
    <row r="680" spans="1:13">
      <c r="A680" t="s">
        <v>4</v>
      </c>
      <c r="B680" s="4">
        <v>46311.656640925925</v>
      </c>
      <c r="C680" s="5">
        <v>964.67199999999866</v>
      </c>
      <c r="D680" s="5">
        <v>16.07786666666664</v>
      </c>
      <c r="E680" s="5">
        <v>194</v>
      </c>
      <c r="F680" s="5">
        <v>4545989</v>
      </c>
      <c r="G680" s="5">
        <v>434.88</v>
      </c>
      <c r="H680" s="5">
        <v>0.5</v>
      </c>
      <c r="I680" s="5">
        <v>2.1255130000000002</v>
      </c>
      <c r="J680" s="5">
        <v>3.8914399999999998</v>
      </c>
      <c r="K680" s="5">
        <v>-3.23699</v>
      </c>
      <c r="L680" s="5">
        <v>-1.269000000000009E-2</v>
      </c>
      <c r="M680" s="5">
        <v>-0.15228000000000111</v>
      </c>
    </row>
    <row r="681" spans="1:13">
      <c r="A681" t="s">
        <v>4</v>
      </c>
      <c r="B681" s="4">
        <v>46311.6566987037</v>
      </c>
      <c r="C681" s="5">
        <v>969.67199999999866</v>
      </c>
      <c r="D681" s="5">
        <v>16.16119999999998</v>
      </c>
      <c r="E681" s="5">
        <v>195</v>
      </c>
      <c r="F681" s="5">
        <v>4550989</v>
      </c>
      <c r="G681" s="5">
        <v>434.88</v>
      </c>
      <c r="H681" s="5">
        <v>0.5</v>
      </c>
      <c r="I681" s="5">
        <v>2.1255130000000002</v>
      </c>
      <c r="J681" s="5">
        <v>3.8914399999999998</v>
      </c>
      <c r="K681" s="5">
        <v>-3.23699</v>
      </c>
      <c r="L681" s="5">
        <v>0</v>
      </c>
      <c r="M681" s="5">
        <v>0</v>
      </c>
    </row>
    <row r="682" spans="1:13">
      <c r="A682" t="s">
        <v>4</v>
      </c>
      <c r="B682" s="4">
        <v>46311.656756493052</v>
      </c>
      <c r="C682" s="5">
        <v>974.65600000000268</v>
      </c>
      <c r="D682" s="5">
        <v>16.244266666666711</v>
      </c>
      <c r="E682" s="5">
        <v>196</v>
      </c>
      <c r="F682" s="5">
        <v>4555990</v>
      </c>
      <c r="G682" s="5">
        <v>434.76</v>
      </c>
      <c r="H682" s="5">
        <v>0.41460000000000002</v>
      </c>
      <c r="I682" s="5">
        <v>2.124927</v>
      </c>
      <c r="J682" s="5">
        <v>3.8948999999999998</v>
      </c>
      <c r="K682" s="5">
        <v>-3.23353</v>
      </c>
      <c r="L682" s="5">
        <v>3.460000000000019E-3</v>
      </c>
      <c r="M682" s="5">
        <v>4.1653290529661678E-2</v>
      </c>
    </row>
    <row r="683" spans="1:13">
      <c r="A683" t="s">
        <v>4</v>
      </c>
      <c r="B683" s="4">
        <v>46311.65681443287</v>
      </c>
      <c r="C683" s="5">
        <v>979.67199999999866</v>
      </c>
      <c r="D683" s="5">
        <v>16.32786666666664</v>
      </c>
      <c r="E683" s="5">
        <v>197</v>
      </c>
      <c r="F683" s="5">
        <v>4560990</v>
      </c>
      <c r="G683" s="5">
        <v>435.04</v>
      </c>
      <c r="H683" s="5">
        <v>0.17680000000000001</v>
      </c>
      <c r="I683" s="5">
        <v>2.1262949999999998</v>
      </c>
      <c r="J683" s="5">
        <v>3.8868200000000002</v>
      </c>
      <c r="K683" s="5">
        <v>-3.2416100000000001</v>
      </c>
      <c r="L683" s="5">
        <v>-8.079999999999643E-3</v>
      </c>
      <c r="M683" s="5">
        <v>-9.6650717703422401E-2</v>
      </c>
    </row>
    <row r="684" spans="1:13">
      <c r="A684" t="s">
        <v>4</v>
      </c>
      <c r="B684" s="4">
        <v>46311.656872222222</v>
      </c>
      <c r="C684" s="5">
        <v>984.65600000000268</v>
      </c>
      <c r="D684" s="5">
        <v>16.410933333333379</v>
      </c>
      <c r="E684" s="5">
        <v>198</v>
      </c>
      <c r="F684" s="5">
        <v>4565989</v>
      </c>
      <c r="G684" s="5">
        <v>434.88</v>
      </c>
      <c r="H684" s="5">
        <v>0.5</v>
      </c>
      <c r="I684" s="5">
        <v>2.1255130000000002</v>
      </c>
      <c r="J684" s="5">
        <v>3.8914399999999998</v>
      </c>
      <c r="K684" s="5">
        <v>-3.23699</v>
      </c>
      <c r="L684" s="5">
        <v>4.6199999999996244E-3</v>
      </c>
      <c r="M684" s="5">
        <v>5.5617977528040541E-2</v>
      </c>
    </row>
    <row r="685" spans="1:13">
      <c r="A685" t="s">
        <v>4</v>
      </c>
      <c r="B685" s="4">
        <v>46311.656929999997</v>
      </c>
      <c r="C685" s="5">
        <v>989.65600000000268</v>
      </c>
      <c r="D685" s="5">
        <v>16.494266666666711</v>
      </c>
      <c r="E685" s="5">
        <v>199</v>
      </c>
      <c r="F685" s="5">
        <v>4570990</v>
      </c>
      <c r="G685" s="5">
        <v>434.84</v>
      </c>
      <c r="H685" s="5">
        <v>0.54490000000000005</v>
      </c>
      <c r="I685" s="5">
        <v>2.125318</v>
      </c>
      <c r="J685" s="5">
        <v>3.8925900000000002</v>
      </c>
      <c r="K685" s="5">
        <v>-3.23584</v>
      </c>
      <c r="L685" s="5">
        <v>1.150000000000428E-3</v>
      </c>
      <c r="M685" s="5">
        <v>1.380000000000514E-2</v>
      </c>
    </row>
    <row r="686" spans="1:13">
      <c r="A686" t="s">
        <v>4</v>
      </c>
      <c r="B686" s="4">
        <v>46311.656987951392</v>
      </c>
      <c r="C686" s="5">
        <v>994.65600000000268</v>
      </c>
      <c r="D686" s="5">
        <v>16.577600000000039</v>
      </c>
      <c r="E686" s="5">
        <v>200</v>
      </c>
      <c r="F686" s="5">
        <v>4575989</v>
      </c>
      <c r="G686" s="5">
        <v>435.12</v>
      </c>
      <c r="H686" s="5">
        <v>0.433</v>
      </c>
      <c r="I686" s="5">
        <v>2.1266859999999999</v>
      </c>
      <c r="J686" s="5">
        <v>3.8845200000000002</v>
      </c>
      <c r="K686" s="5">
        <v>-3.2439100000000001</v>
      </c>
      <c r="L686" s="5">
        <v>-8.0700000000000216E-3</v>
      </c>
      <c r="M686" s="5">
        <v>-9.6840000000000259E-2</v>
      </c>
    </row>
    <row r="687" spans="1:13">
      <c r="A687" t="s">
        <v>4</v>
      </c>
      <c r="B687" s="4">
        <v>46311.657045740743</v>
      </c>
      <c r="C687" s="5">
        <v>999.65600000000268</v>
      </c>
      <c r="D687" s="5">
        <v>16.660933333333379</v>
      </c>
      <c r="E687" s="5">
        <v>201</v>
      </c>
      <c r="F687" s="5">
        <v>4580989</v>
      </c>
      <c r="G687" s="5">
        <v>435.28</v>
      </c>
      <c r="H687" s="5">
        <v>0.45069999999999999</v>
      </c>
      <c r="I687" s="5">
        <v>2.1274679999999999</v>
      </c>
      <c r="J687" s="5">
        <v>3.8799000000000001</v>
      </c>
      <c r="K687" s="5">
        <v>-3.2485300000000001</v>
      </c>
      <c r="L687" s="5">
        <v>-4.6200000000000676E-3</v>
      </c>
      <c r="M687" s="5">
        <v>-5.5440000000000822E-2</v>
      </c>
    </row>
    <row r="688" spans="1:13">
      <c r="A688" t="s">
        <v>4</v>
      </c>
      <c r="B688" s="4">
        <v>46311.657103506943</v>
      </c>
      <c r="C688" s="5">
        <v>1004.641000000003</v>
      </c>
      <c r="D688" s="5">
        <v>16.74401666666672</v>
      </c>
      <c r="E688" s="5">
        <v>202</v>
      </c>
      <c r="F688" s="5">
        <v>4585990</v>
      </c>
      <c r="G688" s="5">
        <v>435.44</v>
      </c>
      <c r="H688" s="5">
        <v>0.48409999999999997</v>
      </c>
      <c r="I688" s="5">
        <v>2.12825</v>
      </c>
      <c r="J688" s="5">
        <v>3.8752900000000001</v>
      </c>
      <c r="K688" s="5">
        <v>-3.2531400000000001</v>
      </c>
      <c r="L688" s="5">
        <v>-4.610000000000003E-3</v>
      </c>
      <c r="M688" s="5">
        <v>-5.5486459378127961E-2</v>
      </c>
    </row>
    <row r="689" spans="1:13">
      <c r="A689" t="s">
        <v>4</v>
      </c>
      <c r="B689" s="4">
        <v>46311.657161469906</v>
      </c>
      <c r="C689" s="5">
        <v>1009.656000000003</v>
      </c>
      <c r="D689" s="5">
        <v>16.827600000000039</v>
      </c>
      <c r="E689" s="5">
        <v>203</v>
      </c>
      <c r="F689" s="5">
        <v>4590990</v>
      </c>
      <c r="G689" s="5">
        <v>435.4</v>
      </c>
      <c r="H689" s="5">
        <v>0.5</v>
      </c>
      <c r="I689" s="5">
        <v>2.1280549999999998</v>
      </c>
      <c r="J689" s="5">
        <v>3.8764400000000001</v>
      </c>
      <c r="K689" s="5">
        <v>-3.2519900000000002</v>
      </c>
      <c r="L689" s="5">
        <v>1.1499999999999839E-3</v>
      </c>
      <c r="M689" s="5">
        <v>1.3758723828515869E-2</v>
      </c>
    </row>
    <row r="690" spans="1:13">
      <c r="A690" t="s">
        <v>4</v>
      </c>
      <c r="B690" s="4">
        <v>46311.657219247689</v>
      </c>
      <c r="C690" s="5">
        <v>1014.641000000003</v>
      </c>
      <c r="D690" s="5">
        <v>16.910683333333392</v>
      </c>
      <c r="E690" s="5">
        <v>204</v>
      </c>
      <c r="F690" s="5">
        <v>4595990</v>
      </c>
      <c r="G690" s="5">
        <v>435.4</v>
      </c>
      <c r="H690" s="5">
        <v>0.5</v>
      </c>
      <c r="I690" s="5">
        <v>2.1280549999999998</v>
      </c>
      <c r="J690" s="5">
        <v>3.8764400000000001</v>
      </c>
      <c r="K690" s="5">
        <v>-3.2519900000000002</v>
      </c>
      <c r="L690" s="5">
        <v>0</v>
      </c>
      <c r="M690" s="5">
        <v>0</v>
      </c>
    </row>
    <row r="691" spans="1:13">
      <c r="A691" t="s">
        <v>4</v>
      </c>
      <c r="B691" s="4">
        <v>46311.657277025464</v>
      </c>
      <c r="C691" s="5">
        <v>1019.641000000003</v>
      </c>
      <c r="D691" s="5">
        <v>16.99401666666672</v>
      </c>
      <c r="E691" s="5">
        <v>205</v>
      </c>
      <c r="F691" s="5">
        <v>4600989</v>
      </c>
      <c r="G691" s="5">
        <v>435.28</v>
      </c>
      <c r="H691" s="5">
        <v>0.53029999999999999</v>
      </c>
      <c r="I691" s="5">
        <v>2.1274679999999999</v>
      </c>
      <c r="J691" s="5">
        <v>3.8799000000000001</v>
      </c>
      <c r="K691" s="5">
        <v>-3.2485300000000001</v>
      </c>
      <c r="L691" s="5">
        <v>3.460000000000019E-3</v>
      </c>
      <c r="M691" s="5">
        <v>4.1520000000000223E-2</v>
      </c>
    </row>
    <row r="692" spans="1:13">
      <c r="A692" t="s">
        <v>4</v>
      </c>
      <c r="B692" s="4">
        <v>46311.657334965275</v>
      </c>
      <c r="C692" s="5">
        <v>1024.641000000003</v>
      </c>
      <c r="D692" s="5">
        <v>17.07735000000006</v>
      </c>
      <c r="E692" s="5">
        <v>206</v>
      </c>
      <c r="F692" s="5">
        <v>4605990</v>
      </c>
      <c r="G692" s="5">
        <v>435.44</v>
      </c>
      <c r="H692" s="5">
        <v>0.48409999999999997</v>
      </c>
      <c r="I692" s="5">
        <v>2.12825</v>
      </c>
      <c r="J692" s="5">
        <v>3.8752900000000001</v>
      </c>
      <c r="K692" s="5">
        <v>-3.2531400000000001</v>
      </c>
      <c r="L692" s="5">
        <v>-4.610000000000003E-3</v>
      </c>
      <c r="M692" s="5">
        <v>-5.5320000000000043E-2</v>
      </c>
    </row>
    <row r="693" spans="1:13">
      <c r="A693" t="s">
        <v>4</v>
      </c>
      <c r="B693" s="4">
        <v>46311.657392754627</v>
      </c>
      <c r="C693" s="5">
        <v>1029.625</v>
      </c>
      <c r="D693" s="5">
        <v>17.16041666666667</v>
      </c>
      <c r="E693" s="5">
        <v>207</v>
      </c>
      <c r="F693" s="5">
        <v>4610990</v>
      </c>
      <c r="G693" s="5">
        <v>435.28</v>
      </c>
      <c r="H693" s="5">
        <v>0.45069999999999999</v>
      </c>
      <c r="I693" s="5">
        <v>2.1274679999999999</v>
      </c>
      <c r="J693" s="5">
        <v>3.8799000000000001</v>
      </c>
      <c r="K693" s="5">
        <v>-3.2485300000000001</v>
      </c>
      <c r="L693" s="5">
        <v>4.610000000000003E-3</v>
      </c>
      <c r="M693" s="5">
        <v>5.5497592295381433E-2</v>
      </c>
    </row>
    <row r="694" spans="1:13">
      <c r="A694" t="s">
        <v>4</v>
      </c>
      <c r="B694" s="4">
        <v>46311.657450520834</v>
      </c>
      <c r="C694" s="5">
        <v>1034.625</v>
      </c>
      <c r="D694" s="5">
        <v>17.243749999999999</v>
      </c>
      <c r="E694" s="5">
        <v>208</v>
      </c>
      <c r="F694" s="5">
        <v>4615990</v>
      </c>
      <c r="G694" s="5">
        <v>435.6</v>
      </c>
      <c r="H694" s="5">
        <v>0.48409999999999997</v>
      </c>
      <c r="I694" s="5">
        <v>2.129032</v>
      </c>
      <c r="J694" s="5">
        <v>3.8706700000000001</v>
      </c>
      <c r="K694" s="5">
        <v>-3.2577600000000002</v>
      </c>
      <c r="L694" s="5">
        <v>-9.2300000000000715E-3</v>
      </c>
      <c r="M694" s="5">
        <v>-0.1107600000000009</v>
      </c>
    </row>
    <row r="695" spans="1:13">
      <c r="A695" t="s">
        <v>4</v>
      </c>
      <c r="B695" s="4">
        <v>46311.657508310185</v>
      </c>
      <c r="C695" s="5">
        <v>1039.610000000001</v>
      </c>
      <c r="D695" s="5">
        <v>17.32683333333334</v>
      </c>
      <c r="E695" s="5">
        <v>209</v>
      </c>
      <c r="F695" s="5">
        <v>4620989</v>
      </c>
      <c r="G695" s="5">
        <v>435.68</v>
      </c>
      <c r="H695" s="5">
        <v>0.4677</v>
      </c>
      <c r="I695" s="5">
        <v>2.1294230000000001</v>
      </c>
      <c r="J695" s="5">
        <v>3.8683700000000001</v>
      </c>
      <c r="K695" s="5">
        <v>-3.2600600000000002</v>
      </c>
      <c r="L695" s="5">
        <v>-2.2999999999999692E-3</v>
      </c>
      <c r="M695" s="5">
        <v>-2.7683049147438719E-2</v>
      </c>
    </row>
    <row r="696" spans="1:13">
      <c r="A696" t="s">
        <v>4</v>
      </c>
      <c r="B696" s="4">
        <v>46311.657566261572</v>
      </c>
      <c r="C696" s="5">
        <v>1044.625</v>
      </c>
      <c r="D696" s="5">
        <v>17.41041666666667</v>
      </c>
      <c r="E696" s="5">
        <v>210</v>
      </c>
      <c r="F696" s="5">
        <v>4625989</v>
      </c>
      <c r="G696" s="5">
        <v>436</v>
      </c>
      <c r="H696" s="5">
        <v>0.39529999999999998</v>
      </c>
      <c r="I696" s="5">
        <v>2.1309870000000002</v>
      </c>
      <c r="J696" s="5">
        <v>3.85914</v>
      </c>
      <c r="K696" s="5">
        <v>-3.2692899999999998</v>
      </c>
      <c r="L696" s="5">
        <v>-9.2300000000000715E-3</v>
      </c>
      <c r="M696" s="5">
        <v>-0.1104287138584384</v>
      </c>
    </row>
    <row r="697" spans="1:13">
      <c r="A697" t="s">
        <v>4</v>
      </c>
      <c r="B697" s="4">
        <v>46311.657624050924</v>
      </c>
      <c r="C697" s="5">
        <v>1049.610000000001</v>
      </c>
      <c r="D697" s="5">
        <v>17.493500000000012</v>
      </c>
      <c r="E697" s="5">
        <v>211</v>
      </c>
      <c r="F697" s="5">
        <v>4630990</v>
      </c>
      <c r="G697" s="5">
        <v>435.72</v>
      </c>
      <c r="H697" s="5">
        <v>0.59950000000000003</v>
      </c>
      <c r="I697" s="5">
        <v>2.1296189999999999</v>
      </c>
      <c r="J697" s="5">
        <v>3.86721</v>
      </c>
      <c r="K697" s="5">
        <v>-3.2612199999999998</v>
      </c>
      <c r="L697" s="5">
        <v>8.0700000000000216E-3</v>
      </c>
      <c r="M697" s="5">
        <v>9.7131394182536565E-2</v>
      </c>
    </row>
    <row r="698" spans="1:13">
      <c r="A698" t="s">
        <v>4</v>
      </c>
      <c r="B698" s="4">
        <v>46311.657681805555</v>
      </c>
      <c r="C698" s="5">
        <v>1054.610000000001</v>
      </c>
      <c r="D698" s="5">
        <v>17.57683333333334</v>
      </c>
      <c r="E698" s="5">
        <v>212</v>
      </c>
      <c r="F698" s="5">
        <v>4635990</v>
      </c>
      <c r="G698" s="5">
        <v>435.84</v>
      </c>
      <c r="H698" s="5">
        <v>0.54490000000000005</v>
      </c>
      <c r="I698" s="5">
        <v>2.1302050000000001</v>
      </c>
      <c r="J698" s="5">
        <v>3.86375</v>
      </c>
      <c r="K698" s="5">
        <v>-3.2646799999999998</v>
      </c>
      <c r="L698" s="5">
        <v>-3.460000000000019E-3</v>
      </c>
      <c r="M698" s="5">
        <v>-4.1520000000000223E-2</v>
      </c>
    </row>
    <row r="699" spans="1:13">
      <c r="A699" t="s">
        <v>4</v>
      </c>
      <c r="B699" s="4">
        <v>46311.657739768518</v>
      </c>
      <c r="C699" s="5">
        <v>1059.610000000001</v>
      </c>
      <c r="D699" s="5">
        <v>17.660166666666679</v>
      </c>
      <c r="E699" s="5">
        <v>213</v>
      </c>
      <c r="F699" s="5">
        <v>4640990</v>
      </c>
      <c r="G699" s="5">
        <v>436.12</v>
      </c>
      <c r="H699" s="5">
        <v>0.433</v>
      </c>
      <c r="I699" s="5">
        <v>2.1315740000000001</v>
      </c>
      <c r="J699" s="5">
        <v>3.85568</v>
      </c>
      <c r="K699" s="5">
        <v>-3.2727499999999998</v>
      </c>
      <c r="L699" s="5">
        <v>-8.0700000000000216E-3</v>
      </c>
      <c r="M699" s="5">
        <v>-9.6840000000000259E-2</v>
      </c>
    </row>
    <row r="700" spans="1:13">
      <c r="A700" t="s">
        <v>4</v>
      </c>
      <c r="B700" s="4">
        <v>46311.657797569445</v>
      </c>
      <c r="C700" s="5">
        <v>1064.610000000001</v>
      </c>
      <c r="D700" s="5">
        <v>17.743500000000012</v>
      </c>
      <c r="E700" s="5">
        <v>214</v>
      </c>
      <c r="F700" s="5">
        <v>4645990</v>
      </c>
      <c r="G700" s="5">
        <v>435.88</v>
      </c>
      <c r="H700" s="5">
        <v>0.58630000000000004</v>
      </c>
      <c r="I700" s="5">
        <v>2.130401</v>
      </c>
      <c r="J700" s="5">
        <v>3.8626</v>
      </c>
      <c r="K700" s="5">
        <v>-3.2658299999999998</v>
      </c>
      <c r="L700" s="5">
        <v>6.9200000000000372E-3</v>
      </c>
      <c r="M700" s="5">
        <v>8.3040000000000447E-2</v>
      </c>
    </row>
    <row r="701" spans="1:13">
      <c r="A701" t="s">
        <v>4</v>
      </c>
      <c r="B701" s="4">
        <v>46311.657855324076</v>
      </c>
      <c r="C701" s="5">
        <v>1069.5939999999971</v>
      </c>
      <c r="D701" s="5">
        <v>17.826566666666618</v>
      </c>
      <c r="E701" s="5">
        <v>215</v>
      </c>
      <c r="F701" s="5">
        <v>4650990</v>
      </c>
      <c r="G701" s="5">
        <v>435.92</v>
      </c>
      <c r="H701" s="5">
        <v>0.375</v>
      </c>
      <c r="I701" s="5">
        <v>2.1305960000000002</v>
      </c>
      <c r="J701" s="5">
        <v>3.86144</v>
      </c>
      <c r="K701" s="5">
        <v>-3.2669899999999998</v>
      </c>
      <c r="L701" s="5">
        <v>-1.1600000000000501E-3</v>
      </c>
      <c r="M701" s="5">
        <v>-1.3964686998404601E-2</v>
      </c>
    </row>
    <row r="702" spans="1:13">
      <c r="A702" t="s">
        <v>4</v>
      </c>
      <c r="B702" s="4">
        <v>46311.657913287039</v>
      </c>
      <c r="C702" s="5">
        <v>1074.610000000001</v>
      </c>
      <c r="D702" s="5">
        <v>17.910166666666679</v>
      </c>
      <c r="E702" s="5">
        <v>216</v>
      </c>
      <c r="F702" s="5">
        <v>4655990</v>
      </c>
      <c r="G702" s="5">
        <v>436.32</v>
      </c>
      <c r="H702" s="5">
        <v>0.45069999999999999</v>
      </c>
      <c r="I702" s="5">
        <v>2.1325509999999999</v>
      </c>
      <c r="J702" s="5">
        <v>3.8499099999999999</v>
      </c>
      <c r="K702" s="5">
        <v>-3.2785199999999999</v>
      </c>
      <c r="L702" s="5">
        <v>-1.153000000000004E-2</v>
      </c>
      <c r="M702" s="5">
        <v>-0.13791866028699221</v>
      </c>
    </row>
    <row r="703" spans="1:13">
      <c r="A703" t="s">
        <v>4</v>
      </c>
      <c r="B703" s="4">
        <v>46311.657971064815</v>
      </c>
      <c r="C703" s="5">
        <v>1079.5939999999971</v>
      </c>
      <c r="D703" s="5">
        <v>17.99323333333329</v>
      </c>
      <c r="E703" s="5">
        <v>217</v>
      </c>
      <c r="F703" s="5">
        <v>4660989</v>
      </c>
      <c r="G703" s="5">
        <v>436.32</v>
      </c>
      <c r="H703" s="5">
        <v>0.53029999999999999</v>
      </c>
      <c r="I703" s="5">
        <v>2.1325509999999999</v>
      </c>
      <c r="J703" s="5">
        <v>3.8499099999999999</v>
      </c>
      <c r="K703" s="5">
        <v>-3.2785199999999999</v>
      </c>
      <c r="L703" s="5">
        <v>0</v>
      </c>
      <c r="M703" s="5">
        <v>0</v>
      </c>
    </row>
    <row r="704" spans="1:13">
      <c r="A704" t="s">
        <v>4</v>
      </c>
      <c r="B704" s="4">
        <v>46311.65802884259</v>
      </c>
      <c r="C704" s="5">
        <v>1084.5939999999971</v>
      </c>
      <c r="D704" s="5">
        <v>18.076566666666618</v>
      </c>
      <c r="E704" s="5">
        <v>218</v>
      </c>
      <c r="F704" s="5">
        <v>4665990</v>
      </c>
      <c r="G704" s="5">
        <v>436.24</v>
      </c>
      <c r="H704" s="5">
        <v>0.51539999999999997</v>
      </c>
      <c r="I704" s="5">
        <v>2.1321599999999998</v>
      </c>
      <c r="J704" s="5">
        <v>3.85222</v>
      </c>
      <c r="K704" s="5">
        <v>-3.2762099999999998</v>
      </c>
      <c r="L704" s="5">
        <v>2.3100000000000338E-3</v>
      </c>
      <c r="M704" s="5">
        <v>2.7720000000000411E-2</v>
      </c>
    </row>
    <row r="705" spans="1:13">
      <c r="A705" t="s">
        <v>4</v>
      </c>
      <c r="B705" s="4">
        <v>46311.658086793985</v>
      </c>
      <c r="C705" s="5">
        <v>1089.5939999999971</v>
      </c>
      <c r="D705" s="5">
        <v>18.159899999999951</v>
      </c>
      <c r="E705" s="5">
        <v>219</v>
      </c>
      <c r="F705" s="5">
        <v>4670989</v>
      </c>
      <c r="G705" s="5">
        <v>436.52</v>
      </c>
      <c r="H705" s="5">
        <v>0.64949999999999997</v>
      </c>
      <c r="I705" s="5">
        <v>2.1335289999999998</v>
      </c>
      <c r="J705" s="5">
        <v>3.8441399999999999</v>
      </c>
      <c r="K705" s="5">
        <v>-3.2842899999999999</v>
      </c>
      <c r="L705" s="5">
        <v>-8.0800000000000871E-3</v>
      </c>
      <c r="M705" s="5">
        <v>-9.6960000000001045E-2</v>
      </c>
    </row>
    <row r="706" spans="1:13">
      <c r="A706" t="s">
        <v>4</v>
      </c>
      <c r="B706" s="4">
        <v>46311.65814457176</v>
      </c>
      <c r="C706" s="5">
        <v>1094.5939999999971</v>
      </c>
      <c r="D706" s="5">
        <v>18.24323333333329</v>
      </c>
      <c r="E706" s="5">
        <v>220</v>
      </c>
      <c r="F706" s="5">
        <v>4675990</v>
      </c>
      <c r="G706" s="5">
        <v>436.4</v>
      </c>
      <c r="H706" s="5">
        <v>0.57279999999999998</v>
      </c>
      <c r="I706" s="5">
        <v>2.1329419999999999</v>
      </c>
      <c r="J706" s="5">
        <v>3.8475999999999999</v>
      </c>
      <c r="K706" s="5">
        <v>-3.2808299999999999</v>
      </c>
      <c r="L706" s="5">
        <v>3.460000000000019E-3</v>
      </c>
      <c r="M706" s="5">
        <v>4.1520000000000223E-2</v>
      </c>
    </row>
    <row r="707" spans="1:13">
      <c r="A707" t="s">
        <v>4</v>
      </c>
      <c r="B707" s="4">
        <v>46311.658202349536</v>
      </c>
      <c r="C707" s="5">
        <v>1099.5780000000011</v>
      </c>
      <c r="D707" s="5">
        <v>18.326300000000021</v>
      </c>
      <c r="E707" s="5">
        <v>221</v>
      </c>
      <c r="F707" s="5">
        <v>4680990</v>
      </c>
      <c r="G707" s="5">
        <v>436.44</v>
      </c>
      <c r="H707" s="5">
        <v>0.57279999999999998</v>
      </c>
      <c r="I707" s="5">
        <v>2.1331380000000002</v>
      </c>
      <c r="J707" s="5">
        <v>3.8464499999999999</v>
      </c>
      <c r="K707" s="5">
        <v>-3.2819799999999999</v>
      </c>
      <c r="L707" s="5">
        <v>-1.1499999999999839E-3</v>
      </c>
      <c r="M707" s="5">
        <v>-1.3844301765638729E-2</v>
      </c>
    </row>
    <row r="708" spans="1:13">
      <c r="A708" t="s">
        <v>4</v>
      </c>
      <c r="B708" s="4">
        <v>46311.658260312499</v>
      </c>
      <c r="C708" s="5">
        <v>1104.5939999999971</v>
      </c>
      <c r="D708" s="5">
        <v>18.409899999999951</v>
      </c>
      <c r="E708" s="5">
        <v>222</v>
      </c>
      <c r="F708" s="5">
        <v>4685990</v>
      </c>
      <c r="G708" s="5">
        <v>436.64</v>
      </c>
      <c r="H708" s="5">
        <v>0.54490000000000005</v>
      </c>
      <c r="I708" s="5">
        <v>2.134115</v>
      </c>
      <c r="J708" s="5">
        <v>3.8406799999999999</v>
      </c>
      <c r="K708" s="5">
        <v>-3.28775</v>
      </c>
      <c r="L708" s="5">
        <v>-5.7700000000000529E-3</v>
      </c>
      <c r="M708" s="5">
        <v>-6.9019138756036755E-2</v>
      </c>
    </row>
    <row r="709" spans="1:13">
      <c r="A709" t="s">
        <v>4</v>
      </c>
      <c r="B709" s="4">
        <v>46311.658318090274</v>
      </c>
      <c r="C709" s="5">
        <v>1109.5780000000011</v>
      </c>
      <c r="D709" s="5">
        <v>18.492966666666689</v>
      </c>
      <c r="E709" s="5">
        <v>223</v>
      </c>
      <c r="F709" s="5">
        <v>4690990</v>
      </c>
      <c r="G709" s="5">
        <v>436.6</v>
      </c>
      <c r="H709" s="5">
        <v>0.48409999999999997</v>
      </c>
      <c r="I709" s="5">
        <v>2.1339199999999998</v>
      </c>
      <c r="J709" s="5">
        <v>3.8418299999999999</v>
      </c>
      <c r="K709" s="5">
        <v>-3.2866</v>
      </c>
      <c r="L709" s="5">
        <v>1.1499999999999839E-3</v>
      </c>
      <c r="M709" s="5">
        <v>1.3844301765638729E-2</v>
      </c>
    </row>
    <row r="710" spans="1:13">
      <c r="A710" t="s">
        <v>4</v>
      </c>
      <c r="B710" s="4">
        <v>46311.658375868057</v>
      </c>
      <c r="C710" s="5">
        <v>1114.5780000000011</v>
      </c>
      <c r="D710" s="5">
        <v>18.576300000000021</v>
      </c>
      <c r="E710" s="5">
        <v>224</v>
      </c>
      <c r="F710" s="5">
        <v>4695990</v>
      </c>
      <c r="G710" s="5">
        <v>436.84</v>
      </c>
      <c r="H710" s="5">
        <v>0.4677</v>
      </c>
      <c r="I710" s="5">
        <v>2.1350929999999999</v>
      </c>
      <c r="J710" s="5">
        <v>3.8349099999999998</v>
      </c>
      <c r="K710" s="5">
        <v>-3.29352</v>
      </c>
      <c r="L710" s="5">
        <v>-6.9200000000000372E-3</v>
      </c>
      <c r="M710" s="5">
        <v>-8.3040000000000447E-2</v>
      </c>
    </row>
    <row r="711" spans="1:13">
      <c r="A711" t="s">
        <v>4</v>
      </c>
      <c r="B711" s="4">
        <v>46311.658433819444</v>
      </c>
      <c r="C711" s="5">
        <v>1119.5780000000011</v>
      </c>
      <c r="D711" s="5">
        <v>18.65963333333336</v>
      </c>
      <c r="E711" s="5">
        <v>225</v>
      </c>
      <c r="F711" s="5">
        <v>4700990</v>
      </c>
      <c r="G711" s="5">
        <v>436.8</v>
      </c>
      <c r="H711" s="5">
        <v>0.41460000000000002</v>
      </c>
      <c r="I711" s="5">
        <v>2.134897</v>
      </c>
      <c r="J711" s="5">
        <v>3.8360699999999999</v>
      </c>
      <c r="K711" s="5">
        <v>-3.29236</v>
      </c>
      <c r="L711" s="5">
        <v>1.1600000000000501E-3</v>
      </c>
      <c r="M711" s="5">
        <v>1.39200000000006E-2</v>
      </c>
    </row>
    <row r="712" spans="1:13">
      <c r="A712" t="s">
        <v>4</v>
      </c>
      <c r="B712" s="4">
        <v>46311.658491585651</v>
      </c>
      <c r="C712" s="5">
        <v>1124.5630000000019</v>
      </c>
      <c r="D712" s="5">
        <v>18.742716666666698</v>
      </c>
      <c r="E712" s="5">
        <v>226</v>
      </c>
      <c r="F712" s="5">
        <v>4705990</v>
      </c>
      <c r="G712" s="5">
        <v>437.12</v>
      </c>
      <c r="H712" s="5">
        <v>0.433</v>
      </c>
      <c r="I712" s="5">
        <v>2.1364610000000002</v>
      </c>
      <c r="J712" s="5">
        <v>3.8268399999999998</v>
      </c>
      <c r="K712" s="5">
        <v>-3.30159</v>
      </c>
      <c r="L712" s="5">
        <v>-9.2300000000000715E-3</v>
      </c>
      <c r="M712" s="5">
        <v>-0.1110932798395065</v>
      </c>
    </row>
    <row r="713" spans="1:13">
      <c r="A713" t="s">
        <v>4</v>
      </c>
      <c r="B713" s="4">
        <v>46311.658549375003</v>
      </c>
      <c r="C713" s="5">
        <v>1129.5630000000019</v>
      </c>
      <c r="D713" s="5">
        <v>18.826050000000031</v>
      </c>
      <c r="E713" s="5">
        <v>227</v>
      </c>
      <c r="F713" s="5">
        <v>4710989</v>
      </c>
      <c r="G713" s="5">
        <v>437</v>
      </c>
      <c r="H713" s="5">
        <v>0.48409999999999997</v>
      </c>
      <c r="I713" s="5">
        <v>2.135875</v>
      </c>
      <c r="J713" s="5">
        <v>3.8302999999999998</v>
      </c>
      <c r="K713" s="5">
        <v>-3.29813</v>
      </c>
      <c r="L713" s="5">
        <v>3.460000000000019E-3</v>
      </c>
      <c r="M713" s="5">
        <v>4.1520000000000223E-2</v>
      </c>
    </row>
    <row r="714" spans="1:13">
      <c r="A714" t="s">
        <v>4</v>
      </c>
      <c r="B714" s="4">
        <v>46311.658607314814</v>
      </c>
      <c r="C714" s="5">
        <v>1134.5630000000019</v>
      </c>
      <c r="D714" s="5">
        <v>18.90938333333337</v>
      </c>
      <c r="E714" s="5">
        <v>228</v>
      </c>
      <c r="F714" s="5">
        <v>4715990</v>
      </c>
      <c r="G714" s="5">
        <v>436.88</v>
      </c>
      <c r="H714" s="5">
        <v>0.41460000000000002</v>
      </c>
      <c r="I714" s="5">
        <v>2.1352880000000001</v>
      </c>
      <c r="J714" s="5">
        <v>3.8337599999999998</v>
      </c>
      <c r="K714" s="5">
        <v>-3.29467</v>
      </c>
      <c r="L714" s="5">
        <v>3.460000000000019E-3</v>
      </c>
      <c r="M714" s="5">
        <v>4.1520000000000223E-2</v>
      </c>
    </row>
    <row r="715" spans="1:13">
      <c r="A715" t="s">
        <v>4</v>
      </c>
      <c r="B715" s="4">
        <v>46311.658665104165</v>
      </c>
      <c r="C715" s="5">
        <v>1139.5630000000019</v>
      </c>
      <c r="D715" s="5">
        <v>18.992716666666698</v>
      </c>
      <c r="E715" s="5">
        <v>229</v>
      </c>
      <c r="F715" s="5">
        <v>4720990</v>
      </c>
      <c r="G715" s="5">
        <v>437.4</v>
      </c>
      <c r="H715" s="5">
        <v>0.5</v>
      </c>
      <c r="I715" s="5">
        <v>2.1378300000000001</v>
      </c>
      <c r="J715" s="5">
        <v>3.8187600000000002</v>
      </c>
      <c r="K715" s="5">
        <v>-3.3096700000000001</v>
      </c>
      <c r="L715" s="5">
        <v>-1.499999999999968E-2</v>
      </c>
      <c r="M715" s="5">
        <v>-0.17999999999999619</v>
      </c>
    </row>
    <row r="716" spans="1:13">
      <c r="A716" t="s">
        <v>4</v>
      </c>
      <c r="B716" s="4">
        <v>46311.658722893517</v>
      </c>
      <c r="C716" s="5">
        <v>1144.5469999999989</v>
      </c>
      <c r="D716" s="5">
        <v>19.075783333333309</v>
      </c>
      <c r="E716" s="5">
        <v>230</v>
      </c>
      <c r="F716" s="5">
        <v>4725990</v>
      </c>
      <c r="G716" s="5">
        <v>437.2</v>
      </c>
      <c r="H716" s="5">
        <v>0.48409999999999997</v>
      </c>
      <c r="I716" s="5">
        <v>2.1368520000000002</v>
      </c>
      <c r="J716" s="5">
        <v>3.8245300000000002</v>
      </c>
      <c r="K716" s="5">
        <v>-3.3039000000000001</v>
      </c>
      <c r="L716" s="5">
        <v>5.7700000000000529E-3</v>
      </c>
      <c r="M716" s="5">
        <v>6.9462279293786025E-2</v>
      </c>
    </row>
    <row r="717" spans="1:13">
      <c r="A717" t="s">
        <v>4</v>
      </c>
      <c r="B717" s="4">
        <v>46311.658780833335</v>
      </c>
      <c r="C717" s="5">
        <v>1149.5630000000019</v>
      </c>
      <c r="D717" s="5">
        <v>19.15938333333337</v>
      </c>
      <c r="E717" s="5">
        <v>231</v>
      </c>
      <c r="F717" s="5">
        <v>4730990</v>
      </c>
      <c r="G717" s="5">
        <v>437.16</v>
      </c>
      <c r="H717" s="5">
        <v>0.59950000000000003</v>
      </c>
      <c r="I717" s="5">
        <v>2.136657</v>
      </c>
      <c r="J717" s="5">
        <v>3.8256800000000002</v>
      </c>
      <c r="K717" s="5">
        <v>-3.3027500000000001</v>
      </c>
      <c r="L717" s="5">
        <v>1.1499999999999839E-3</v>
      </c>
      <c r="M717" s="5">
        <v>1.375598086123489E-2</v>
      </c>
    </row>
    <row r="718" spans="1:13">
      <c r="A718" t="s">
        <v>4</v>
      </c>
      <c r="B718" s="4">
        <v>46311.658838611111</v>
      </c>
      <c r="C718" s="5">
        <v>1154.5469999999989</v>
      </c>
      <c r="D718" s="5">
        <v>19.24244999999998</v>
      </c>
      <c r="E718" s="5">
        <v>232</v>
      </c>
      <c r="F718" s="5">
        <v>4735990</v>
      </c>
      <c r="G718" s="5">
        <v>437.16</v>
      </c>
      <c r="H718" s="5">
        <v>0.35360000000000003</v>
      </c>
      <c r="I718" s="5">
        <v>2.136657</v>
      </c>
      <c r="J718" s="5">
        <v>3.8256800000000002</v>
      </c>
      <c r="K718" s="5">
        <v>-3.3027500000000001</v>
      </c>
      <c r="L718" s="5">
        <v>0</v>
      </c>
      <c r="M718" s="5">
        <v>0</v>
      </c>
    </row>
    <row r="719" spans="1:13">
      <c r="A719" t="s">
        <v>4</v>
      </c>
      <c r="B719" s="4">
        <v>46311.658896400462</v>
      </c>
      <c r="C719" s="5">
        <v>1159.5469999999989</v>
      </c>
      <c r="D719" s="5">
        <v>19.325783333333309</v>
      </c>
      <c r="E719" s="5">
        <v>233</v>
      </c>
      <c r="F719" s="5">
        <v>4740989</v>
      </c>
      <c r="G719" s="5">
        <v>437.32</v>
      </c>
      <c r="H719" s="5">
        <v>0.4677</v>
      </c>
      <c r="I719" s="5">
        <v>2.1374390000000001</v>
      </c>
      <c r="J719" s="5">
        <v>3.8210700000000002</v>
      </c>
      <c r="K719" s="5">
        <v>-3.3073600000000001</v>
      </c>
      <c r="L719" s="5">
        <v>-4.610000000000003E-3</v>
      </c>
      <c r="M719" s="5">
        <v>-5.5320000000000043E-2</v>
      </c>
    </row>
    <row r="720" spans="1:13">
      <c r="A720" t="s">
        <v>4</v>
      </c>
      <c r="B720" s="4">
        <v>46311.658954178238</v>
      </c>
      <c r="C720" s="5">
        <v>1164.5310000000029</v>
      </c>
      <c r="D720" s="5">
        <v>19.40885000000004</v>
      </c>
      <c r="E720" s="5">
        <v>234</v>
      </c>
      <c r="F720" s="5">
        <v>4745990</v>
      </c>
      <c r="G720" s="5">
        <v>437.48</v>
      </c>
      <c r="H720" s="5">
        <v>0.48409999999999997</v>
      </c>
      <c r="I720" s="5">
        <v>2.1382210000000001</v>
      </c>
      <c r="J720" s="5">
        <v>3.8164500000000001</v>
      </c>
      <c r="K720" s="5">
        <v>-3.3119800000000001</v>
      </c>
      <c r="L720" s="5">
        <v>-4.6200000000000676E-3</v>
      </c>
      <c r="M720" s="5">
        <v>-5.5617977528045891E-2</v>
      </c>
    </row>
    <row r="721" spans="1:13">
      <c r="A721" t="s">
        <v>4</v>
      </c>
      <c r="B721" s="4">
        <v>46311.659012129632</v>
      </c>
      <c r="C721" s="5">
        <v>1169.5469999999989</v>
      </c>
      <c r="D721" s="5">
        <v>19.49244999999998</v>
      </c>
      <c r="E721" s="5">
        <v>235</v>
      </c>
      <c r="F721" s="5">
        <v>4750990</v>
      </c>
      <c r="G721" s="5">
        <v>437.68</v>
      </c>
      <c r="H721" s="5">
        <v>0.54490000000000005</v>
      </c>
      <c r="I721" s="5">
        <v>2.1391979999999999</v>
      </c>
      <c r="J721" s="5">
        <v>3.8106900000000001</v>
      </c>
      <c r="K721" s="5">
        <v>-3.3177400000000001</v>
      </c>
      <c r="L721" s="5">
        <v>-5.7599999999999874E-3</v>
      </c>
      <c r="M721" s="5">
        <v>-6.88995215311555E-2</v>
      </c>
    </row>
    <row r="722" spans="1:13">
      <c r="A722" t="s">
        <v>4</v>
      </c>
      <c r="B722" s="4">
        <v>46311.659069907408</v>
      </c>
      <c r="C722" s="5">
        <v>1174.5310000000029</v>
      </c>
      <c r="D722" s="5">
        <v>19.575516666666712</v>
      </c>
      <c r="E722" s="5">
        <v>236</v>
      </c>
      <c r="F722" s="5">
        <v>4755989</v>
      </c>
      <c r="G722" s="5">
        <v>437.64</v>
      </c>
      <c r="H722" s="5">
        <v>0.54490000000000005</v>
      </c>
      <c r="I722" s="5">
        <v>2.1390030000000002</v>
      </c>
      <c r="J722" s="5">
        <v>3.8118400000000001</v>
      </c>
      <c r="K722" s="5">
        <v>-3.3165900000000001</v>
      </c>
      <c r="L722" s="5">
        <v>1.1499999999999839E-3</v>
      </c>
      <c r="M722" s="5">
        <v>1.3844301765638729E-2</v>
      </c>
    </row>
    <row r="723" spans="1:13">
      <c r="A723" t="s">
        <v>4</v>
      </c>
      <c r="B723" s="4">
        <v>46311.659127685183</v>
      </c>
      <c r="C723" s="5">
        <v>1179.5310000000029</v>
      </c>
      <c r="D723" s="5">
        <v>19.65885000000004</v>
      </c>
      <c r="E723" s="5">
        <v>237</v>
      </c>
      <c r="F723" s="5">
        <v>4760990</v>
      </c>
      <c r="G723" s="5">
        <v>437.72</v>
      </c>
      <c r="H723" s="5">
        <v>0.53029999999999999</v>
      </c>
      <c r="I723" s="5">
        <v>2.1393939999999998</v>
      </c>
      <c r="J723" s="5">
        <v>3.8095300000000001</v>
      </c>
      <c r="K723" s="5">
        <v>-3.3189000000000002</v>
      </c>
      <c r="L723" s="5">
        <v>-2.3100000000000338E-3</v>
      </c>
      <c r="M723" s="5">
        <v>-2.7720000000000411E-2</v>
      </c>
    </row>
    <row r="724" spans="1:13">
      <c r="A724" t="s">
        <v>4</v>
      </c>
      <c r="B724" s="4">
        <v>46311.659185636578</v>
      </c>
      <c r="C724" s="5">
        <v>1184.5310000000029</v>
      </c>
      <c r="D724" s="5">
        <v>19.742183333333379</v>
      </c>
      <c r="E724" s="5">
        <v>238</v>
      </c>
      <c r="F724" s="5">
        <v>4765990</v>
      </c>
      <c r="G724" s="5">
        <v>437.96</v>
      </c>
      <c r="H724" s="5">
        <v>0.45069999999999999</v>
      </c>
      <c r="I724" s="5">
        <v>2.1405669999999999</v>
      </c>
      <c r="J724" s="5">
        <v>3.80261</v>
      </c>
      <c r="K724" s="5">
        <v>-3.3258200000000002</v>
      </c>
      <c r="L724" s="5">
        <v>-6.9200000000000372E-3</v>
      </c>
      <c r="M724" s="5">
        <v>-8.3040000000000447E-2</v>
      </c>
    </row>
    <row r="725" spans="1:13">
      <c r="A725" t="s">
        <v>4</v>
      </c>
      <c r="B725" s="4">
        <v>46311.659243414353</v>
      </c>
      <c r="C725" s="5">
        <v>1189.5310000000029</v>
      </c>
      <c r="D725" s="5">
        <v>19.825516666666712</v>
      </c>
      <c r="E725" s="5">
        <v>239</v>
      </c>
      <c r="F725" s="5">
        <v>4770990</v>
      </c>
      <c r="G725" s="5">
        <v>438.12</v>
      </c>
      <c r="H725" s="5">
        <v>0.33069999999999999</v>
      </c>
      <c r="I725" s="5">
        <v>2.1413489999999999</v>
      </c>
      <c r="J725" s="5">
        <v>3.798</v>
      </c>
      <c r="K725" s="5">
        <v>-3.3304299999999998</v>
      </c>
      <c r="L725" s="5">
        <v>-4.610000000000003E-3</v>
      </c>
      <c r="M725" s="5">
        <v>-5.5320000000000043E-2</v>
      </c>
    </row>
    <row r="726" spans="1:13">
      <c r="A726" t="s">
        <v>4</v>
      </c>
      <c r="B726" s="4">
        <v>46311.659301180553</v>
      </c>
      <c r="C726" s="5">
        <v>1194.516000000003</v>
      </c>
      <c r="D726" s="5">
        <v>19.90860000000005</v>
      </c>
      <c r="E726" s="5">
        <v>240</v>
      </c>
      <c r="F726" s="5">
        <v>4775989</v>
      </c>
      <c r="G726" s="5">
        <v>438.2</v>
      </c>
      <c r="H726" s="5">
        <v>0.39529999999999998</v>
      </c>
      <c r="I726" s="5">
        <v>2.14174</v>
      </c>
      <c r="J726" s="5">
        <v>3.79569</v>
      </c>
      <c r="K726" s="5">
        <v>-3.3327399999999998</v>
      </c>
      <c r="L726" s="5">
        <v>-2.3100000000000338E-3</v>
      </c>
      <c r="M726" s="5">
        <v>-2.7803410230689239E-2</v>
      </c>
    </row>
    <row r="727" spans="1:13">
      <c r="A727" t="s">
        <v>4</v>
      </c>
      <c r="B727" s="4">
        <v>46311.659359155092</v>
      </c>
      <c r="C727" s="5">
        <v>1199.5310000000029</v>
      </c>
      <c r="D727" s="5">
        <v>19.992183333333379</v>
      </c>
      <c r="E727" s="5">
        <v>241</v>
      </c>
      <c r="F727" s="5">
        <v>4780990</v>
      </c>
      <c r="G727" s="5">
        <v>438.16</v>
      </c>
      <c r="H727" s="5">
        <v>0.35360000000000003</v>
      </c>
      <c r="I727" s="5">
        <v>2.1415449999999998</v>
      </c>
      <c r="J727" s="5">
        <v>3.79684</v>
      </c>
      <c r="K727" s="5">
        <v>-3.3315899999999998</v>
      </c>
      <c r="L727" s="5">
        <v>1.1499999999999839E-3</v>
      </c>
      <c r="M727" s="5">
        <v>1.3758723828515869E-2</v>
      </c>
    </row>
    <row r="728" spans="1:13">
      <c r="A728" t="s">
        <v>4</v>
      </c>
      <c r="B728" s="4">
        <v>46311.659416921299</v>
      </c>
      <c r="C728" s="5">
        <v>1204.516000000003</v>
      </c>
      <c r="D728" s="5">
        <v>20.075266666666721</v>
      </c>
      <c r="E728" s="5">
        <v>242</v>
      </c>
      <c r="F728" s="5">
        <v>4785990</v>
      </c>
      <c r="G728" s="5">
        <v>438.4</v>
      </c>
      <c r="H728" s="5">
        <v>0.5</v>
      </c>
      <c r="I728" s="5">
        <v>2.1427179999999999</v>
      </c>
      <c r="J728" s="5">
        <v>3.78992</v>
      </c>
      <c r="K728" s="5">
        <v>-3.3385099999999999</v>
      </c>
      <c r="L728" s="5">
        <v>-6.9200000000000372E-3</v>
      </c>
      <c r="M728" s="5">
        <v>-8.3289869608817207E-2</v>
      </c>
    </row>
    <row r="729" spans="1:13">
      <c r="A729" t="s">
        <v>4</v>
      </c>
      <c r="B729" s="4">
        <v>46311.65947471065</v>
      </c>
      <c r="C729" s="5">
        <v>1209.516000000003</v>
      </c>
      <c r="D729" s="5">
        <v>20.15860000000005</v>
      </c>
      <c r="E729" s="5">
        <v>243</v>
      </c>
      <c r="F729" s="5">
        <v>4790990</v>
      </c>
      <c r="G729" s="5">
        <v>438.04</v>
      </c>
      <c r="H729" s="5">
        <v>0.33069999999999999</v>
      </c>
      <c r="I729" s="5">
        <v>2.1409579999999999</v>
      </c>
      <c r="J729" s="5">
        <v>3.8003</v>
      </c>
      <c r="K729" s="5">
        <v>-3.3281299999999998</v>
      </c>
      <c r="L729" s="5">
        <v>1.0380000000000059E-2</v>
      </c>
      <c r="M729" s="5">
        <v>0.1245600000000007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4A95AA5E663E48B11C1E55452E2739" ma:contentTypeVersion="16" ma:contentTypeDescription="Create a new document." ma:contentTypeScope="" ma:versionID="9645ccf0bec51662f920d2decbf712ac">
  <xsd:schema xmlns:xsd="http://www.w3.org/2001/XMLSchema" xmlns:xs="http://www.w3.org/2001/XMLSchema" xmlns:p="http://schemas.microsoft.com/office/2006/metadata/properties" xmlns:ns1="http://schemas.microsoft.com/sharepoint/v3" xmlns:ns3="12e9db68-73cb-4cb4-83ac-87504f5261cd" xmlns:ns4="15c76110-cc82-439f-8cb1-1ca75f2186db" targetNamespace="http://schemas.microsoft.com/office/2006/metadata/properties" ma:root="true" ma:fieldsID="2867f95b2ff7ffcc483bd90cd880e4ab" ns1:_="" ns3:_="" ns4:_="">
    <xsd:import namespace="http://schemas.microsoft.com/sharepoint/v3"/>
    <xsd:import namespace="12e9db68-73cb-4cb4-83ac-87504f5261cd"/>
    <xsd:import namespace="15c76110-cc82-439f-8cb1-1ca75f2186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e9db68-73cb-4cb4-83ac-87504f5261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c76110-cc82-439f-8cb1-1ca75f2186d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2e9db68-73cb-4cb4-83ac-87504f5261cd" xsi:nil="true"/>
    <_ip_UnifiedCompliancePolicyProperties xmlns="http://schemas.microsoft.com/sharepoint/v3" xsi:nil="true"/>
    <_ip_UnifiedCompliancePolicyUIAction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E03A377-4157-43A2-BE8B-70010725D0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2e9db68-73cb-4cb4-83ac-87504f5261cd"/>
    <ds:schemaRef ds:uri="15c76110-cc82-439f-8cb1-1ca75f2186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517C1E-7AA4-4350-9579-9155EF08F7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637072-7E0B-45B4-AD93-58BB12810C24}">
  <ds:schemaRefs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elements/1.1/"/>
    <ds:schemaRef ds:uri="http://schemas.microsoft.com/sharepoint/v3"/>
    <ds:schemaRef ds:uri="http://www.w3.org/XML/1998/namespace"/>
    <ds:schemaRef ds:uri="http://purl.org/dc/terms/"/>
    <ds:schemaRef ds:uri="http://schemas.microsoft.com/office/2006/metadata/properties"/>
    <ds:schemaRef ds:uri="http://schemas.openxmlformats.org/package/2006/metadata/core-properties"/>
    <ds:schemaRef ds:uri="15c76110-cc82-439f-8cb1-1ca75f2186db"/>
    <ds:schemaRef ds:uri="12e9db68-73cb-4cb4-83ac-87504f5261c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Rogers</dc:creator>
  <cp:lastModifiedBy>Rogers, Adam C. (Student)</cp:lastModifiedBy>
  <dcterms:created xsi:type="dcterms:W3CDTF">2026-10-20T17:07:00Z</dcterms:created>
  <dcterms:modified xsi:type="dcterms:W3CDTF">2026-10-23T20:44:22Z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0x010100844A95AA5E663E48B11C1E55452E2739</vt:lpwstr>
  </property>
</Properties>
</file>